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codeName="ThisWorkbook"/>
  <mc:AlternateContent xmlns:mc="http://schemas.openxmlformats.org/markup-compatibility/2006">
    <mc:Choice Requires="x15">
      <x15ac:absPath xmlns:x15ac="http://schemas.microsoft.com/office/spreadsheetml/2010/11/ac" url="C:\Users\hmx200171\Documents\영진공사\산출물\"/>
    </mc:Choice>
  </mc:AlternateContent>
  <xr:revisionPtr revIDLastSave="0" documentId="13_ncr:1_{30BB1E78-7D4B-4704-AD8D-D2F9E7BB29B1}" xr6:coauthVersionLast="36" xr6:coauthVersionMax="36" xr10:uidLastSave="{00000000-0000-0000-0000-000000000000}"/>
  <bookViews>
    <workbookView xWindow="-28920" yWindow="-120" windowWidth="29040" windowHeight="15720"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Schedule!$D$1:$BS$142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23" i="31" l="1"/>
  <c r="Q20" i="31"/>
  <c r="Q7" i="31"/>
  <c r="P24" i="31"/>
  <c r="Q24" i="31" s="1"/>
  <c r="P21" i="31"/>
  <c r="Q21" i="31" s="1"/>
  <c r="AT5" i="31"/>
  <c r="BH5" i="31"/>
  <c r="AG6" i="31"/>
  <c r="AF7" i="31"/>
  <c r="AG8" i="31"/>
  <c r="AG9" i="31"/>
  <c r="AU10" i="31"/>
  <c r="AU11" i="31"/>
  <c r="BH12" i="31"/>
  <c r="BH13" i="31"/>
  <c r="BH14" i="31"/>
  <c r="AF16" i="31"/>
  <c r="BI16" i="31"/>
  <c r="AF17" i="31"/>
  <c r="AL17" i="31"/>
  <c r="AF18" i="31"/>
  <c r="AF19" i="31"/>
  <c r="AL19" i="31"/>
  <c r="AF20" i="31"/>
  <c r="AG23" i="31"/>
  <c r="AI28" i="31"/>
  <c r="AJ29" i="31"/>
  <c r="AJ30" i="31"/>
  <c r="AJ31" i="31"/>
  <c r="AJ32" i="31"/>
  <c r="AJ33" i="31"/>
  <c r="AK34" i="31"/>
  <c r="AH35" i="31"/>
  <c r="AM35" i="31"/>
  <c r="AH36" i="31"/>
  <c r="AH37" i="31"/>
  <c r="AK38" i="31"/>
  <c r="AX39" i="31"/>
  <c r="BB39" i="31"/>
  <c r="AX121" i="31"/>
  <c r="BB121" i="31"/>
  <c r="AX122" i="31"/>
  <c r="BB122" i="31"/>
  <c r="AX123" i="31"/>
  <c r="AZ124" i="31"/>
  <c r="BA125" i="31"/>
  <c r="BB126" i="31"/>
  <c r="BB127" i="31"/>
  <c r="BC128" i="31"/>
  <c r="BD129" i="31"/>
  <c r="BD130" i="31"/>
  <c r="BD131" i="31"/>
  <c r="BI131" i="31"/>
  <c r="BD132" i="31"/>
  <c r="BI132" i="31"/>
  <c r="AJ134" i="31"/>
  <c r="AU134" i="31"/>
  <c r="AJ135" i="31"/>
  <c r="AM136" i="31"/>
  <c r="AS136" i="31"/>
  <c r="AQ137" i="31"/>
  <c r="AS138" i="31"/>
  <c r="AQ139" i="31"/>
  <c r="AX139" i="31"/>
  <c r="AQ140" i="31"/>
  <c r="AS141" i="31"/>
  <c r="AU142" i="31"/>
  <c r="AF21" i="31" l="1"/>
  <c r="P22" i="31"/>
  <c r="P25" i="31"/>
  <c r="AH24" i="31"/>
  <c r="L44" i="4"/>
  <c r="L43" i="4"/>
  <c r="L42" i="4"/>
  <c r="L40" i="4"/>
  <c r="L39" i="4"/>
  <c r="L38" i="4"/>
  <c r="L37" i="4"/>
  <c r="L36" i="4"/>
  <c r="L34" i="4"/>
  <c r="L33" i="4"/>
  <c r="L32" i="4"/>
  <c r="L31" i="4"/>
  <c r="L30" i="4"/>
  <c r="L29" i="4"/>
  <c r="L28" i="4"/>
  <c r="L27" i="4"/>
  <c r="L26" i="4"/>
  <c r="L25" i="4"/>
  <c r="L24" i="4"/>
  <c r="L23" i="4"/>
  <c r="L22" i="4"/>
  <c r="L21" i="4"/>
  <c r="L20" i="4"/>
  <c r="L19" i="4"/>
  <c r="L18" i="4"/>
  <c r="L17" i="4"/>
  <c r="L16" i="4"/>
  <c r="L15" i="4"/>
  <c r="L14" i="4"/>
  <c r="L13" i="4"/>
  <c r="L12" i="4"/>
  <c r="L10" i="4"/>
  <c r="L9" i="4"/>
  <c r="L8" i="4"/>
  <c r="L7" i="4"/>
  <c r="O45" i="4"/>
  <c r="I45" i="4"/>
  <c r="K45" i="4" s="1"/>
  <c r="H45" i="4"/>
  <c r="J45" i="4" s="1"/>
  <c r="G45" i="4"/>
  <c r="O41" i="4"/>
  <c r="I41" i="4"/>
  <c r="K41" i="4" s="1"/>
  <c r="H41" i="4"/>
  <c r="J41" i="4" s="1"/>
  <c r="G41" i="4"/>
  <c r="O35" i="4"/>
  <c r="O47" i="4" s="1"/>
  <c r="I35" i="4"/>
  <c r="K35" i="4" s="1"/>
  <c r="H35" i="4"/>
  <c r="J35" i="4" s="1"/>
  <c r="G35" i="4"/>
  <c r="O11" i="4"/>
  <c r="I11" i="4"/>
  <c r="H11" i="4"/>
  <c r="G11" i="4"/>
  <c r="Q25" i="31" l="1"/>
  <c r="P26" i="31" s="1"/>
  <c r="AH25" i="31"/>
  <c r="AG22" i="31"/>
  <c r="Q22" i="31"/>
  <c r="L35" i="4"/>
  <c r="L45" i="4"/>
  <c r="J11" i="4"/>
  <c r="H47" i="4"/>
  <c r="I47" i="4"/>
  <c r="L41" i="4"/>
  <c r="G47" i="4"/>
  <c r="K11" i="4"/>
  <c r="L11"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AE1" i="31" a="1"/>
  <c r="D1" i="31" a="1"/>
  <c r="Q26" i="31" l="1"/>
  <c r="P27" i="31" s="1"/>
  <c r="AH26" i="31"/>
  <c r="J47" i="4"/>
  <c r="K47" i="4"/>
  <c r="L47" i="4" s="1"/>
  <c r="AE1" i="31"/>
  <c r="AE2" i="31"/>
  <c r="D1" i="31"/>
  <c r="Q27" i="31" l="1"/>
  <c r="AI27" i="31"/>
  <c r="B24" i="3"/>
</calcChain>
</file>

<file path=xl/sharedStrings.xml><?xml version="1.0" encoding="utf-8"?>
<sst xmlns="http://schemas.openxmlformats.org/spreadsheetml/2006/main" count="3872" uniqueCount="1783">
  <si>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</si>
  <si>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</si>
  <si>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</si>
  <si>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</si>
  <si>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</si>
  <si>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</si>
  <si>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</si>
  <si>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</si>
  <si>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</si>
  <si>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</si>
  <si>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</si>
  <si>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</si>
  <si>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</si>
  <si>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</si>
  <si>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</si>
  <si>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</si>
  <si>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</si>
  <si>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</si>
  <si>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</si>
  <si>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</si>
  <si>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</si>
  <si>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</si>
  <si>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</si>
  <si>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</si>
  <si>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</si>
  <si>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</si>
  <si>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</si>
  <si>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</si>
  <si>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</si>
  <si>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</si>
  <si>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</si>
  <si>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</si>
  <si>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</si>
  <si>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</si>
  <si>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</si>
  <si>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</si>
  <si>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</si>
  <si>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</si>
  <si>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</si>
  <si>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</si>
  <si>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</si>
  <si>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</si>
  <si>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</si>
  <si>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</si>
  <si>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</si>
  <si>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</si>
  <si>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</si>
  <si>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</si>
  <si>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</si>
  <si>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</si>
  <si>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</si>
  <si>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</si>
  <si>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</si>
  <si>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</si>
  <si>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</si>
  <si>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</si>
  <si>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</si>
  <si>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</si>
  <si>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</si>
  <si>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</si>
  <si>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</si>
  <si>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</si>
  <si>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</si>
  <si>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</si>
  <si>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</si>
  <si>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</si>
  <si>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</si>
  <si>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</si>
  <si>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</si>
  <si>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</si>
  <si>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</si>
  <si>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</si>
  <si>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</si>
  <si>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</si>
  <si>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</si>
  <si>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</si>
  <si>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</si>
  <si>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</si>
  <si>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</si>
  <si>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</si>
  <si>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</si>
  <si>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</si>
  <si>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</si>
  <si>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</si>
  <si>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</si>
  <si>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</si>
  <si>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</si>
  <si>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</si>
  <si>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</si>
  <si>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</si>
  <si>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</si>
  <si>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</si>
  <si>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</si>
  <si>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</si>
  <si>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</si>
  <si>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</si>
  <si>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</si>
  <si>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</si>
  <si>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</si>
  <si>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</si>
  <si>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</si>
  <si>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</si>
  <si>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</si>
  <si>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</si>
  <si>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</si>
  <si>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</si>
  <si>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</si>
  <si>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</si>
  <si>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</si>
  <si>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</si>
  <si>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</si>
  <si>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</si>
  <si>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</si>
  <si>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</si>
  <si>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</si>
  <si>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</si>
  <si>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</si>
  <si>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</si>
  <si>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</si>
  <si>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</si>
  <si>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</si>
  <si>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</si>
  <si>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</si>
  <si>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</si>
  <si>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</si>
  <si>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</si>
  <si>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</si>
  <si>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</si>
  <si>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</si>
  <si>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</si>
  <si>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</si>
  <si>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</si>
  <si>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</si>
  <si>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</si>
  <si>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</si>
  <si>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</si>
  <si>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</si>
  <si>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</si>
  <si>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</si>
  <si>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</si>
  <si>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</si>
  <si>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</si>
  <si>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</si>
  <si>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</si>
  <si>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</si>
  <si>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</si>
  <si>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</si>
  <si>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</si>
  <si>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</si>
  <si>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</si>
  <si>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</si>
  <si>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</si>
  <si>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</si>
  <si>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</si>
  <si>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</si>
  <si>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</si>
  <si>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</si>
  <si>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</si>
  <si>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</si>
  <si>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</si>
  <si>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</si>
  <si>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</si>
  <si>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</si>
  <si>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</si>
  <si>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</si>
  <si>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</si>
  <si>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</si>
  <si>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</si>
  <si>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</si>
  <si>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</si>
  <si>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</si>
  <si>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</si>
  <si>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</si>
  <si>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</si>
  <si>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</si>
  <si>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</si>
  <si>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</si>
  <si>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</si>
  <si>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</si>
  <si>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</si>
  <si>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</si>
  <si>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</si>
  <si>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</si>
  <si>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</si>
  <si>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</si>
  <si>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</si>
  <si>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</si>
  <si>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</si>
  <si>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</si>
  <si>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</si>
  <si>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</si>
  <si>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</si>
  <si>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</si>
  <si>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</si>
  <si>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</si>
  <si>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</si>
  <si>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</si>
  <si>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</si>
  <si>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</si>
  <si>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</si>
  <si>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</si>
  <si>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</si>
  <si>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</si>
  <si>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</si>
  <si>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</si>
  <si>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</si>
  <si>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</si>
  <si>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</si>
  <si>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</si>
  <si>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</si>
  <si>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</si>
  <si>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</si>
  <si>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</si>
  <si>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</si>
  <si>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</si>
  <si>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</si>
  <si>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</si>
  <si>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</si>
  <si>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</si>
  <si>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</si>
  <si>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</si>
  <si>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</si>
  <si>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</si>
  <si>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</si>
  <si>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</si>
  <si>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</si>
  <si>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</si>
  <si>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</si>
  <si>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</si>
  <si>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</si>
  <si>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</si>
  <si>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</si>
  <si>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</si>
  <si>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</si>
  <si>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</si>
  <si>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</si>
  <si>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</si>
  <si>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</si>
  <si>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</si>
  <si>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</si>
  <si>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</si>
  <si>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</si>
  <si>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</si>
  <si>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</si>
  <si>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</si>
  <si>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</si>
  <si>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</si>
  <si>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</si>
  <si>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</si>
  <si>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</si>
  <si>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</si>
  <si>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</si>
  <si>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</si>
  <si>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</si>
  <si>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</si>
  <si>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</si>
  <si>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</si>
  <si>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</si>
  <si>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</si>
  <si>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</si>
  <si>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</si>
  <si>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</si>
  <si>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</si>
  <si>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</si>
  <si>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</si>
  <si>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</si>
  <si>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</si>
  <si>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</si>
  <si>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</si>
  <si>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</si>
  <si>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</si>
  <si>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</si>
  <si>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</si>
  <si>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</si>
  <si>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</si>
  <si>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</si>
  <si>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</si>
  <si>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</si>
  <si>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</si>
  <si>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</si>
  <si>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</si>
  <si>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</si>
  <si>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</si>
  <si>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</si>
  <si>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</si>
  <si>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</si>
  <si>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</si>
  <si>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</si>
  <si>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</si>
  <si>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</si>
  <si>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</si>
  <si>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</si>
  <si>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</si>
  <si>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</si>
  <si>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</si>
  <si>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</si>
  <si>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</si>
  <si>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</si>
  <si>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</si>
  <si>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</si>
  <si>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</si>
  <si>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</si>
  <si>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</si>
  <si>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</si>
  <si>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</si>
  <si>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</si>
  <si>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</si>
  <si>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</si>
  <si>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</si>
  <si>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</si>
  <si>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</si>
  <si>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</si>
  <si>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</si>
  <si>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</si>
  <si>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</si>
  <si>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</si>
  <si>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</si>
  <si>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</si>
  <si>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</si>
  <si>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</si>
  <si>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</si>
  <si>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</si>
  <si>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</si>
  <si>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</si>
  <si>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</si>
  <si>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</si>
  <si>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</si>
  <si>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</si>
  <si>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</si>
  <si>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</si>
  <si>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</si>
  <si>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</si>
  <si>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</si>
  <si>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</si>
  <si>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</si>
  <si>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</si>
  <si>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</si>
  <si>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</si>
  <si>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</si>
  <si>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</si>
  <si>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</si>
  <si>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</si>
  <si>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</si>
  <si>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</si>
  <si>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</si>
  <si>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</si>
  <si>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</si>
  <si>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</si>
  <si>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</si>
  <si>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</si>
  <si>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</si>
  <si>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</si>
  <si>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</si>
  <si>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</si>
  <si>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</si>
  <si>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</si>
  <si>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</si>
  <si>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</si>
  <si>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</si>
  <si>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</si>
  <si>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</si>
  <si>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</si>
  <si>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</si>
  <si>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</si>
  <si>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</si>
  <si>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</si>
  <si>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</si>
  <si>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</si>
  <si>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</si>
  <si>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</si>
  <si>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</si>
  <si>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</si>
  <si>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</si>
  <si>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</si>
  <si>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</si>
  <si>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</si>
  <si>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</si>
  <si>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</si>
  <si>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</si>
  <si>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</si>
  <si>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</si>
  <si>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</si>
  <si>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</si>
  <si>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</si>
  <si>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</si>
  <si>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</si>
  <si>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</si>
  <si>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</si>
  <si>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</si>
  <si>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</si>
  <si>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</si>
  <si>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</si>
  <si>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</si>
  <si>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</si>
  <si>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</si>
  <si>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</si>
  <si>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</si>
  <si>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</si>
  <si>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</si>
  <si>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</si>
  <si>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</si>
  <si>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</si>
  <si>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</si>
  <si>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</si>
  <si>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</si>
  <si>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</si>
  <si>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</si>
  <si>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</si>
  <si>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</si>
  <si>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</si>
  <si>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</si>
  <si>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</si>
  <si>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</si>
  <si>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</si>
  <si>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</si>
  <si>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</si>
  <si>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</si>
  <si>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</si>
  <si>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</si>
  <si>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</si>
  <si>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</si>
  <si>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</si>
  <si>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</si>
  <si>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</si>
  <si>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</si>
  <si>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</si>
  <si>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</si>
  <si>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</si>
  <si>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</si>
  <si>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</si>
  <si>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</si>
  <si>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</si>
  <si>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</si>
  <si>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</si>
  <si>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</si>
  <si>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</si>
  <si>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</si>
  <si>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</si>
  <si>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</si>
  <si>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</si>
  <si>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</si>
  <si>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</si>
  <si>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</si>
  <si>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</si>
  <si>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</si>
  <si>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</si>
  <si>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</si>
  <si>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</si>
  <si>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</si>
  <si>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</si>
  <si>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</si>
  <si>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</si>
  <si>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</si>
  <si>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</si>
  <si>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</si>
  <si>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</si>
  <si>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</si>
  <si>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</si>
  <si>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</si>
  <si>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</si>
  <si>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</si>
  <si>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</si>
  <si>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</si>
  <si>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</si>
  <si>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</si>
  <si>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</si>
  <si>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</si>
  <si>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</si>
  <si>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</si>
  <si>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</si>
  <si>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</si>
  <si>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</si>
  <si>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</si>
  <si>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</si>
  <si>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</si>
  <si>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</si>
  <si>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</si>
  <si>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</si>
  <si>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</si>
  <si>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</si>
  <si>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</si>
  <si>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</si>
  <si>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</si>
  <si>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</si>
  <si>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</si>
  <si>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</si>
  <si>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</si>
  <si>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</si>
  <si>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</si>
  <si>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</si>
  <si>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</si>
  <si>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</si>
  <si>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</si>
  <si>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</si>
  <si>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</si>
  <si>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</si>
  <si>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</si>
  <si>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</si>
  <si>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</si>
  <si>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</si>
  <si>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</si>
  <si>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</si>
  <si>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</si>
  <si>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</si>
  <si>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</si>
  <si>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</si>
  <si>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</si>
  <si>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</si>
  <si>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</si>
  <si>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</si>
  <si>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</si>
  <si>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</si>
  <si>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</si>
  <si>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</si>
  <si>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</si>
  <si>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</si>
  <si>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</si>
  <si>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</si>
  <si>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</si>
  <si>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</si>
  <si>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</si>
  <si>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</si>
  <si>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</si>
  <si>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</si>
  <si>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</si>
  <si>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</si>
  <si>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</si>
  <si>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</si>
  <si>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</si>
  <si>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</si>
  <si>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</si>
  <si>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</si>
  <si>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</si>
  <si>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</si>
  <si>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</si>
  <si>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</si>
  <si>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</si>
  <si>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</si>
  <si>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</si>
  <si>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</si>
  <si>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</si>
  <si>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</si>
  <si>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</si>
  <si>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</si>
  <si>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</si>
  <si>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</si>
  <si>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</si>
  <si>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</si>
  <si>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</si>
  <si>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</si>
  <si>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</si>
  <si>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</si>
  <si>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</si>
  <si>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</si>
  <si>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</si>
  <si>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</si>
  <si>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</si>
  <si>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</si>
  <si>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</si>
  <si>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</si>
  <si>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</si>
  <si>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</si>
  <si>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</si>
  <si>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</si>
  <si>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</si>
  <si>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</si>
  <si>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</si>
  <si>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</si>
  <si>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</si>
  <si>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</si>
  <si>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</si>
  <si>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</si>
  <si>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</si>
  <si>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</si>
  <si>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</si>
  <si>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</si>
  <si>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</si>
  <si>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</si>
  <si>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</si>
  <si>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</si>
  <si>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</si>
  <si>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</si>
  <si>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</si>
  <si>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</si>
  <si>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</si>
  <si>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</si>
  <si>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</si>
  <si>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</si>
  <si>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</si>
  <si>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</si>
  <si>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</si>
  <si>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</si>
  <si>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</si>
  <si>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</si>
  <si>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</si>
  <si>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</si>
  <si>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</si>
  <si>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</si>
  <si>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</si>
  <si>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</si>
  <si>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</si>
  <si>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</si>
  <si>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</si>
  <si>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</si>
  <si>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</si>
  <si>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</si>
  <si>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</si>
  <si>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</si>
  <si>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</si>
  <si>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</si>
  <si>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</si>
  <si>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</si>
  <si>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</si>
  <si>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</si>
  <si>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</si>
  <si>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</si>
  <si>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</si>
  <si>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</si>
  <si>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</si>
  <si>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</si>
  <si>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</si>
  <si>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</si>
  <si>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</si>
  <si>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</si>
  <si>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</si>
  <si>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</si>
  <si>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</si>
  <si>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</si>
  <si>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</si>
  <si>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</si>
  <si>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</si>
  <si>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</si>
  <si>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</si>
  <si>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</si>
  <si>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</si>
  <si>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</si>
  <si>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</si>
  <si>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</si>
  <si>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</si>
  <si>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</si>
  <si>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</si>
  <si>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</si>
  <si>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</si>
  <si>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</si>
  <si>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</si>
  <si>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</si>
  <si>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</si>
  <si>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</si>
  <si>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</si>
  <si>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</si>
  <si>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</si>
  <si>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</si>
  <si>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</si>
  <si>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</si>
  <si>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</si>
  <si>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</si>
  <si>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</si>
  <si>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</si>
  <si>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</si>
  <si>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</si>
  <si>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</si>
  <si>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</si>
  <si>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</si>
  <si>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</si>
  <si>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</si>
  <si>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</si>
  <si>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</si>
  <si>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</si>
  <si>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</si>
  <si>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</si>
  <si>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</si>
  <si>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</si>
  <si>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</si>
  <si>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</si>
  <si>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</si>
  <si>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</si>
  <si>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</si>
  <si>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</si>
  <si>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</si>
  <si>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</si>
  <si>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</si>
  <si>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</si>
  <si>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</si>
  <si>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</si>
  <si>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</si>
  <si>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</si>
  <si>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</si>
  <si>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</si>
  <si>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</si>
  <si>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</si>
  <si>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</si>
  <si>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</si>
  <si>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</si>
  <si>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</si>
  <si>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</si>
  <si>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</si>
  <si>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</si>
  <si>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</si>
  <si>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</si>
  <si>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</si>
  <si>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</si>
  <si>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</si>
  <si>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</si>
  <si>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</si>
  <si>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</si>
  <si>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</si>
  <si>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</si>
  <si>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</si>
  <si>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</si>
  <si>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</si>
  <si>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</si>
  <si>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</si>
  <si>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</si>
  <si>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C:\WINDOWS\system32\notepad.exe</t>
    <phoneticPr fontId="1" type="noConversion"/>
  </si>
  <si>
    <t>AutoCAD</t>
    <phoneticPr fontId="1" type="noConversion"/>
  </si>
  <si>
    <t>dwg</t>
    <phoneticPr fontId="1" type="noConversion"/>
  </si>
  <si>
    <t>txt</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</si>
  <si>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</si>
  <si>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</si>
  <si>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</si>
  <si>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</si>
  <si>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</si>
  <si>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</si>
  <si>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</si>
  <si>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</si>
  <si>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</si>
  <si>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</si>
  <si>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</si>
  <si>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</si>
  <si>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</si>
  <si>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</si>
  <si>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</si>
  <si>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</si>
  <si>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</si>
  <si>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</si>
  <si>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</si>
  <si>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</si>
  <si>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</si>
  <si>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</si>
  <si>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</si>
  <si>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</si>
  <si>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</si>
  <si>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</si>
  <si>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</si>
  <si>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</si>
  <si>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</si>
  <si>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</si>
  <si>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</si>
  <si>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</si>
  <si>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</si>
  <si>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</si>
  <si>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</si>
  <si>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</si>
  <si>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</si>
  <si>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</si>
  <si>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</si>
  <si>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</si>
  <si>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</si>
  <si>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</si>
  <si>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</si>
  <si>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</si>
  <si>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</si>
  <si>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</si>
  <si>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</si>
  <si>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</si>
  <si>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</si>
  <si>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</si>
  <si>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</si>
  <si>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</si>
  <si>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</si>
  <si>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</si>
  <si>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</si>
  <si>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</si>
  <si>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</si>
  <si>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</si>
  <si>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</si>
  <si>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</si>
  <si>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</si>
  <si>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</si>
  <si>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</si>
  <si>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</si>
  <si>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</si>
  <si>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</si>
  <si>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</si>
  <si>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</si>
  <si>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</si>
  <si>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</si>
  <si>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</si>
  <si>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</si>
  <si>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</si>
  <si>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</si>
  <si>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</si>
  <si>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</si>
  <si>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</si>
  <si>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</si>
  <si>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</si>
  <si>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</si>
  <si>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</si>
  <si>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</si>
  <si>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</si>
  <si>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</si>
  <si>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</si>
  <si>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</si>
  <si>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</si>
  <si>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</si>
  <si>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</si>
  <si>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</si>
  <si>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</si>
  <si>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</si>
  <si>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</si>
  <si>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</si>
  <si>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</si>
  <si>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</si>
  <si>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</si>
  <si>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</si>
  <si>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</si>
  <si>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</si>
  <si>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</si>
  <si>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</si>
  <si>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</si>
  <si>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</si>
  <si>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</si>
  <si>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</si>
  <si>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</si>
  <si>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</si>
  <si>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</si>
  <si>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</si>
  <si>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</si>
  <si>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</si>
  <si>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</si>
  <si>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</si>
  <si>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</si>
  <si>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</si>
  <si>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</si>
  <si>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</si>
  <si>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</si>
  <si>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</si>
  <si>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</si>
  <si>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</si>
  <si>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</si>
  <si>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</si>
  <si>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</si>
  <si>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</si>
  <si>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</si>
  <si>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</si>
  <si>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</si>
  <si>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</si>
  <si>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</si>
  <si>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</si>
  <si>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</si>
  <si>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</si>
  <si>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</si>
  <si>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</si>
  <si>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</si>
  <si>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</si>
  <si>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</si>
  <si>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</si>
  <si>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</si>
  <si>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</si>
  <si>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</si>
  <si>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</si>
  <si>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</si>
  <si>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</si>
  <si>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</si>
  <si>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</si>
  <si>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</si>
  <si>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</si>
  <si>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</si>
  <si>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</si>
  <si>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</si>
  <si>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</si>
  <si>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</si>
  <si>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</si>
  <si>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</si>
  <si>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</si>
  <si>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</si>
  <si>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</si>
  <si>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</si>
  <si>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</si>
  <si>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</si>
  <si>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</si>
  <si>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</si>
  <si>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</si>
  <si>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</si>
  <si>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</si>
  <si>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</si>
  <si>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</si>
  <si>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</si>
  <si>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</si>
  <si>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</si>
  <si>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</si>
  <si>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</si>
  <si>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</si>
  <si>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</si>
  <si>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</si>
  <si>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</si>
  <si>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</si>
  <si>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</si>
  <si>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</si>
  <si>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</si>
  <si>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</si>
  <si>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</si>
  <si>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</si>
  <si>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</si>
  <si>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</si>
  <si>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</si>
  <si>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</si>
  <si>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</si>
  <si>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</si>
  <si>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</si>
  <si>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</si>
  <si>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</si>
  <si>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</si>
  <si>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</si>
  <si>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</si>
  <si>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</si>
  <si>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</si>
  <si>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</si>
  <si>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</si>
  <si>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</si>
  <si>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</si>
  <si>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</si>
  <si>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</si>
  <si>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</si>
  <si>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</si>
  <si>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</si>
  <si>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</si>
  <si>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</si>
  <si>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</si>
  <si>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</si>
  <si>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</si>
  <si>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</si>
  <si>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</si>
  <si>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</si>
  <si>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</si>
  <si>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</si>
  <si>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</si>
  <si>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</si>
  <si>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</si>
  <si>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</si>
  <si>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</si>
  <si>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</si>
  <si>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</si>
  <si>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</si>
  <si>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</si>
  <si>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</si>
  <si>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</si>
  <si>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</si>
  <si>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</si>
  <si>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</si>
  <si>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</si>
  <si>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</si>
  <si>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</si>
  <si>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</si>
  <si>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</si>
  <si>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</si>
  <si>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</si>
  <si>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</si>
  <si>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</si>
  <si>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</si>
  <si>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</si>
  <si>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</si>
  <si>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</si>
  <si>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</si>
  <si>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</si>
  <si>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</si>
  <si>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</si>
  <si>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</si>
  <si>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</si>
  <si>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</si>
  <si>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</si>
  <si>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</si>
  <si>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</si>
  <si>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</si>
  <si>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</si>
  <si>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</si>
  <si>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</si>
  <si>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</si>
  <si>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</si>
  <si>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</si>
  <si>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</si>
  <si>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</si>
  <si>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</si>
  <si>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</si>
  <si>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</si>
  <si>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</si>
  <si>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</si>
  <si>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</si>
  <si>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</si>
  <si>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</si>
  <si>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</si>
  <si>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</si>
  <si>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</si>
  <si>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</si>
  <si>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</si>
  <si>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</si>
  <si>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</si>
  <si>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</si>
  <si>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</si>
  <si>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</si>
  <si>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</si>
  <si>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</si>
  <si>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</si>
  <si>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</si>
  <si>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</si>
  <si>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</si>
  <si>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</si>
  <si>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</si>
  <si>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</si>
  <si>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</si>
  <si>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</si>
  <si>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</si>
  <si>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</si>
  <si>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</si>
  <si>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</si>
  <si>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</si>
  <si>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</si>
  <si>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</si>
  <si>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</si>
  <si>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</si>
  <si>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</si>
  <si>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</si>
  <si>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</si>
  <si>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</si>
  <si>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</si>
  <si>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</si>
  <si>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</si>
  <si>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</si>
  <si>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</si>
  <si>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</si>
  <si>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</si>
  <si>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</si>
  <si>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</si>
  <si>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</si>
  <si>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</si>
  <si>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</si>
  <si>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</si>
  <si>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</si>
  <si>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</si>
  <si>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</si>
  <si>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</si>
  <si>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</si>
  <si>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</si>
  <si>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</si>
  <si>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</si>
  <si>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</si>
  <si>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</si>
  <si>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</si>
  <si>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</si>
  <si>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</si>
  <si>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</si>
  <si>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</si>
  <si>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</si>
  <si>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</si>
  <si>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</si>
  <si>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</si>
  <si>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</si>
  <si>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</si>
  <si>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</si>
  <si>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</si>
  <si>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</si>
  <si>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</si>
  <si>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</si>
  <si>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</si>
  <si>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</si>
  <si>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</si>
  <si>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</si>
  <si>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</si>
  <si>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</si>
  <si>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</si>
  <si>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</si>
  <si>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</si>
  <si>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</si>
  <si>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</si>
  <si>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</si>
  <si>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</si>
  <si>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</si>
  <si>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</si>
  <si>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</si>
  <si>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</si>
  <si>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</si>
  <si>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</si>
  <si>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</si>
  <si>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</si>
  <si>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</si>
  <si>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</si>
  <si>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</si>
  <si>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</si>
  <si>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</si>
  <si>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</si>
  <si>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</si>
  <si>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</si>
  <si>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</si>
  <si>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</si>
  <si>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</si>
  <si>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</si>
  <si>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</si>
  <si>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</si>
  <si>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</si>
  <si>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</si>
  <si>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</si>
  <si>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</si>
  <si>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</si>
  <si>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</si>
  <si>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</si>
  <si>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</si>
  <si>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</si>
  <si>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</si>
  <si>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</si>
  <si>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</si>
  <si>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</si>
  <si>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</si>
  <si>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</si>
  <si>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</si>
  <si>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</si>
  <si>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</si>
  <si>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</si>
  <si>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</si>
  <si>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</si>
  <si>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</si>
  <si>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</si>
  <si>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</si>
  <si>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</si>
  <si>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</si>
  <si>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</si>
  <si>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</si>
  <si>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</si>
  <si>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</si>
  <si>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</si>
  <si>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</si>
  <si>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</si>
  <si>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</si>
  <si>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</si>
  <si>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</si>
  <si>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</si>
  <si>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</si>
  <si>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</si>
  <si>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</si>
  <si>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</si>
  <si>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</si>
  <si>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</si>
  <si>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</si>
  <si>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</si>
  <si>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</si>
  <si>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</si>
  <si>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</si>
  <si>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</si>
  <si>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</si>
  <si>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</si>
  <si>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</si>
  <si>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</si>
  <si>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</si>
  <si>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</si>
  <si>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</si>
  <si>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</si>
  <si>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</si>
  <si>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</si>
  <si>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</si>
  <si>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</si>
  <si>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</si>
  <si>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</si>
  <si>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</si>
  <si>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</si>
  <si>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</si>
  <si>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</si>
  <si>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</si>
  <si>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</si>
  <si>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</si>
  <si>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</si>
  <si>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</si>
  <si>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</si>
  <si>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</si>
  <si>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</si>
  <si>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</si>
  <si>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</si>
  <si>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</si>
  <si>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</si>
  <si>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</si>
  <si>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</si>
  <si>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</si>
  <si>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</si>
  <si>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</si>
  <si>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</si>
  <si>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</si>
  <si>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</si>
  <si>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</si>
  <si>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</si>
  <si>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</si>
  <si>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</si>
  <si>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</si>
  <si>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</si>
  <si>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</si>
  <si>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</si>
  <si>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</si>
  <si>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</si>
  <si>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</si>
  <si>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</si>
  <si>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</si>
  <si>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</si>
  <si>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</si>
  <si>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</si>
  <si>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</si>
  <si>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</si>
  <si>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</si>
  <si>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</si>
  <si>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</si>
  <si>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</si>
  <si>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</si>
  <si>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</si>
  <si>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</si>
  <si>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</si>
  <si>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</si>
  <si>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</si>
  <si>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</si>
  <si>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</si>
  <si>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</si>
  <si>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</si>
  <si>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</si>
  <si>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</si>
  <si>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</si>
  <si>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</si>
  <si>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</si>
  <si>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</si>
  <si>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</si>
  <si>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</si>
  <si>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</si>
  <si>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</si>
  <si>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</si>
  <si>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</si>
  <si>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</si>
  <si>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</si>
  <si>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</si>
  <si>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</si>
  <si>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</si>
  <si>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</si>
  <si>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</si>
  <si>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</si>
  <si>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</si>
  <si>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</si>
  <si>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</si>
  <si>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</si>
  <si>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</si>
  <si>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</si>
  <si>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</si>
  <si>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</si>
  <si>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</si>
  <si>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</si>
  <si>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</si>
  <si>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</si>
  <si>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</si>
  <si>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</si>
  <si>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</si>
  <si>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</si>
  <si>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</si>
  <si>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</si>
  <si>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</si>
  <si>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</si>
  <si>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</si>
  <si>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</si>
  <si>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</si>
  <si>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</si>
  <si>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</si>
  <si>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</si>
  <si>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</si>
  <si>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</si>
  <si>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</si>
  <si>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</si>
  <si>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</si>
  <si>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</si>
  <si>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</si>
  <si>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</si>
  <si>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</si>
  <si>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</si>
  <si>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</si>
  <si>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</si>
  <si>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</si>
  <si>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</si>
  <si>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</si>
  <si>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</si>
  <si>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</si>
  <si>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</si>
  <si>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</si>
  <si>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</si>
  <si>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</si>
  <si>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</si>
  <si>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</si>
  <si>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</si>
  <si>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</si>
  <si>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</si>
  <si>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</si>
  <si>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</si>
  <si>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</si>
  <si>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</si>
  <si>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</si>
  <si>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</si>
  <si>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</si>
  <si>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</si>
  <si>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</si>
  <si>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</si>
  <si>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</si>
  <si>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</si>
  <si>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</si>
  <si>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</si>
  <si>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</si>
  <si>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</si>
  <si>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</si>
  <si>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</si>
  <si>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</si>
  <si>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</si>
  <si>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</si>
  <si>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</si>
  <si>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</si>
  <si>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</si>
  <si>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</si>
  <si>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</si>
  <si>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</si>
  <si>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</si>
  <si>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</si>
  <si>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</si>
  <si>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</si>
  <si>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</si>
  <si>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</si>
  <si>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</si>
  <si>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</si>
  <si>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</si>
  <si>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</si>
  <si>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</si>
  <si>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</si>
  <si>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</si>
  <si>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</si>
  <si>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</si>
  <si>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</si>
  <si>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</si>
  <si>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</si>
  <si>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</si>
  <si>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</si>
  <si>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</si>
  <si>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</si>
  <si>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</si>
  <si>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</si>
  <si>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</si>
  <si>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</si>
  <si>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</si>
  <si>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</si>
  <si>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</si>
  <si>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</si>
  <si>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</si>
  <si>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</si>
  <si>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</si>
  <si>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</si>
  <si>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</si>
  <si>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</si>
  <si>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</si>
  <si>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</si>
  <si>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</si>
  <si>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</si>
  <si>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</si>
  <si>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</si>
  <si>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</si>
  <si>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</si>
  <si>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</si>
  <si>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</si>
  <si>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</si>
  <si>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</si>
  <si>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</si>
  <si>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</si>
  <si>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</si>
  <si>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</si>
  <si>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</si>
  <si>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</si>
  <si>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</si>
  <si>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</si>
  <si>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</si>
  <si>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</si>
  <si>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</si>
  <si>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</si>
  <si>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</si>
  <si>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</si>
  <si>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1.1.1</t>
  </si>
  <si>
    <t>1.1.2</t>
  </si>
  <si>
    <t>1.2.1</t>
  </si>
  <si>
    <t>1.3.1</t>
  </si>
  <si>
    <t>1.3.2</t>
  </si>
  <si>
    <t>1.2</t>
  </si>
  <si>
    <t>1.3</t>
  </si>
  <si>
    <t>W5</t>
  </si>
  <si>
    <t>W9</t>
  </si>
  <si>
    <t>DEFINED</t>
    <phoneticPr fontId="1" type="noConversion"/>
  </si>
  <si>
    <t>PDF</t>
    <phoneticPr fontId="1" type="noConversion"/>
  </si>
  <si>
    <t>3</t>
  </si>
  <si>
    <t>Notepad</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</si>
  <si>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</si>
  <si>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</si>
  <si>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</si>
  <si>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</si>
  <si>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</si>
  <si>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</si>
  <si>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</si>
  <si>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</si>
  <si>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</si>
  <si>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</si>
  <si>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</si>
  <si>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</si>
  <si>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</si>
  <si>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</si>
  <si>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</si>
  <si>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</si>
  <si>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</si>
  <si>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</si>
  <si>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</si>
  <si>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</si>
  <si>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</si>
  <si>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</si>
  <si>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</si>
  <si>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</si>
  <si>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</si>
  <si>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</si>
  <si>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</si>
  <si>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</si>
  <si>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</si>
  <si>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</si>
  <si>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</si>
  <si>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</si>
  <si>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</si>
  <si>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</si>
  <si>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</si>
  <si>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</si>
  <si>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</si>
  <si>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</si>
  <si>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</si>
  <si>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</si>
  <si>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</si>
  <si>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</si>
  <si>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</si>
  <si>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</si>
  <si>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</si>
  <si>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</si>
  <si>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</si>
  <si>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</si>
  <si>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</si>
  <si>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</si>
  <si>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</si>
  <si>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</si>
  <si>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</si>
  <si>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</si>
  <si>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</si>
  <si>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</si>
  <si>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</si>
  <si>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</si>
  <si>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</si>
  <si>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</si>
  <si>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</si>
  <si>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</si>
  <si>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</si>
  <si>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</si>
  <si>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</si>
  <si>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</si>
  <si>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</si>
  <si>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</si>
  <si>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</si>
  <si>
    <t>담당</t>
    <phoneticPr fontId="3" type="noConversion"/>
  </si>
  <si>
    <t>산출물</t>
    <phoneticPr fontId="3" type="noConversion"/>
  </si>
  <si>
    <t>계획</t>
    <phoneticPr fontId="3" type="noConversion"/>
  </si>
  <si>
    <t>실적*</t>
    <phoneticPr fontId="3" type="noConversion"/>
  </si>
  <si>
    <t>담당별_x000D_
진행율</t>
  </si>
  <si>
    <t>* 담당별로 투입된 Task와 총작업량, 계획작업량, 진척작업을 Man-day로 보여주고, 계획/실적 진행율을 보여줍니다.</t>
  </si>
  <si>
    <t>* "담당별진행율" 메뉴를 클릭해야 내용이 갱신됩니다.</t>
  </si>
  <si>
    <t>작업</t>
  </si>
  <si>
    <t>시작일</t>
  </si>
  <si>
    <t>완료일</t>
  </si>
  <si>
    <t>자원배정비율</t>
  </si>
  <si>
    <t>총작업량(A)_x000D_
Man-day</t>
  </si>
  <si>
    <t>계획작업량(B)_x000D_
Man-day</t>
  </si>
  <si>
    <t>실적기성( C )_x000D_
Man-day</t>
  </si>
  <si>
    <t>계획(B/A)</t>
  </si>
  <si>
    <t>실적(C/A)</t>
  </si>
  <si>
    <t>차이(실적-계획)</t>
  </si>
  <si>
    <t>총합계</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</si>
  <si>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</si>
  <si>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</si>
  <si>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</si>
  <si>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</si>
  <si>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</si>
  <si>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</si>
  <si>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</si>
  <si>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</si>
  <si>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프로젝트 관리</t>
  </si>
  <si>
    <t>분석</t>
  </si>
  <si>
    <t>설계</t>
  </si>
  <si>
    <t>통합테스트</t>
  </si>
  <si>
    <t>2</t>
  </si>
  <si>
    <t>W13</t>
  </si>
  <si>
    <t>W17</t>
  </si>
  <si>
    <t>W21</t>
  </si>
  <si>
    <t>W25</t>
  </si>
  <si>
    <t>W29</t>
  </si>
  <si>
    <t>06/12
W25</t>
  </si>
  <si>
    <t>07/10
W29</t>
  </si>
  <si>
    <t>08/07
W33</t>
  </si>
  <si>
    <t>09/04
W37</t>
  </si>
  <si>
    <t>10/02
W41</t>
  </si>
  <si>
    <t>10/30
W45</t>
  </si>
  <si>
    <t>11/27
W49</t>
  </si>
  <si>
    <t>12/25
W53</t>
  </si>
  <si>
    <t>4</t>
  </si>
  <si>
    <t>㈜영진공사 아암 제2보세 ODCY 자동화 게이트 및 재고관리 시스템 구축</t>
    <phoneticPr fontId="1" type="noConversion"/>
  </si>
  <si>
    <t>파워포인트</t>
    <phoneticPr fontId="1" type="noConversion"/>
  </si>
  <si>
    <t>자동지정</t>
    <phoneticPr fontId="1" type="noConversion"/>
  </si>
  <si>
    <t>워드</t>
    <phoneticPr fontId="1" type="noConversion"/>
  </si>
  <si>
    <t>엑셀</t>
    <phoneticPr fontId="1" type="noConversion"/>
  </si>
  <si>
    <t>개발</t>
  </si>
  <si>
    <t>시스템 개발</t>
  </si>
  <si>
    <t>요구사항 정의</t>
  </si>
  <si>
    <t>구현</t>
  </si>
  <si>
    <t>프로그램 설계</t>
  </si>
  <si>
    <t>업무별 분석</t>
  </si>
  <si>
    <t>코드관리</t>
  </si>
  <si>
    <t>Yar Design</t>
  </si>
  <si>
    <t>Yard Plan</t>
  </si>
  <si>
    <t>On-Dock</t>
  </si>
  <si>
    <t>Gate Operation</t>
  </si>
  <si>
    <t>Yard Crane</t>
  </si>
  <si>
    <t>Monitoring</t>
  </si>
  <si>
    <t>Administartion</t>
  </si>
  <si>
    <t>대외정보서비스(Web)</t>
  </si>
  <si>
    <t>프로그램 Coding 및 단위테스트</t>
  </si>
  <si>
    <t>Conversion 및 Release</t>
  </si>
  <si>
    <t>안정화 지원</t>
  </si>
  <si>
    <t>데이터 Migration</t>
  </si>
  <si>
    <t>시스템오픈</t>
  </si>
  <si>
    <t>2.1</t>
  </si>
  <si>
    <t>2.1.1</t>
  </si>
  <si>
    <t>2.1.2</t>
  </si>
  <si>
    <t>2.1.2.1</t>
  </si>
  <si>
    <t>2.1.2.2</t>
  </si>
  <si>
    <t>2.1.2.3</t>
  </si>
  <si>
    <t>2.1.2.4</t>
  </si>
  <si>
    <t>2.1.2.5</t>
  </si>
  <si>
    <t>2.1.2.6</t>
  </si>
  <si>
    <t>2.1.2.7</t>
  </si>
  <si>
    <t>2.1.2.8</t>
  </si>
  <si>
    <t>2.1.2.9</t>
  </si>
  <si>
    <t>2.2</t>
  </si>
  <si>
    <t>2.2.1</t>
  </si>
  <si>
    <t>2.2.2</t>
  </si>
  <si>
    <t>2.2.3</t>
  </si>
  <si>
    <t>2.3</t>
  </si>
  <si>
    <t>2.3.1</t>
  </si>
  <si>
    <t>2.3.1.1</t>
  </si>
  <si>
    <t>2.4</t>
  </si>
  <si>
    <t>2.5</t>
  </si>
  <si>
    <t>2.5.1</t>
  </si>
  <si>
    <t>2.4.1</t>
  </si>
  <si>
    <t>Gate 장비</t>
  </si>
  <si>
    <t>설계 및 발주 제작</t>
  </si>
  <si>
    <t>서버 입고</t>
  </si>
  <si>
    <t>설치</t>
  </si>
  <si>
    <t>서버 및 사용소프트웨어</t>
  </si>
  <si>
    <t>제작</t>
  </si>
  <si>
    <t>배선/배관 공사</t>
  </si>
  <si>
    <t>3.1</t>
  </si>
  <si>
    <t>3.2</t>
  </si>
  <si>
    <t>3.3</t>
  </si>
  <si>
    <t>3.4</t>
  </si>
  <si>
    <t>4.1</t>
  </si>
  <si>
    <t>4.2</t>
  </si>
  <si>
    <t>4.3</t>
  </si>
  <si>
    <t>프로젝트 착수 및 계획수립</t>
  </si>
  <si>
    <t>프로젝트 수행 및 통제</t>
  </si>
  <si>
    <t>중간보고</t>
  </si>
  <si>
    <t>프로젝트 종료</t>
  </si>
  <si>
    <t>종료보고</t>
  </si>
  <si>
    <t>검수 및 종료</t>
  </si>
  <si>
    <t>시스템오픈 후 지원</t>
  </si>
  <si>
    <t>데이터베이스 구축</t>
  </si>
  <si>
    <t>소프트웨어 설치</t>
  </si>
  <si>
    <t>2.3.1.2</t>
  </si>
  <si>
    <t>2.3.1.3</t>
  </si>
  <si>
    <t>2.3.1.4</t>
  </si>
  <si>
    <t>2.3.1.5</t>
  </si>
  <si>
    <t>2.3.1.6</t>
  </si>
  <si>
    <t>2.3.1.7</t>
  </si>
  <si>
    <t>2.3.1.8</t>
  </si>
  <si>
    <t>2.3.1.9</t>
  </si>
  <si>
    <t>2.3.2</t>
  </si>
  <si>
    <t>2.3.2.1</t>
  </si>
  <si>
    <t>2.3.2.1.1</t>
  </si>
  <si>
    <t>2.3.2.1.2</t>
  </si>
  <si>
    <t>2.3.2.1.3</t>
  </si>
  <si>
    <t>2.6</t>
  </si>
  <si>
    <t>2.6.1</t>
  </si>
  <si>
    <t>Open</t>
  </si>
  <si>
    <t>광복절</t>
    <phoneticPr fontId="1" type="noConversion"/>
  </si>
  <si>
    <t>추석</t>
    <phoneticPr fontId="1" type="noConversion"/>
  </si>
  <si>
    <t>추석(대체)</t>
    <phoneticPr fontId="1" type="noConversion"/>
  </si>
  <si>
    <t>제천절</t>
    <phoneticPr fontId="1" type="noConversion"/>
  </si>
  <si>
    <t>한글날(대체)</t>
    <phoneticPr fontId="1" type="noConversion"/>
  </si>
  <si>
    <t>5</t>
  </si>
  <si>
    <t>김명석부장</t>
  </si>
  <si>
    <t>오현우과장</t>
  </si>
  <si>
    <t>TODAY</t>
    <phoneticPr fontId="1" type="noConversion"/>
  </si>
  <si>
    <t>프로젝트 진척율 - 일정변경 관리할때</t>
    <phoneticPr fontId="3" type="noConversion"/>
  </si>
  <si>
    <t>박철규매니저</t>
  </si>
  <si>
    <t>손범신매니저</t>
  </si>
  <si>
    <t>프로젝트 계획수립</t>
  </si>
  <si>
    <t>1.1.2.1</t>
  </si>
  <si>
    <t>분석 정리 및 확인</t>
  </si>
  <si>
    <t>2.1.2.10</t>
  </si>
  <si>
    <t>Database 연계 디자인 및 설계</t>
  </si>
  <si>
    <t>UI 분석</t>
  </si>
  <si>
    <t>박철규매니저[50%]</t>
  </si>
  <si>
    <t>테이블명세서
프로그램명세서
: ~ 2022-08-12 까지</t>
  </si>
  <si>
    <t>교육</t>
  </si>
  <si>
    <t>2.4.2</t>
  </si>
  <si>
    <t>통합테스트 및 교육</t>
  </si>
  <si>
    <t>착수보고서: 2022-06-15</t>
  </si>
  <si>
    <t>프로젝트 착수 및 착수보고(Kick off)</t>
  </si>
  <si>
    <t>WBS 작성</t>
  </si>
  <si>
    <t xml:space="preserve"> System Main Code </t>
  </si>
  <si>
    <t xml:space="preserve"> Container Size Management </t>
  </si>
  <si>
    <t xml:space="preserve"> Container Type Management </t>
  </si>
  <si>
    <t xml:space="preserve"> Container ISO Management </t>
  </si>
  <si>
    <t xml:space="preserve"> Container Class Management </t>
  </si>
  <si>
    <t xml:space="preserve"> Container Status Management </t>
  </si>
  <si>
    <t xml:space="preserve"> Container Operator Management </t>
  </si>
  <si>
    <t xml:space="preserve"> Equipment Management </t>
  </si>
  <si>
    <t xml:space="preserve"> Container Lease Term Management </t>
  </si>
  <si>
    <t xml:space="preserve"> Virtual VVD Management </t>
  </si>
  <si>
    <t xml:space="preserve"> Gate Lane Management </t>
  </si>
  <si>
    <t xml:space="preserve"> Grounding Category Management </t>
  </si>
  <si>
    <t xml:space="preserve"> Yard Scale Setting </t>
  </si>
  <si>
    <t xml:space="preserve"> Yard Design &amp; Information </t>
  </si>
  <si>
    <t xml:space="preserve"> Block Bay Cell Design </t>
  </si>
  <si>
    <t xml:space="preserve"> Block Void &amp; Lock Design </t>
  </si>
  <si>
    <t xml:space="preserve"> Log In </t>
  </si>
  <si>
    <t xml:space="preserve"> Block List </t>
  </si>
  <si>
    <t xml:space="preserve"> 반/출입 작업 처리 </t>
  </si>
  <si>
    <t xml:space="preserve"> 컨테이너 명세 조회 </t>
  </si>
  <si>
    <t xml:space="preserve"> Re-Marshalling </t>
  </si>
  <si>
    <t xml:space="preserve"> Preferred Area Plan</t>
  </si>
  <si>
    <t xml:space="preserve"> Plan Maintenance </t>
  </si>
  <si>
    <t xml:space="preserve"> Copino Management </t>
  </si>
  <si>
    <t xml:space="preserve"> Gate In / Out Progress </t>
  </si>
  <si>
    <t xml:space="preserve"> Manual Gate In </t>
  </si>
  <si>
    <t xml:space="preserve"> Manual Gate Out </t>
  </si>
  <si>
    <t xml:space="preserve"> Empty Pickup Plan </t>
  </si>
  <si>
    <t xml:space="preserve"> Empty Auto Pickup Rule </t>
  </si>
  <si>
    <t xml:space="preserve"> Empty Auto Pickup Rule Setting </t>
  </si>
  <si>
    <t xml:space="preserve"> Container Holding Management </t>
  </si>
  <si>
    <t xml:space="preserve"> Empty Swap Management </t>
  </si>
  <si>
    <t>On-Dock (Empty Pickup)</t>
  </si>
  <si>
    <t>Empty In-Out</t>
  </si>
  <si>
    <t xml:space="preserve"> Gate In/Out Option Management </t>
  </si>
  <si>
    <t xml:space="preserve"> Operator Gate In/Out Option </t>
  </si>
  <si>
    <t xml:space="preserve"> Booking Management </t>
  </si>
  <si>
    <t xml:space="preserve"> Booking Detail Management </t>
  </si>
  <si>
    <t>Gate ATM</t>
  </si>
  <si>
    <t xml:space="preserve"> In Gate ATM </t>
  </si>
  <si>
    <t xml:space="preserve"> Out Gate ATM </t>
  </si>
  <si>
    <t xml:space="preserve"> Trouble Booth ATM </t>
  </si>
  <si>
    <t xml:space="preserve"> Yard View </t>
  </si>
  <si>
    <t xml:space="preserve"> Block View </t>
  </si>
  <si>
    <t xml:space="preserve"> Bay View </t>
  </si>
  <si>
    <t>Container</t>
  </si>
  <si>
    <t xml:space="preserve">Container Information </t>
  </si>
  <si>
    <t>Engine</t>
  </si>
  <si>
    <t xml:space="preserve"> Container Grounding Engine </t>
  </si>
  <si>
    <t xml:space="preserve"> Job Function </t>
  </si>
  <si>
    <t xml:space="preserve"> Empty Pickup Engine </t>
  </si>
  <si>
    <t>System</t>
  </si>
  <si>
    <t xml:space="preserve"> User Management </t>
  </si>
  <si>
    <t xml:space="preserve"> User Group Management </t>
  </si>
  <si>
    <t xml:space="preserve"> EXE File Management </t>
  </si>
  <si>
    <t xml:space="preserve"> Menu &amp; EXE File Mapping </t>
  </si>
  <si>
    <t xml:space="preserve"> Related File Management </t>
  </si>
  <si>
    <t xml:space="preserve"> EXE &amp; Related File Management </t>
  </si>
  <si>
    <t xml:space="preserve"> User Authority Management </t>
  </si>
  <si>
    <t xml:space="preserve"> Menu Management </t>
  </si>
  <si>
    <t xml:space="preserve"> Program Management </t>
  </si>
  <si>
    <t>2.3.1.1.1</t>
  </si>
  <si>
    <t>2.3.1.1.2</t>
  </si>
  <si>
    <t>2.3.1.1.3</t>
  </si>
  <si>
    <t>2.3.1.1.4</t>
  </si>
  <si>
    <t>2.3.1.1.5</t>
  </si>
  <si>
    <t>2.3.1.1.6</t>
  </si>
  <si>
    <t>2.3.1.1.7</t>
  </si>
  <si>
    <t>2.3.1.1.8</t>
  </si>
  <si>
    <t>2.3.1.1.9</t>
  </si>
  <si>
    <t>2.3.1.1.10</t>
  </si>
  <si>
    <t>2.3.1.1.11</t>
  </si>
  <si>
    <t>2.3.1.1.12</t>
  </si>
  <si>
    <t>2.3.1.2.1</t>
  </si>
  <si>
    <t>2.3.1.2.2</t>
  </si>
  <si>
    <t>2.3.1.2.3</t>
  </si>
  <si>
    <t>2.3.1.3.1</t>
  </si>
  <si>
    <t>2.3.1.3.2</t>
  </si>
  <si>
    <t>2.3.1.3.3</t>
  </si>
  <si>
    <t>2.3.1.3.4</t>
  </si>
  <si>
    <t>2.3.1.3.5</t>
  </si>
  <si>
    <t>2.3.1.3.6</t>
  </si>
  <si>
    <t>2.3.1.4.1</t>
  </si>
  <si>
    <t>2.3.1.4.2</t>
  </si>
  <si>
    <t>2.3.1.4.3</t>
  </si>
  <si>
    <t>2.3.1.5.1</t>
  </si>
  <si>
    <t>2.3.1.5.2</t>
  </si>
  <si>
    <t>2.3.1.6.1</t>
  </si>
  <si>
    <t>2.3.1.6.2</t>
  </si>
  <si>
    <t>2.3.1.6.3</t>
  </si>
  <si>
    <t>2.3.1.6.4</t>
  </si>
  <si>
    <t>2.3.1.6.5</t>
  </si>
  <si>
    <t>2.3.1.7.1</t>
  </si>
  <si>
    <t>2.3.1.7.2</t>
  </si>
  <si>
    <t>2.3.1.7.3</t>
  </si>
  <si>
    <t>2.3.1.7.4</t>
  </si>
  <si>
    <t>2.3.1.8.1</t>
  </si>
  <si>
    <t>2.3.1.8.2</t>
  </si>
  <si>
    <t>2.3.1.8.3</t>
  </si>
  <si>
    <t>2.3.1.8.4</t>
  </si>
  <si>
    <t>2.3.1.9.1</t>
  </si>
  <si>
    <t>2.3.1.9.2</t>
  </si>
  <si>
    <t>2.3.1.9.3</t>
  </si>
  <si>
    <t>2.3.1.10</t>
  </si>
  <si>
    <t>2.3.1.10.1</t>
  </si>
  <si>
    <t>2.3.1.11</t>
  </si>
  <si>
    <t>2.3.1.11.1</t>
  </si>
  <si>
    <t>2.3.1.11.2</t>
  </si>
  <si>
    <t>2.3.1.11.3</t>
  </si>
  <si>
    <t>2.3.1.12</t>
  </si>
  <si>
    <t>2.3.1.12.1</t>
  </si>
  <si>
    <t>2.3.1.12.2</t>
  </si>
  <si>
    <t>2.3.1.12.3</t>
  </si>
  <si>
    <t>2.3.1.12.4</t>
  </si>
  <si>
    <t>2.3.1.12.5</t>
  </si>
  <si>
    <t>2.3.1.12.6</t>
  </si>
  <si>
    <t>2.3.1.13</t>
  </si>
  <si>
    <t>2.3.1.13.1</t>
  </si>
  <si>
    <t>2.3.1.13.2</t>
  </si>
  <si>
    <t>2.3.1.13.3</t>
  </si>
  <si>
    <t>2.3.1.13.4</t>
  </si>
  <si>
    <t>2.3.1.14</t>
  </si>
  <si>
    <t>2.3.1.14.1</t>
  </si>
  <si>
    <t>PGM1</t>
  </si>
  <si>
    <t>PGM2</t>
  </si>
  <si>
    <t>PGM3</t>
  </si>
  <si>
    <t>PGM4</t>
  </si>
  <si>
    <t>PGM5</t>
  </si>
  <si>
    <t>PGM6</t>
  </si>
  <si>
    <t>PGM7</t>
  </si>
  <si>
    <t>PGM8</t>
  </si>
  <si>
    <t>PGM9</t>
  </si>
  <si>
    <t>PGM10</t>
  </si>
  <si>
    <t>2.3.1.14.2</t>
  </si>
  <si>
    <t>2.3.1.14.3</t>
  </si>
  <si>
    <t>2.3.1.14.4</t>
  </si>
  <si>
    <t>2.3.1.14.5</t>
  </si>
  <si>
    <t>2.3.1.14.6</t>
  </si>
  <si>
    <t>2.3.1.14.7</t>
  </si>
  <si>
    <t>2.3.1.14.8</t>
  </si>
  <si>
    <t>2.3.1.14.9</t>
  </si>
  <si>
    <t>2.3.1.14.10</t>
  </si>
  <si>
    <t>공인준매니저</t>
  </si>
  <si>
    <t>통합테스트 결과</t>
  </si>
  <si>
    <t>설치보고서(검수): 2022.12.30</t>
  </si>
  <si>
    <t>실제시작일</t>
  </si>
  <si>
    <t>실제완료일</t>
  </si>
  <si>
    <t>실제 총작업량_x000D_
Man-day</t>
  </si>
  <si>
    <t>김명석부장 요약</t>
  </si>
  <si>
    <t>박철규매니저 요약</t>
  </si>
  <si>
    <t>손범신매니저 요약</t>
  </si>
  <si>
    <t>오현우과장 요약</t>
  </si>
  <si>
    <t>대외정보서비스(Web) - 추후 Define  예정</t>
  </si>
  <si>
    <t>Yard Design</t>
  </si>
  <si>
    <t>손범신매니저[25%]</t>
  </si>
  <si>
    <t>2.1.2.11</t>
  </si>
  <si>
    <t>2.1.2.12</t>
  </si>
  <si>
    <t>2.1.2.13</t>
  </si>
  <si>
    <t>2.1.2.14</t>
  </si>
  <si>
    <t>2.1.2.15</t>
  </si>
  <si>
    <t>박철규매니저[33%]</t>
  </si>
  <si>
    <t>Application 으로 논의</t>
  </si>
  <si>
    <t>요구사항명세서
프로세스저의서
표준지침서
 - 개발(토딩/UI)표준: 2022-08-12</t>
  </si>
  <si>
    <t>소스코드/사용자/운영자 매뉴얼
: 2022-11-15 까지</t>
  </si>
  <si>
    <t>설치보고서(검수): 2022.12.30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</si>
</sst>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65">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rgb="FFFF8800"/>
      <name val="맑은 고딕"/>
      <family val="3"/>
      <charset val="129"/>
      <scheme val="minor"/>
    </font>
    <font>
      <b/>
      <sz val="10"/>
      <color theme="10"/>
      <name val="Malgun Gothic"/>
      <family val="3"/>
      <charset val="129"/>
    </font>
    <font>
      <b/>
      <sz val="9"/>
      <color rgb="FFFF8800"/>
      <name val="돋움"/>
      <family val="3"/>
      <charset val="129"/>
    </font>
    <font>
      <b/>
      <sz val="11"/>
      <name val="Calibri"/>
      <family val="2"/>
    </font>
    <font>
      <sz val="11"/>
      <name val="돋움"/>
      <family val="3"/>
      <charset val="129"/>
    </font>
    <font>
      <sz val="9"/>
      <color rgb="FFFF0000"/>
      <name val="맑은 고딕"/>
      <family val="3"/>
      <charset val="129"/>
      <scheme val="minor"/>
    </font>
    <font>
      <sz val="9"/>
      <color theme="1"/>
      <name val="맑은 고딕"/>
      <family val="3"/>
      <charset val="129"/>
      <scheme val="minor"/>
    </font>
    <font>
      <sz val="12"/>
      <name val="맑은 고딕"/>
      <family val="3"/>
      <charset val="129"/>
      <scheme val="minor"/>
    </font>
    <font>
      <i/>
      <sz val="9"/>
      <name val="맑은 고딕"/>
      <family val="3"/>
      <charset val="129"/>
      <scheme val="minor"/>
    </font>
    <font>
      <b/>
      <sz val="10"/>
      <color rgb="FFFF0000"/>
      <name val="맑은 고딕"/>
      <family val="3"/>
      <charset val="129"/>
      <scheme val="minor"/>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
      <patternFill patternType="solid">
        <fgColor theme="3" tint="0.79995117038483843"/>
        <bgColor indexed="64"/>
      </patternFill>
    </fill>
    <fill>
      <patternFill patternType="solid">
        <fgColor theme="1" tint="0.499984740745262"/>
        <bgColor indexed="64"/>
      </patternFill>
    </fill>
    <fill>
      <patternFill patternType="solid">
        <fgColor theme="7" tint="0.79998168889431442"/>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4">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xf numFmtId="0" fontId="59" fillId="0" borderId="0"/>
  </cellStyleXfs>
  <cellXfs count="319">
    <xf numFmtId="0" fontId="0" fillId="0" borderId="0" xfId="0"/>
    <xf numFmtId="0" fontId="5" fillId="0" borderId="0" xfId="0" applyFont="1" applyFill="1" applyBorder="1" applyAlignment="1">
      <alignment vertical="center"/>
    </xf>
    <xf numFmtId="0" fontId="4" fillId="0" borderId="0" xfId="0" applyFont="1" applyFill="1" applyBorder="1" applyAlignment="1">
      <alignment vertical="center"/>
    </xf>
    <xf numFmtId="14" fontId="6" fillId="0" borderId="0" xfId="0" applyNumberFormat="1" applyFont="1" applyFill="1" applyBorder="1" applyAlignment="1" applyProtection="1">
      <alignment vertical="center"/>
    </xf>
    <xf numFmtId="14" fontId="7" fillId="0" borderId="0" xfId="0" applyNumberFormat="1" applyFont="1" applyFill="1" applyBorder="1" applyAlignment="1" applyProtection="1">
      <alignment vertical="center"/>
    </xf>
    <xf numFmtId="14" fontId="8" fillId="2" borderId="0" xfId="0" quotePrefix="1" applyNumberFormat="1" applyFont="1" applyFill="1" applyBorder="1" applyProtection="1"/>
    <xf numFmtId="14" fontId="8" fillId="2" borderId="0" xfId="0" applyNumberFormat="1" applyFont="1" applyFill="1" applyBorder="1" applyAlignment="1" applyProtection="1">
      <alignment vertical="center"/>
    </xf>
    <xf numFmtId="0" fontId="8" fillId="2" borderId="0" xfId="0" applyFont="1" applyFill="1" applyBorder="1" applyProtection="1"/>
    <xf numFmtId="176" fontId="10" fillId="2" borderId="0" xfId="0" applyNumberFormat="1" applyFont="1" applyFill="1" applyBorder="1" applyAlignment="1" applyProtection="1">
      <alignment vertical="center"/>
      <protection locked="0"/>
    </xf>
    <xf numFmtId="14" fontId="9" fillId="2" borderId="0" xfId="0" applyNumberFormat="1" applyFont="1" applyFill="1" applyBorder="1" applyAlignment="1" applyProtection="1">
      <alignment vertical="center"/>
    </xf>
    <xf numFmtId="14" fontId="8" fillId="0" borderId="6" xfId="0" applyNumberFormat="1" applyFont="1" applyFill="1" applyBorder="1" applyAlignment="1" applyProtection="1">
      <alignment vertical="top"/>
      <protection locked="0"/>
    </xf>
    <xf numFmtId="14" fontId="8" fillId="0" borderId="6" xfId="0" applyNumberFormat="1" applyFont="1" applyFill="1" applyBorder="1" applyAlignment="1" applyProtection="1">
      <alignment vertical="center"/>
      <protection locked="0"/>
    </xf>
    <xf numFmtId="0" fontId="8" fillId="0" borderId="6" xfId="0" applyFont="1" applyFill="1" applyBorder="1" applyAlignment="1" applyProtection="1">
      <alignment vertical="top"/>
      <protection locked="0"/>
    </xf>
    <xf numFmtId="0" fontId="8" fillId="0" borderId="6" xfId="0" applyFont="1" applyFill="1" applyBorder="1" applyAlignment="1" applyProtection="1">
      <alignment vertical="center" wrapText="1"/>
      <protection locked="0"/>
    </xf>
    <xf numFmtId="0" fontId="8" fillId="0" borderId="6" xfId="0" applyFont="1" applyFill="1" applyBorder="1" applyAlignment="1" applyProtection="1">
      <alignment vertical="center"/>
      <protection locked="0"/>
    </xf>
    <xf numFmtId="0" fontId="8" fillId="0" borderId="0" xfId="0" applyFont="1" applyFill="1" applyBorder="1" applyAlignment="1" applyProtection="1">
      <alignment vertical="top"/>
      <protection locked="0"/>
    </xf>
    <xf numFmtId="14" fontId="11" fillId="0" borderId="0" xfId="0" applyNumberFormat="1" applyFont="1" applyFill="1" applyBorder="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Fill="1" applyBorder="1" applyAlignment="1" applyProtection="1">
      <alignment horizontal="right" vertical="top"/>
      <protection locked="0"/>
    </xf>
    <xf numFmtId="14" fontId="8" fillId="0" borderId="8" xfId="0" applyNumberFormat="1" applyFont="1" applyFill="1" applyBorder="1" applyAlignment="1" applyProtection="1">
      <alignment vertical="center"/>
      <protection locked="0"/>
    </xf>
    <xf numFmtId="0" fontId="8" fillId="0" borderId="8" xfId="0" applyFont="1" applyFill="1" applyBorder="1" applyAlignment="1" applyProtection="1">
      <alignment vertical="top"/>
      <protection locked="0"/>
    </xf>
    <xf numFmtId="0" fontId="8" fillId="0" borderId="8" xfId="0" applyFont="1" applyFill="1" applyBorder="1" applyAlignment="1" applyProtection="1">
      <alignment vertical="center"/>
      <protection locked="0"/>
    </xf>
    <xf numFmtId="14" fontId="11" fillId="0" borderId="0" xfId="0" applyNumberFormat="1" applyFont="1" applyFill="1" applyBorder="1" applyAlignment="1" applyProtection="1">
      <alignment vertical="top"/>
      <protection locked="0"/>
    </xf>
    <xf numFmtId="14" fontId="8" fillId="0" borderId="0" xfId="0" applyNumberFormat="1" applyFont="1" applyFill="1" applyBorder="1" applyAlignment="1" applyProtection="1">
      <alignment vertical="center"/>
      <protection locked="0"/>
    </xf>
    <xf numFmtId="0" fontId="8" fillId="0" borderId="9" xfId="0" applyFont="1" applyFill="1" applyBorder="1" applyAlignment="1" applyProtection="1">
      <alignment vertical="center" wrapText="1"/>
      <protection locked="0"/>
    </xf>
    <xf numFmtId="14" fontId="8" fillId="0" borderId="0" xfId="0" applyNumberFormat="1" applyFont="1" applyFill="1" applyBorder="1" applyAlignment="1" applyProtection="1">
      <alignment vertical="top"/>
      <protection locked="0"/>
    </xf>
    <xf numFmtId="14" fontId="11" fillId="0" borderId="8" xfId="0" applyNumberFormat="1" applyFont="1" applyFill="1" applyBorder="1" applyAlignment="1" applyProtection="1">
      <alignment vertical="top"/>
      <protection locked="0"/>
    </xf>
    <xf numFmtId="0" fontId="8" fillId="0" borderId="8" xfId="0" applyFont="1" applyFill="1" applyBorder="1" applyAlignment="1" applyProtection="1">
      <alignment vertical="center" wrapText="1"/>
      <protection locked="0"/>
    </xf>
    <xf numFmtId="14" fontId="11" fillId="0" borderId="9" xfId="0" applyNumberFormat="1" applyFont="1" applyFill="1" applyBorder="1" applyAlignment="1" applyProtection="1">
      <alignment vertical="center" wrapText="1"/>
      <protection locked="0"/>
    </xf>
    <xf numFmtId="14" fontId="11" fillId="0" borderId="0" xfId="0" applyNumberFormat="1" applyFont="1" applyFill="1" applyBorder="1" applyAlignment="1" applyProtection="1">
      <alignment horizontal="right" vertical="center" wrapText="1"/>
      <protection locked="0"/>
    </xf>
    <xf numFmtId="14" fontId="11" fillId="0" borderId="8" xfId="0" applyNumberFormat="1" applyFont="1" applyFill="1" applyBorder="1" applyAlignment="1" applyProtection="1">
      <alignment vertical="center" wrapText="1"/>
      <protection locked="0"/>
    </xf>
    <xf numFmtId="0" fontId="8" fillId="0" borderId="8" xfId="0" applyFont="1" applyFill="1" applyBorder="1" applyProtection="1">
      <protection locked="0"/>
    </xf>
    <xf numFmtId="0" fontId="8" fillId="0" borderId="0" xfId="0" applyFont="1" applyFill="1" applyBorder="1" applyProtection="1">
      <protection locked="0"/>
    </xf>
    <xf numFmtId="14" fontId="8" fillId="0" borderId="0" xfId="0" applyNumberFormat="1" applyFont="1" applyFill="1" applyBorder="1" applyProtection="1">
      <protection locked="0"/>
    </xf>
    <xf numFmtId="14" fontId="8" fillId="0" borderId="9" xfId="0" applyNumberFormat="1" applyFont="1" applyFill="1" applyBorder="1" applyAlignment="1" applyProtection="1">
      <alignment vertical="center"/>
      <protection locked="0"/>
    </xf>
    <xf numFmtId="0" fontId="8" fillId="0" borderId="9" xfId="0" applyFont="1" applyFill="1" applyBorder="1" applyProtection="1">
      <protection locked="0"/>
    </xf>
    <xf numFmtId="14" fontId="8" fillId="0" borderId="10" xfId="0" applyNumberFormat="1" applyFont="1" applyFill="1" applyBorder="1" applyAlignment="1" applyProtection="1">
      <alignment vertical="center"/>
      <protection locked="0"/>
    </xf>
    <xf numFmtId="0" fontId="8" fillId="0" borderId="10" xfId="0" applyFont="1" applyFill="1" applyBorder="1" applyAlignment="1" applyProtection="1">
      <alignment vertical="top"/>
      <protection locked="0"/>
    </xf>
    <xf numFmtId="14" fontId="11" fillId="0" borderId="9" xfId="0" applyNumberFormat="1" applyFont="1" applyFill="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Fill="1" applyBorder="1" applyAlignment="1" applyProtection="1">
      <alignment horizontal="right" vertical="top"/>
      <protection locked="0"/>
    </xf>
    <xf numFmtId="14" fontId="11" fillId="0" borderId="6" xfId="0" applyNumberFormat="1" applyFont="1" applyFill="1" applyBorder="1" applyAlignment="1" applyProtection="1">
      <alignment horizontal="right" vertical="top"/>
      <protection locked="0"/>
    </xf>
    <xf numFmtId="14" fontId="11" fillId="0" borderId="11" xfId="0" applyNumberFormat="1" applyFont="1" applyFill="1" applyBorder="1" applyAlignment="1" applyProtection="1">
      <alignment horizontal="right" vertical="top"/>
      <protection locked="0"/>
    </xf>
    <xf numFmtId="14" fontId="8" fillId="0" borderId="11" xfId="0" applyNumberFormat="1" applyFont="1" applyFill="1" applyBorder="1" applyAlignment="1" applyProtection="1">
      <alignment vertical="center"/>
      <protection locked="0"/>
    </xf>
    <xf numFmtId="0" fontId="8" fillId="0" borderId="11" xfId="0" applyFont="1" applyFill="1" applyBorder="1" applyAlignment="1" applyProtection="1">
      <alignment vertical="top"/>
      <protection locked="0"/>
    </xf>
    <xf numFmtId="14" fontId="11" fillId="0" borderId="12" xfId="0" applyNumberFormat="1" applyFont="1" applyFill="1" applyBorder="1" applyAlignment="1" applyProtection="1">
      <alignment vertical="top"/>
      <protection locked="0"/>
    </xf>
    <xf numFmtId="14" fontId="8" fillId="0" borderId="12" xfId="0" applyNumberFormat="1" applyFont="1" applyFill="1" applyBorder="1" applyAlignment="1" applyProtection="1">
      <alignment vertical="center"/>
      <protection locked="0"/>
    </xf>
    <xf numFmtId="0" fontId="8" fillId="0" borderId="12" xfId="0" applyFont="1" applyFill="1" applyBorder="1" applyAlignment="1" applyProtection="1">
      <alignment vertical="top"/>
      <protection locked="0"/>
    </xf>
    <xf numFmtId="0" fontId="8" fillId="0" borderId="9" xfId="0" applyFont="1" applyFill="1" applyBorder="1" applyAlignment="1" applyProtection="1">
      <alignment vertical="center"/>
      <protection locked="0"/>
    </xf>
    <xf numFmtId="10" fontId="8" fillId="4" borderId="7" xfId="0" applyNumberFormat="1" applyFont="1" applyFill="1" applyBorder="1" applyAlignment="1" applyProtection="1">
      <alignment vertical="center"/>
    </xf>
    <xf numFmtId="14" fontId="8" fillId="0" borderId="13" xfId="0" applyNumberFormat="1" applyFont="1" applyFill="1" applyBorder="1" applyAlignment="1" applyProtection="1">
      <alignment horizontal="right" vertical="top"/>
      <protection locked="0"/>
    </xf>
    <xf numFmtId="14" fontId="8" fillId="0" borderId="13" xfId="0" applyNumberFormat="1" applyFont="1" applyFill="1" applyBorder="1" applyAlignment="1" applyProtection="1">
      <alignment vertical="center"/>
      <protection locked="0"/>
    </xf>
    <xf numFmtId="0" fontId="8" fillId="0" borderId="13" xfId="0" applyFont="1" applyFill="1" applyBorder="1" applyAlignment="1" applyProtection="1">
      <alignment vertical="top"/>
      <protection locked="0"/>
    </xf>
    <xf numFmtId="0" fontId="8" fillId="0" borderId="13" xfId="0" applyFont="1" applyFill="1" applyBorder="1" applyAlignment="1" applyProtection="1">
      <alignment vertical="center"/>
      <protection locked="0"/>
    </xf>
    <xf numFmtId="14" fontId="7" fillId="0" borderId="0" xfId="0" applyNumberFormat="1" applyFont="1" applyFill="1" applyBorder="1" applyAlignment="1" applyProtection="1">
      <alignment vertical="top"/>
      <protection locked="0"/>
    </xf>
    <xf numFmtId="14" fontId="7" fillId="0" borderId="0" xfId="0" applyNumberFormat="1" applyFont="1" applyFill="1" applyBorder="1" applyAlignment="1" applyProtection="1">
      <alignment vertical="center"/>
      <protection locked="0"/>
    </xf>
    <xf numFmtId="0" fontId="7" fillId="0" borderId="0" xfId="0" applyFont="1" applyFill="1" applyBorder="1" applyAlignment="1" applyProtection="1">
      <alignment vertical="top"/>
      <protection locked="0"/>
    </xf>
    <xf numFmtId="14" fontId="7" fillId="0" borderId="0" xfId="0" applyNumberFormat="1" applyFont="1" applyFill="1" applyBorder="1" applyProtection="1">
      <protection locked="0"/>
    </xf>
    <xf numFmtId="179" fontId="7" fillId="0" borderId="0" xfId="0" applyNumberFormat="1" applyFont="1" applyFill="1" applyBorder="1" applyAlignment="1" applyProtection="1">
      <alignment vertical="center"/>
      <protection locked="0"/>
    </xf>
    <xf numFmtId="0" fontId="7" fillId="0" borderId="0" xfId="0" applyFont="1" applyFill="1" applyBorder="1" applyProtection="1">
      <protection locked="0"/>
    </xf>
    <xf numFmtId="1" fontId="7" fillId="0" borderId="0" xfId="0" applyNumberFormat="1" applyFont="1" applyFill="1" applyBorder="1" applyAlignment="1" applyProtection="1">
      <alignment vertical="center"/>
      <protection locked="0"/>
    </xf>
    <xf numFmtId="176" fontId="7" fillId="0" borderId="0" xfId="0" applyNumberFormat="1" applyFont="1" applyFill="1" applyBorder="1" applyAlignment="1" applyProtection="1">
      <alignment vertical="center"/>
      <protection locked="0"/>
    </xf>
    <xf numFmtId="0" fontId="5" fillId="0" borderId="0" xfId="0" applyFont="1" applyFill="1" applyBorder="1" applyAlignment="1">
      <alignment vertical="center"/>
    </xf>
    <xf numFmtId="0" fontId="7" fillId="5" borderId="1" xfId="0" applyFont="1" applyFill="1" applyBorder="1" applyAlignment="1">
      <alignment horizontal="left" wrapText="1"/>
    </xf>
    <xf numFmtId="14" fontId="7" fillId="0" borderId="0" xfId="0" applyNumberFormat="1" applyFont="1" applyFill="1" applyProtection="1"/>
    <xf numFmtId="14" fontId="7" fillId="2" borderId="0" xfId="0" applyNumberFormat="1" applyFont="1" applyFill="1" applyAlignment="1" applyProtection="1">
      <alignment vertical="top"/>
    </xf>
    <xf numFmtId="14" fontId="13" fillId="3" borderId="14" xfId="0" applyNumberFormat="1" applyFont="1" applyFill="1" applyBorder="1" applyAlignment="1" applyProtection="1">
      <alignment horizontal="center" vertical="center"/>
    </xf>
    <xf numFmtId="14" fontId="7" fillId="0" borderId="0" xfId="0" applyNumberFormat="1" applyFont="1" applyAlignment="1" applyProtection="1">
      <alignment horizontal="center" vertical="center"/>
    </xf>
    <xf numFmtId="14" fontId="7" fillId="0" borderId="0" xfId="0" applyNumberFormat="1" applyFont="1" applyProtection="1"/>
    <xf numFmtId="0" fontId="8" fillId="7" borderId="15" xfId="0" applyFont="1" applyFill="1" applyBorder="1" applyAlignment="1">
      <alignment horizontal="left" vertical="top"/>
    </xf>
    <xf numFmtId="0" fontId="8" fillId="0" borderId="0" xfId="0" applyFont="1" applyFill="1" applyAlignment="1">
      <alignment horizontal="left" vertical="top"/>
    </xf>
    <xf numFmtId="0" fontId="8" fillId="0" borderId="0" xfId="0" applyFont="1" applyFill="1" applyBorder="1" applyAlignment="1">
      <alignment vertical="top"/>
    </xf>
    <xf numFmtId="0" fontId="8" fillId="0" borderId="0" xfId="0" applyFont="1" applyFill="1" applyAlignment="1">
      <alignment vertical="top"/>
    </xf>
    <xf numFmtId="14" fontId="8" fillId="0" borderId="0" xfId="0" applyNumberFormat="1" applyFont="1" applyFill="1" applyAlignment="1">
      <alignment horizontal="left" vertical="top"/>
    </xf>
    <xf numFmtId="22" fontId="8" fillId="0" borderId="0" xfId="0" applyNumberFormat="1" applyFont="1" applyFill="1" applyAlignment="1">
      <alignment horizontal="left" vertical="top"/>
    </xf>
    <xf numFmtId="0" fontId="7" fillId="5" borderId="2" xfId="0" applyFont="1" applyFill="1" applyBorder="1" applyAlignment="1">
      <alignment horizontal="left" wrapText="1"/>
    </xf>
    <xf numFmtId="0" fontId="7" fillId="0" borderId="0" xfId="0" applyNumberFormat="1" applyFont="1" applyBorder="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applyProtection="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0" fontId="19" fillId="0" borderId="0" xfId="0" applyFont="1"/>
    <xf numFmtId="14" fontId="16" fillId="0" borderId="14" xfId="0" applyNumberFormat="1" applyFont="1" applyFill="1" applyBorder="1" applyProtection="1">
      <protection locked="0"/>
    </xf>
    <xf numFmtId="14" fontId="16" fillId="0" borderId="14" xfId="0" applyNumberFormat="1" applyFont="1" applyBorder="1" applyProtection="1"/>
    <xf numFmtId="0" fontId="21" fillId="0" borderId="0" xfId="0" applyFont="1"/>
    <xf numFmtId="0" fontId="8" fillId="0" borderId="0" xfId="0" applyFont="1" applyProtection="1">
      <protection locked="0"/>
    </xf>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protection locked="0"/>
    </xf>
    <xf numFmtId="0" fontId="7" fillId="0" borderId="0" xfId="0" applyFont="1" applyFill="1" applyBorder="1" applyAlignment="1" applyProtection="1">
      <alignment horizontal="left"/>
      <protection locked="0"/>
    </xf>
    <xf numFmtId="10" fontId="7" fillId="0" borderId="0" xfId="0" applyNumberFormat="1" applyFont="1" applyFill="1" applyBorder="1" applyAlignment="1" applyProtection="1">
      <alignment horizontal="left"/>
      <protection locked="0"/>
    </xf>
    <xf numFmtId="0" fontId="7" fillId="0" borderId="0" xfId="0" quotePrefix="1"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10" fontId="7" fillId="0" borderId="0" xfId="0" applyNumberFormat="1" applyFont="1" applyFill="1" applyBorder="1" applyAlignment="1" applyProtection="1">
      <alignment horizontal="center"/>
      <protection locked="0"/>
    </xf>
    <xf numFmtId="0" fontId="7" fillId="0" borderId="0" xfId="0" applyFont="1" applyBorder="1"/>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21" fillId="0" borderId="0" xfId="0" applyFont="1" applyBorder="1"/>
    <xf numFmtId="0" fontId="8" fillId="0" borderId="0" xfId="0" applyFont="1" applyBorder="1" applyProtection="1">
      <protection locked="0"/>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Border="1" applyAlignment="1">
      <alignment vertical="top"/>
    </xf>
    <xf numFmtId="0" fontId="8" fillId="20" borderId="0" xfId="0" applyFont="1" applyFill="1" applyBorder="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47" fillId="0" borderId="0" xfId="0" applyFont="1" applyFill="1"/>
    <xf numFmtId="0" fontId="50" fillId="8" borderId="17" xfId="1" applyFont="1" applyFill="1" applyBorder="1" applyAlignment="1" applyProtection="1">
      <alignment horizontal="center" vertical="center" wrapText="1"/>
      <protection locked="0"/>
    </xf>
    <xf numFmtId="0" fontId="14" fillId="20" borderId="0" xfId="0" applyFont="1" applyFill="1" applyAlignment="1"/>
    <xf numFmtId="0" fontId="2" fillId="20" borderId="0" xfId="1" applyFill="1" applyBorder="1" applyAlignment="1">
      <alignment horizontal="left" vertical="top"/>
    </xf>
    <xf numFmtId="14" fontId="8" fillId="20" borderId="0" xfId="0" applyNumberFormat="1" applyFont="1" applyFill="1" applyBorder="1" applyAlignment="1">
      <alignment horizontal="left" vertical="top"/>
    </xf>
    <xf numFmtId="0" fontId="8" fillId="18" borderId="0" xfId="0" applyFont="1" applyFill="1" applyAlignment="1">
      <alignment vertical="top"/>
    </xf>
    <xf numFmtId="0" fontId="8" fillId="18" borderId="0" xfId="0" applyFont="1" applyFill="1" applyBorder="1" applyAlignment="1">
      <alignment vertical="top"/>
    </xf>
    <xf numFmtId="0" fontId="8" fillId="18" borderId="0" xfId="0" quotePrefix="1" applyFont="1" applyFill="1" applyBorder="1" applyAlignment="1">
      <alignment horizontal="left" vertical="top"/>
    </xf>
    <xf numFmtId="0" fontId="8" fillId="18" borderId="0" xfId="0" applyFont="1" applyFill="1" applyBorder="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0" fontId="55" fillId="0" borderId="0" xfId="0" applyFont="1" applyAlignment="1">
      <alignment horizontal="left" vertical="center"/>
    </xf>
    <xf numFmtId="10" fontId="7" fillId="0" borderId="0" xfId="0" applyNumberFormat="1" applyFont="1" applyBorder="1"/>
    <xf numFmtId="0" fontId="43" fillId="18" borderId="28" xfId="0" applyFont="1" applyFill="1" applyBorder="1" applyAlignment="1">
      <alignment horizontal="left" vertical="center"/>
    </xf>
    <xf numFmtId="10" fontId="7" fillId="5" borderId="2" xfId="0" applyNumberFormat="1" applyFont="1" applyFill="1" applyBorder="1" applyAlignment="1">
      <alignment horizontal="left" wrapText="1"/>
    </xf>
    <xf numFmtId="0" fontId="7" fillId="5" borderId="2" xfId="0" applyNumberFormat="1" applyFont="1" applyFill="1" applyBorder="1" applyAlignment="1">
      <alignment horizontal="left" wrapText="1"/>
    </xf>
    <xf numFmtId="10" fontId="18" fillId="21"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10" fontId="18" fillId="0" borderId="23" xfId="2" applyNumberFormat="1" applyFont="1" applyFill="1" applyBorder="1" applyAlignment="1" applyProtection="1">
      <alignment horizontal="right" vertical="top"/>
      <protection locked="0"/>
    </xf>
    <xf numFmtId="0" fontId="7" fillId="0" borderId="0" xfId="0" quotePrefix="1" applyFont="1" applyBorder="1"/>
    <xf numFmtId="0" fontId="2" fillId="0" borderId="0" xfId="1" quotePrefix="1" applyBorder="1"/>
    <xf numFmtId="14" fontId="7" fillId="0" borderId="0" xfId="0" applyNumberFormat="1" applyFont="1" applyBorder="1"/>
    <xf numFmtId="0" fontId="58" fillId="22" borderId="0" xfId="0" quotePrefix="1" applyFont="1" applyFill="1" applyBorder="1"/>
    <xf numFmtId="0" fontId="2" fillId="22" borderId="0" xfId="1" quotePrefix="1" applyFill="1" applyBorder="1"/>
    <xf numFmtId="0" fontId="7" fillId="22" borderId="0" xfId="0" quotePrefix="1" applyFont="1" applyFill="1" applyBorder="1"/>
    <xf numFmtId="14" fontId="7" fillId="22" borderId="0" xfId="0" applyNumberFormat="1" applyFont="1" applyFill="1" applyBorder="1"/>
    <xf numFmtId="10" fontId="7" fillId="22" borderId="0" xfId="0" applyNumberFormat="1" applyFont="1" applyFill="1" applyBorder="1"/>
    <xf numFmtId="0" fontId="7" fillId="22" borderId="0" xfId="0" applyNumberFormat="1" applyFont="1" applyFill="1" applyBorder="1"/>
    <xf numFmtId="0" fontId="58" fillId="22" borderId="0" xfId="0" applyFont="1" applyFill="1" applyBorder="1"/>
    <xf numFmtId="0" fontId="7" fillId="22" borderId="0" xfId="0" applyFont="1" applyFill="1" applyBorder="1"/>
    <xf numFmtId="0" fontId="43" fillId="18" borderId="27" xfId="0" applyFont="1" applyFill="1" applyBorder="1" applyAlignment="1">
      <alignment horizontal="left" vertical="center"/>
    </xf>
    <xf numFmtId="0" fontId="18" fillId="0" borderId="24" xfId="0" applyFont="1" applyBorder="1" applyAlignment="1" applyProtection="1">
      <alignment horizontal="right" vertical="top"/>
      <protection locked="0"/>
    </xf>
    <xf numFmtId="0" fontId="18" fillId="0" borderId="5" xfId="0" applyFont="1" applyBorder="1" applyAlignment="1" applyProtection="1">
      <alignment horizontal="right" vertical="top"/>
      <protection locked="0"/>
    </xf>
    <xf numFmtId="0" fontId="18" fillId="0" borderId="23" xfId="3" applyFont="1" applyFill="1" applyBorder="1" applyAlignment="1" applyProtection="1">
      <alignment horizontal="left" vertical="center"/>
      <protection locked="0"/>
    </xf>
    <xf numFmtId="0" fontId="18" fillId="0" borderId="23" xfId="0" applyFont="1" applyBorder="1" applyAlignment="1" applyProtection="1">
      <alignment horizontal="left" vertical="center"/>
      <protection locked="0"/>
    </xf>
    <xf numFmtId="0" fontId="60" fillId="0" borderId="23" xfId="3" applyFont="1" applyFill="1" applyBorder="1" applyAlignment="1" applyProtection="1">
      <alignment horizontal="left" vertical="center"/>
      <protection locked="0"/>
    </xf>
    <xf numFmtId="0" fontId="60" fillId="0" borderId="23" xfId="0" applyFont="1" applyBorder="1" applyAlignment="1" applyProtection="1">
      <alignment horizontal="left" vertical="top"/>
      <protection locked="0"/>
    </xf>
    <xf numFmtId="14" fontId="60" fillId="0" borderId="23" xfId="0" applyNumberFormat="1" applyFont="1" applyBorder="1" applyAlignment="1" applyProtection="1">
      <alignment horizontal="center" vertical="top"/>
      <protection locked="0"/>
    </xf>
    <xf numFmtId="0" fontId="41" fillId="16" borderId="0" xfId="0" applyFont="1" applyFill="1" applyAlignment="1">
      <alignment horizontal="left" vertical="center"/>
    </xf>
    <xf numFmtId="14" fontId="18" fillId="0" borderId="23" xfId="0" applyNumberFormat="1" applyFont="1" applyBorder="1" applyAlignment="1" applyProtection="1">
      <alignment horizontal="left" vertical="top" wrapText="1"/>
      <protection locked="0"/>
    </xf>
    <xf numFmtId="14" fontId="18" fillId="0" borderId="23" xfId="0" applyNumberFormat="1" applyFont="1" applyBorder="1" applyAlignment="1" applyProtection="1">
      <alignment horizontal="left" vertical="top"/>
      <protection locked="0"/>
    </xf>
    <xf numFmtId="14" fontId="18" fillId="0" borderId="23" xfId="0" applyNumberFormat="1" applyFont="1" applyBorder="1" applyAlignment="1" applyProtection="1">
      <alignment vertical="center" wrapText="1"/>
      <protection locked="0"/>
    </xf>
    <xf numFmtId="14" fontId="18" fillId="0" borderId="23" xfId="0" applyNumberFormat="1" applyFont="1" applyBorder="1" applyAlignment="1" applyProtection="1">
      <alignment vertical="center"/>
      <protection locked="0"/>
    </xf>
    <xf numFmtId="0" fontId="61" fillId="0" borderId="23" xfId="0" applyFont="1" applyBorder="1" applyAlignment="1" applyProtection="1">
      <alignment horizontal="left" vertical="top"/>
      <protection locked="0"/>
    </xf>
    <xf numFmtId="14" fontId="61" fillId="0" borderId="23" xfId="0" applyNumberFormat="1" applyFont="1" applyBorder="1" applyAlignment="1" applyProtection="1">
      <alignment horizontal="center" vertical="top"/>
      <protection locked="0"/>
    </xf>
    <xf numFmtId="0" fontId="62" fillId="0" borderId="23" xfId="0" quotePrefix="1" applyFont="1" applyBorder="1" applyAlignment="1" applyProtection="1">
      <alignment horizontal="left" vertical="top"/>
      <protection locked="0"/>
    </xf>
    <xf numFmtId="0" fontId="62" fillId="0" borderId="23" xfId="0" applyFont="1" applyBorder="1" applyAlignment="1" applyProtection="1">
      <alignment horizontal="left" vertical="top"/>
      <protection locked="0"/>
    </xf>
    <xf numFmtId="0" fontId="7" fillId="5" borderId="3" xfId="0" applyFont="1" applyFill="1" applyBorder="1" applyAlignment="1">
      <alignment horizontal="left" wrapText="1"/>
    </xf>
    <xf numFmtId="0" fontId="63" fillId="0" borderId="23" xfId="0" applyFont="1" applyBorder="1" applyAlignment="1" applyProtection="1">
      <alignment horizontal="left" vertical="top"/>
      <protection locked="0"/>
    </xf>
    <xf numFmtId="0" fontId="18" fillId="23" borderId="23" xfId="0" quotePrefix="1" applyFont="1" applyFill="1" applyBorder="1" applyAlignment="1" applyProtection="1">
      <alignment horizontal="left" vertical="top"/>
      <protection locked="0"/>
    </xf>
    <xf numFmtId="0" fontId="18" fillId="23" borderId="23" xfId="0" applyFont="1" applyFill="1" applyBorder="1" applyAlignment="1" applyProtection="1">
      <alignment horizontal="left" vertical="top"/>
      <protection locked="0"/>
    </xf>
    <xf numFmtId="0" fontId="18" fillId="23" borderId="23" xfId="3" applyFont="1" applyFill="1" applyBorder="1" applyAlignment="1" applyProtection="1">
      <alignment horizontal="left" vertical="center"/>
      <protection locked="0"/>
    </xf>
    <xf numFmtId="14" fontId="18" fillId="23" borderId="23" xfId="0" applyNumberFormat="1" applyFont="1" applyFill="1" applyBorder="1" applyAlignment="1" applyProtection="1">
      <alignment horizontal="center" vertical="top"/>
      <protection locked="0"/>
    </xf>
    <xf numFmtId="178" fontId="18" fillId="23" borderId="23" xfId="0" applyNumberFormat="1" applyFont="1" applyFill="1" applyBorder="1" applyAlignment="1" applyProtection="1">
      <alignment horizontal="center" vertical="top"/>
      <protection locked="0"/>
    </xf>
    <xf numFmtId="177" fontId="18" fillId="23" borderId="23" xfId="0" applyNumberFormat="1" applyFont="1" applyFill="1" applyBorder="1" applyAlignment="1" applyProtection="1">
      <alignment horizontal="center" vertical="top"/>
      <protection locked="0"/>
    </xf>
    <xf numFmtId="1" fontId="18" fillId="23" borderId="23" xfId="0" applyNumberFormat="1" applyFont="1" applyFill="1" applyBorder="1" applyAlignment="1" applyProtection="1">
      <alignment horizontal="center" vertical="top"/>
      <protection locked="0"/>
    </xf>
    <xf numFmtId="0" fontId="7" fillId="0" borderId="18" xfId="0" applyFont="1" applyFill="1" applyBorder="1" applyAlignment="1" applyProtection="1">
      <alignment horizontal="left" vertical="top" wrapText="1"/>
      <protection locked="0"/>
    </xf>
    <xf numFmtId="0" fontId="7" fillId="0" borderId="18" xfId="0" applyFont="1" applyFill="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Fill="1" applyAlignment="1">
      <alignment horizontal="left" vertical="top" wrapText="1"/>
    </xf>
    <xf numFmtId="0" fontId="21" fillId="0" borderId="0" xfId="0" applyFont="1" applyFill="1" applyAlignment="1">
      <alignment horizontal="left" vertical="top" wrapText="1"/>
    </xf>
    <xf numFmtId="0" fontId="27" fillId="14" borderId="0" xfId="0" applyFont="1" applyFill="1" applyAlignment="1">
      <alignment horizontal="left" vertical="top" wrapText="1"/>
    </xf>
    <xf numFmtId="0" fontId="18" fillId="24" borderId="23" xfId="0" applyFont="1" applyFill="1" applyBorder="1" applyAlignment="1" applyProtection="1">
      <alignment horizontal="center" vertical="center" wrapText="1"/>
      <protection locked="0"/>
    </xf>
    <xf numFmtId="14" fontId="18" fillId="0" borderId="23" xfId="0" applyNumberFormat="1" applyFont="1" applyBorder="1" applyAlignment="1" applyProtection="1">
      <alignment horizontal="left" vertical="top" wrapText="1"/>
      <protection locked="0"/>
    </xf>
    <xf numFmtId="14" fontId="18" fillId="0" borderId="23" xfId="0" applyNumberFormat="1" applyFont="1" applyBorder="1" applyAlignment="1" applyProtection="1">
      <alignment horizontal="left" vertical="top"/>
      <protection locked="0"/>
    </xf>
    <xf numFmtId="14" fontId="18" fillId="0" borderId="23" xfId="0" applyNumberFormat="1" applyFont="1" applyBorder="1" applyAlignment="1" applyProtection="1">
      <alignment horizontal="left" vertical="center" wrapText="1"/>
      <protection locked="0"/>
    </xf>
    <xf numFmtId="14" fontId="18" fillId="0" borderId="23" xfId="0" applyNumberFormat="1" applyFont="1" applyBorder="1" applyAlignment="1" applyProtection="1">
      <alignment horizontal="left" vertical="center"/>
      <protection locked="0"/>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right" vertical="center"/>
    </xf>
    <xf numFmtId="0" fontId="17" fillId="17" borderId="2" xfId="0" applyFont="1" applyFill="1" applyBorder="1" applyAlignment="1">
      <alignment horizontal="right"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0" fontId="8" fillId="0" borderId="0" xfId="0" applyFont="1" applyFill="1" applyBorder="1" applyAlignment="1" applyProtection="1">
      <alignment horizontal="left" vertical="center" wrapText="1"/>
      <protection locked="0"/>
    </xf>
    <xf numFmtId="0" fontId="8" fillId="0" borderId="0" xfId="0" applyFont="1" applyFill="1" applyBorder="1" applyAlignment="1" applyProtection="1">
      <alignment horizontal="left" vertical="center"/>
      <protection locked="0"/>
    </xf>
    <xf numFmtId="0" fontId="5" fillId="0" borderId="0" xfId="0" applyFont="1" applyFill="1" applyBorder="1" applyAlignment="1">
      <alignment horizontal="left" vertical="center"/>
    </xf>
    <xf numFmtId="0" fontId="4" fillId="0" borderId="0" xfId="0" applyFont="1" applyFill="1" applyBorder="1" applyAlignment="1">
      <alignment horizontal="left" vertical="center"/>
    </xf>
    <xf numFmtId="14" fontId="9" fillId="2" borderId="0" xfId="0" applyNumberFormat="1" applyFont="1" applyFill="1" applyBorder="1" applyAlignment="1" applyProtection="1">
      <alignment horizontal="right" vertical="center"/>
    </xf>
    <xf numFmtId="0" fontId="20" fillId="0" borderId="0" xfId="0" applyFont="1" applyFill="1" applyBorder="1" applyAlignment="1" applyProtection="1">
      <alignment horizontal="left" vertical="center" wrapText="1"/>
      <protection locked="0"/>
    </xf>
    <xf numFmtId="14" fontId="7" fillId="2" borderId="0" xfId="0" applyNumberFormat="1" applyFont="1" applyFill="1" applyBorder="1" applyAlignment="1" applyProtection="1">
      <alignment horizontal="left" vertical="top" wrapText="1"/>
    </xf>
    <xf numFmtId="14" fontId="12" fillId="6" borderId="14" xfId="0" applyNumberFormat="1" applyFont="1" applyFill="1" applyBorder="1" applyAlignment="1" applyProtection="1">
      <alignment horizontal="center" vertical="center"/>
      <protection locked="0"/>
    </xf>
    <xf numFmtId="0" fontId="64" fillId="0" borderId="23" xfId="3" applyFont="1" applyFill="1" applyBorder="1" applyAlignment="1" applyProtection="1">
      <alignment horizontal="left" vertical="center"/>
      <protection locked="0"/>
    </xf>
    <xf numFmtId="0" fontId="64" fillId="0" borderId="23" xfId="0" applyFont="1" applyBorder="1" applyAlignment="1" applyProtection="1">
      <alignment horizontal="left" vertical="top"/>
      <protection locked="0"/>
    </xf>
  </cellXfs>
  <cellStyles count="4">
    <cellStyle name="백분율" xfId="2" builtinId="5"/>
    <cellStyle name="표준" xfId="0" builtinId="0"/>
    <cellStyle name="표준 2" xfId="3" xr:uid="{CF165B91-8F86-4753-B358-A35A705476E1}"/>
    <cellStyle name="하이퍼링크" xfId="1" builtinId="8"/>
  </cellStyles>
  <dxfs count="15">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34</xdr:col>
      <xdr:colOff>40821</xdr:colOff>
      <xdr:row>25</xdr:row>
      <xdr:rowOff>100013</xdr:rowOff>
    </xdr:from>
    <xdr:to>
      <xdr:col>34</xdr:col>
      <xdr:colOff>42090</xdr:colOff>
      <xdr:row>26</xdr:row>
      <xdr:rowOff>100013</xdr:rowOff>
    </xdr:to>
    <xdr:cxnSp macro="">
      <xdr:nvCxnSpPr>
        <xdr:cNvPr id="64670" name="연결선: 꺾임 64669">
          <a:extLst>
            <a:ext uri="{FF2B5EF4-FFF2-40B4-BE49-F238E27FC236}">
              <a16:creationId xmlns:a16="http://schemas.microsoft.com/office/drawing/2014/main" id="{1C7EE2DD-F7BF-450D-A2A8-4DF7F0932D54}"/>
            </a:ext>
          </a:extLst>
        </xdr:cNvPr>
        <xdr:cNvCxnSpPr>
          <a:stCxn id="75467" idx="3"/>
          <a:endCxn id="75465" idx="1"/>
        </xdr:cNvCxnSpPr>
      </xdr:nvCxnSpPr>
      <xdr:spPr>
        <a:xfrm flipH="1">
          <a:off x="13804446" y="4986338"/>
          <a:ext cx="1269" cy="200025"/>
        </a:xfrm>
        <a:prstGeom prst="bentConnector5">
          <a:avLst>
            <a:gd name="adj1" fmla="val -18014184"/>
            <a:gd name="adj2" fmla="val 50000"/>
            <a:gd name="adj3" fmla="val 18114184"/>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102054</xdr:colOff>
      <xdr:row>24</xdr:row>
      <xdr:rowOff>100013</xdr:rowOff>
    </xdr:from>
    <xdr:to>
      <xdr:col>33</xdr:col>
      <xdr:colOff>103324</xdr:colOff>
      <xdr:row>25</xdr:row>
      <xdr:rowOff>100013</xdr:rowOff>
    </xdr:to>
    <xdr:cxnSp macro="">
      <xdr:nvCxnSpPr>
        <xdr:cNvPr id="64669" name="연결선: 꺾임 64668">
          <a:extLst>
            <a:ext uri="{FF2B5EF4-FFF2-40B4-BE49-F238E27FC236}">
              <a16:creationId xmlns:a16="http://schemas.microsoft.com/office/drawing/2014/main" id="{6A2022B8-3E47-496C-B08C-C39C6EE923C3}"/>
            </a:ext>
          </a:extLst>
        </xdr:cNvPr>
        <xdr:cNvCxnSpPr>
          <a:stCxn id="75469" idx="3"/>
          <a:endCxn id="75467" idx="1"/>
        </xdr:cNvCxnSpPr>
      </xdr:nvCxnSpPr>
      <xdr:spPr>
        <a:xfrm flipH="1">
          <a:off x="13722804" y="4786313"/>
          <a:ext cx="1270" cy="200025"/>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23</xdr:row>
      <xdr:rowOff>100013</xdr:rowOff>
    </xdr:from>
    <xdr:to>
      <xdr:col>33</xdr:col>
      <xdr:colOff>62502</xdr:colOff>
      <xdr:row>24</xdr:row>
      <xdr:rowOff>100013</xdr:rowOff>
    </xdr:to>
    <xdr:cxnSp macro="">
      <xdr:nvCxnSpPr>
        <xdr:cNvPr id="64658" name="연결선: 꺾임 64657">
          <a:extLst>
            <a:ext uri="{FF2B5EF4-FFF2-40B4-BE49-F238E27FC236}">
              <a16:creationId xmlns:a16="http://schemas.microsoft.com/office/drawing/2014/main" id="{4540A12E-91C6-40E0-9C8F-600A709E01FB}"/>
            </a:ext>
          </a:extLst>
        </xdr:cNvPr>
        <xdr:cNvCxnSpPr>
          <a:stCxn id="75471" idx="3"/>
          <a:endCxn id="75469" idx="1"/>
        </xdr:cNvCxnSpPr>
      </xdr:nvCxnSpPr>
      <xdr:spPr>
        <a:xfrm flipH="1">
          <a:off x="13681982" y="4586288"/>
          <a:ext cx="1270" cy="200025"/>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123734</xdr:colOff>
      <xdr:row>22</xdr:row>
      <xdr:rowOff>100013</xdr:rowOff>
    </xdr:from>
    <xdr:to>
      <xdr:col>33</xdr:col>
      <xdr:colOff>20411</xdr:colOff>
      <xdr:row>23</xdr:row>
      <xdr:rowOff>100013</xdr:rowOff>
    </xdr:to>
    <xdr:cxnSp macro="">
      <xdr:nvCxnSpPr>
        <xdr:cNvPr id="64657" name="연결선: 꺾임 64656">
          <a:extLst>
            <a:ext uri="{FF2B5EF4-FFF2-40B4-BE49-F238E27FC236}">
              <a16:creationId xmlns:a16="http://schemas.microsoft.com/office/drawing/2014/main" id="{9F3FE0FC-9544-4E28-B83D-988DFC0371C1}"/>
            </a:ext>
          </a:extLst>
        </xdr:cNvPr>
        <xdr:cNvCxnSpPr>
          <a:stCxn id="75473" idx="3"/>
          <a:endCxn id="75471" idx="1"/>
        </xdr:cNvCxnSpPr>
      </xdr:nvCxnSpPr>
      <xdr:spPr>
        <a:xfrm>
          <a:off x="13601609" y="4386263"/>
          <a:ext cx="39552" cy="200025"/>
        </a:xfrm>
        <a:prstGeom prst="bentConnector3">
          <a:avLst>
            <a:gd name="adj1" fmla="val 5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20</xdr:row>
      <xdr:rowOff>100013</xdr:rowOff>
    </xdr:from>
    <xdr:to>
      <xdr:col>32</xdr:col>
      <xdr:colOff>42090</xdr:colOff>
      <xdr:row>21</xdr:row>
      <xdr:rowOff>100013</xdr:rowOff>
    </xdr:to>
    <xdr:cxnSp macro="">
      <xdr:nvCxnSpPr>
        <xdr:cNvPr id="64656" name="연결선: 꺾임 64655">
          <a:extLst>
            <a:ext uri="{FF2B5EF4-FFF2-40B4-BE49-F238E27FC236}">
              <a16:creationId xmlns:a16="http://schemas.microsoft.com/office/drawing/2014/main" id="{2EC4341B-1D59-4D30-A97B-FCF6373DBEB2}"/>
            </a:ext>
          </a:extLst>
        </xdr:cNvPr>
        <xdr:cNvCxnSpPr>
          <a:stCxn id="75477" idx="3"/>
          <a:endCxn id="75475" idx="1"/>
        </xdr:cNvCxnSpPr>
      </xdr:nvCxnSpPr>
      <xdr:spPr>
        <a:xfrm flipH="1">
          <a:off x="13518696" y="3986213"/>
          <a:ext cx="1269" cy="200025"/>
        </a:xfrm>
        <a:prstGeom prst="bentConnector5">
          <a:avLst>
            <a:gd name="adj1" fmla="val -18014184"/>
            <a:gd name="adj2" fmla="val 50000"/>
            <a:gd name="adj3" fmla="val 18114184"/>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102054</xdr:colOff>
      <xdr:row>19</xdr:row>
      <xdr:rowOff>100013</xdr:rowOff>
    </xdr:from>
    <xdr:to>
      <xdr:col>31</xdr:col>
      <xdr:colOff>103324</xdr:colOff>
      <xdr:row>20</xdr:row>
      <xdr:rowOff>100013</xdr:rowOff>
    </xdr:to>
    <xdr:cxnSp macro="">
      <xdr:nvCxnSpPr>
        <xdr:cNvPr id="64655" name="연결선: 꺾임 64654">
          <a:extLst>
            <a:ext uri="{FF2B5EF4-FFF2-40B4-BE49-F238E27FC236}">
              <a16:creationId xmlns:a16="http://schemas.microsoft.com/office/drawing/2014/main" id="{E8651B6F-E724-4DD0-85E8-9AD38FB6EE83}"/>
            </a:ext>
          </a:extLst>
        </xdr:cNvPr>
        <xdr:cNvCxnSpPr>
          <a:stCxn id="75479" idx="3"/>
          <a:endCxn id="75477" idx="1"/>
        </xdr:cNvCxnSpPr>
      </xdr:nvCxnSpPr>
      <xdr:spPr>
        <a:xfrm flipH="1">
          <a:off x="13437054" y="3786188"/>
          <a:ext cx="1270" cy="200025"/>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29" name="연결선: 꺾임 75428">
          <a:extLst>
            <a:ext uri="{FF2B5EF4-FFF2-40B4-BE49-F238E27FC236}">
              <a16:creationId xmlns:a16="http://schemas.microsoft.com/office/drawing/2014/main" id="{75241C5E-914A-43EF-9BE0-35C79F9F3DF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0" name="연결선: 꺾임 75429">
          <a:extLst>
            <a:ext uri="{FF2B5EF4-FFF2-40B4-BE49-F238E27FC236}">
              <a16:creationId xmlns:a16="http://schemas.microsoft.com/office/drawing/2014/main" id="{7C3B0682-B423-4A2F-A248-A1EB0EAA41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1" name="연결선: 꺾임 75430">
          <a:extLst>
            <a:ext uri="{FF2B5EF4-FFF2-40B4-BE49-F238E27FC236}">
              <a16:creationId xmlns:a16="http://schemas.microsoft.com/office/drawing/2014/main" id="{6D1E903C-1CF0-4546-820D-DC51AAF99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2" name="연결선: 꺾임 75431">
          <a:extLst>
            <a:ext uri="{FF2B5EF4-FFF2-40B4-BE49-F238E27FC236}">
              <a16:creationId xmlns:a16="http://schemas.microsoft.com/office/drawing/2014/main" id="{02CB5A9F-D11C-4675-8C08-BE18CFDCE9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3" name="연결선: 꺾임 75432">
          <a:extLst>
            <a:ext uri="{FF2B5EF4-FFF2-40B4-BE49-F238E27FC236}">
              <a16:creationId xmlns:a16="http://schemas.microsoft.com/office/drawing/2014/main" id="{C1E6DEF4-086D-40F3-8E27-B09F689C0C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34" name="연결선: 꺾임 75433">
          <a:extLst>
            <a:ext uri="{FF2B5EF4-FFF2-40B4-BE49-F238E27FC236}">
              <a16:creationId xmlns:a16="http://schemas.microsoft.com/office/drawing/2014/main" id="{9A3D51EA-F10F-4371-826F-F56E10E568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1" name="연결선: 꺾임 75480">
          <a:extLst>
            <a:ext uri="{FF2B5EF4-FFF2-40B4-BE49-F238E27FC236}">
              <a16:creationId xmlns:a16="http://schemas.microsoft.com/office/drawing/2014/main" id="{B7AD90C3-5B20-40A0-93C3-7D3709932E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2" name="연결선: 꺾임 75481">
          <a:extLst>
            <a:ext uri="{FF2B5EF4-FFF2-40B4-BE49-F238E27FC236}">
              <a16:creationId xmlns:a16="http://schemas.microsoft.com/office/drawing/2014/main" id="{2343318F-1DDC-4ED0-9C87-852BBDCCDB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3" name="연결선: 꺾임 75482">
          <a:extLst>
            <a:ext uri="{FF2B5EF4-FFF2-40B4-BE49-F238E27FC236}">
              <a16:creationId xmlns:a16="http://schemas.microsoft.com/office/drawing/2014/main" id="{7ED6C87B-20AB-453D-A7C7-F2BB95796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4" name="연결선: 꺾임 75483">
          <a:extLst>
            <a:ext uri="{FF2B5EF4-FFF2-40B4-BE49-F238E27FC236}">
              <a16:creationId xmlns:a16="http://schemas.microsoft.com/office/drawing/2014/main" id="{8D61EE6C-372B-4D60-8065-D9157C621E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5" name="연결선: 꺾임 75484">
          <a:extLst>
            <a:ext uri="{FF2B5EF4-FFF2-40B4-BE49-F238E27FC236}">
              <a16:creationId xmlns:a16="http://schemas.microsoft.com/office/drawing/2014/main" id="{7CCB9902-8F3A-4A37-84B0-57EF75E9C7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5486" name="연결선: 꺾임 75485">
          <a:extLst>
            <a:ext uri="{FF2B5EF4-FFF2-40B4-BE49-F238E27FC236}">
              <a16:creationId xmlns:a16="http://schemas.microsoft.com/office/drawing/2014/main" id="{F3A13D41-FEB3-49EA-99AD-C84B546C1F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5" name="연결선: 꺾임 77314">
          <a:extLst>
            <a:ext uri="{FF2B5EF4-FFF2-40B4-BE49-F238E27FC236}">
              <a16:creationId xmlns:a16="http://schemas.microsoft.com/office/drawing/2014/main" id="{EB1CBE73-AEAD-4C23-8B6A-FAA64D3B7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6" name="연결선: 꺾임 77315">
          <a:extLst>
            <a:ext uri="{FF2B5EF4-FFF2-40B4-BE49-F238E27FC236}">
              <a16:creationId xmlns:a16="http://schemas.microsoft.com/office/drawing/2014/main" id="{51CB0F9E-407B-4AFB-9750-B0BA9BEB14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7" name="연결선: 꺾임 77316">
          <a:extLst>
            <a:ext uri="{FF2B5EF4-FFF2-40B4-BE49-F238E27FC236}">
              <a16:creationId xmlns:a16="http://schemas.microsoft.com/office/drawing/2014/main" id="{620FC0E5-6331-4CF7-81ED-3BA189AF8A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8" name="연결선: 꺾임 77317">
          <a:extLst>
            <a:ext uri="{FF2B5EF4-FFF2-40B4-BE49-F238E27FC236}">
              <a16:creationId xmlns:a16="http://schemas.microsoft.com/office/drawing/2014/main" id="{19DE0A12-90F5-491E-910D-83174CEC1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19" name="연결선: 꺾임 77318">
          <a:extLst>
            <a:ext uri="{FF2B5EF4-FFF2-40B4-BE49-F238E27FC236}">
              <a16:creationId xmlns:a16="http://schemas.microsoft.com/office/drawing/2014/main" id="{13E5FDCF-F191-4714-B9B6-90E7C120DE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7320" name="연결선: 꺾임 77319">
          <a:extLst>
            <a:ext uri="{FF2B5EF4-FFF2-40B4-BE49-F238E27FC236}">
              <a16:creationId xmlns:a16="http://schemas.microsoft.com/office/drawing/2014/main" id="{FF37D53C-3E11-443A-BD3C-457422277D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142</xdr:row>
      <xdr:rowOff>0</xdr:rowOff>
    </xdr:to>
    <xdr:cxnSp macro="">
      <xdr:nvCxnSpPr>
        <xdr:cNvPr id="78053" name="직선 화살표 연결선 78052">
          <a:extLst>
            <a:ext uri="{FF2B5EF4-FFF2-40B4-BE49-F238E27FC236}">
              <a16:creationId xmlns:a16="http://schemas.microsoft.com/office/drawing/2014/main" id="{F49F9A14-FD84-46B0-BEEC-72C0BA986EA0}"/>
            </a:ext>
          </a:extLst>
        </xdr:cNvPr>
        <xdr:cNvCxnSpPr/>
      </xdr:nvCxnSpPr>
      <xdr:spPr>
        <a:xfrm>
          <a:off x="25527000" y="819023"/>
          <a:ext cx="0" cy="2774645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xdr:row>
      <xdr:rowOff>76073</xdr:rowOff>
    </xdr:from>
    <xdr:to>
      <xdr:col>63</xdr:col>
      <xdr:colOff>0</xdr:colOff>
      <xdr:row>142</xdr:row>
      <xdr:rowOff>0</xdr:rowOff>
    </xdr:to>
    <xdr:cxnSp macro="">
      <xdr:nvCxnSpPr>
        <xdr:cNvPr id="78054" name="직선 화살표 연결선 78053">
          <a:extLst>
            <a:ext uri="{FF2B5EF4-FFF2-40B4-BE49-F238E27FC236}">
              <a16:creationId xmlns:a16="http://schemas.microsoft.com/office/drawing/2014/main" id="{E7A455C5-3A1F-45AF-B2B3-06B8C0A0C316}"/>
            </a:ext>
          </a:extLst>
        </xdr:cNvPr>
        <xdr:cNvCxnSpPr/>
      </xdr:nvCxnSpPr>
      <xdr:spPr>
        <a:xfrm>
          <a:off x="37719000" y="819023"/>
          <a:ext cx="0" cy="27746452"/>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122464</xdr:colOff>
      <xdr:row>141</xdr:row>
      <xdr:rowOff>42863</xdr:rowOff>
    </xdr:from>
    <xdr:to>
      <xdr:col>49</xdr:col>
      <xdr:colOff>1270</xdr:colOff>
      <xdr:row>141</xdr:row>
      <xdr:rowOff>157163</xdr:rowOff>
    </xdr:to>
    <xdr:sp macro="" textlink="">
      <xdr:nvSpPr>
        <xdr:cNvPr id="78055" name="138">
          <a:extLst>
            <a:ext uri="{FF2B5EF4-FFF2-40B4-BE49-F238E27FC236}">
              <a16:creationId xmlns:a16="http://schemas.microsoft.com/office/drawing/2014/main" id="{8205E382-081D-4F43-92B4-3A848D22C9DD}"/>
            </a:ext>
          </a:extLst>
        </xdr:cNvPr>
        <xdr:cNvSpPr/>
      </xdr:nvSpPr>
      <xdr:spPr>
        <a:xfrm>
          <a:off x="15600589" y="28408313"/>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122464</xdr:colOff>
      <xdr:row>141</xdr:row>
      <xdr:rowOff>100013</xdr:rowOff>
    </xdr:from>
    <xdr:to>
      <xdr:col>46</xdr:col>
      <xdr:colOff>122464</xdr:colOff>
      <xdr:row>141</xdr:row>
      <xdr:rowOff>100013</xdr:rowOff>
    </xdr:to>
    <xdr:cxnSp macro="">
      <xdr:nvCxnSpPr>
        <xdr:cNvPr id="78056" name="직선 화살표 연결선 78055">
          <a:extLst>
            <a:ext uri="{FF2B5EF4-FFF2-40B4-BE49-F238E27FC236}">
              <a16:creationId xmlns:a16="http://schemas.microsoft.com/office/drawing/2014/main" id="{9F30D14D-41E9-4907-A3F5-CCA2384BA7DC}"/>
            </a:ext>
          </a:extLst>
        </xdr:cNvPr>
        <xdr:cNvCxnSpPr/>
      </xdr:nvCxnSpPr>
      <xdr:spPr>
        <a:xfrm>
          <a:off x="15600589" y="2846546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102054</xdr:colOff>
      <xdr:row>140</xdr:row>
      <xdr:rowOff>42863</xdr:rowOff>
    </xdr:from>
    <xdr:to>
      <xdr:col>46</xdr:col>
      <xdr:colOff>123734</xdr:colOff>
      <xdr:row>140</xdr:row>
      <xdr:rowOff>157163</xdr:rowOff>
    </xdr:to>
    <xdr:sp macro="" textlink="">
      <xdr:nvSpPr>
        <xdr:cNvPr id="78057" name="137">
          <a:extLst>
            <a:ext uri="{FF2B5EF4-FFF2-40B4-BE49-F238E27FC236}">
              <a16:creationId xmlns:a16="http://schemas.microsoft.com/office/drawing/2014/main" id="{B839CA44-72DB-4FA2-A3F0-2FC49C1EEB37}"/>
            </a:ext>
          </a:extLst>
        </xdr:cNvPr>
        <xdr:cNvSpPr/>
      </xdr:nvSpPr>
      <xdr:spPr>
        <a:xfrm>
          <a:off x="15294429" y="28208288"/>
          <a:ext cx="3074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102054</xdr:colOff>
      <xdr:row>140</xdr:row>
      <xdr:rowOff>100013</xdr:rowOff>
    </xdr:from>
    <xdr:to>
      <xdr:col>44</xdr:col>
      <xdr:colOff>102054</xdr:colOff>
      <xdr:row>140</xdr:row>
      <xdr:rowOff>100013</xdr:rowOff>
    </xdr:to>
    <xdr:cxnSp macro="">
      <xdr:nvCxnSpPr>
        <xdr:cNvPr id="78058" name="직선 화살표 연결선 78057">
          <a:extLst>
            <a:ext uri="{FF2B5EF4-FFF2-40B4-BE49-F238E27FC236}">
              <a16:creationId xmlns:a16="http://schemas.microsoft.com/office/drawing/2014/main" id="{69FE532F-2335-4114-9702-8EC0683C2905}"/>
            </a:ext>
          </a:extLst>
        </xdr:cNvPr>
        <xdr:cNvCxnSpPr/>
      </xdr:nvCxnSpPr>
      <xdr:spPr>
        <a:xfrm>
          <a:off x="15294429" y="2826543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81643</xdr:colOff>
      <xdr:row>139</xdr:row>
      <xdr:rowOff>42863</xdr:rowOff>
    </xdr:from>
    <xdr:to>
      <xdr:col>44</xdr:col>
      <xdr:colOff>103324</xdr:colOff>
      <xdr:row>139</xdr:row>
      <xdr:rowOff>157163</xdr:rowOff>
    </xdr:to>
    <xdr:sp macro="" textlink="">
      <xdr:nvSpPr>
        <xdr:cNvPr id="78059" name="136">
          <a:extLst>
            <a:ext uri="{FF2B5EF4-FFF2-40B4-BE49-F238E27FC236}">
              <a16:creationId xmlns:a16="http://schemas.microsoft.com/office/drawing/2014/main" id="{3A18D7CD-C165-4F3C-BE3E-0163313AE277}"/>
            </a:ext>
          </a:extLst>
        </xdr:cNvPr>
        <xdr:cNvSpPr/>
      </xdr:nvSpPr>
      <xdr:spPr>
        <a:xfrm>
          <a:off x="14988268" y="28008263"/>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81643</xdr:colOff>
      <xdr:row>139</xdr:row>
      <xdr:rowOff>100013</xdr:rowOff>
    </xdr:from>
    <xdr:to>
      <xdr:col>42</xdr:col>
      <xdr:colOff>81643</xdr:colOff>
      <xdr:row>139</xdr:row>
      <xdr:rowOff>100013</xdr:rowOff>
    </xdr:to>
    <xdr:cxnSp macro="">
      <xdr:nvCxnSpPr>
        <xdr:cNvPr id="78060" name="직선 화살표 연결선 78059">
          <a:extLst>
            <a:ext uri="{FF2B5EF4-FFF2-40B4-BE49-F238E27FC236}">
              <a16:creationId xmlns:a16="http://schemas.microsoft.com/office/drawing/2014/main" id="{32EC0B61-7265-41FD-9D04-73671DB0AA49}"/>
            </a:ext>
          </a:extLst>
        </xdr:cNvPr>
        <xdr:cNvCxnSpPr/>
      </xdr:nvCxnSpPr>
      <xdr:spPr>
        <a:xfrm>
          <a:off x="14988268" y="2806541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81643</xdr:colOff>
      <xdr:row>138</xdr:row>
      <xdr:rowOff>42863</xdr:rowOff>
    </xdr:from>
    <xdr:to>
      <xdr:col>49</xdr:col>
      <xdr:colOff>1270</xdr:colOff>
      <xdr:row>138</xdr:row>
      <xdr:rowOff>157163</xdr:rowOff>
    </xdr:to>
    <xdr:sp macro="" textlink="">
      <xdr:nvSpPr>
        <xdr:cNvPr id="78061" name="135">
          <a:extLst>
            <a:ext uri="{FF2B5EF4-FFF2-40B4-BE49-F238E27FC236}">
              <a16:creationId xmlns:a16="http://schemas.microsoft.com/office/drawing/2014/main" id="{A5685FCC-49FA-48FD-BFBE-63386AE78B00}"/>
            </a:ext>
          </a:extLst>
        </xdr:cNvPr>
        <xdr:cNvSpPr/>
      </xdr:nvSpPr>
      <xdr:spPr>
        <a:xfrm>
          <a:off x="14988268" y="27808238"/>
          <a:ext cx="9197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81643</xdr:colOff>
      <xdr:row>138</xdr:row>
      <xdr:rowOff>100013</xdr:rowOff>
    </xdr:from>
    <xdr:to>
      <xdr:col>42</xdr:col>
      <xdr:colOff>81643</xdr:colOff>
      <xdr:row>138</xdr:row>
      <xdr:rowOff>100013</xdr:rowOff>
    </xdr:to>
    <xdr:cxnSp macro="">
      <xdr:nvCxnSpPr>
        <xdr:cNvPr id="78062" name="직선 화살표 연결선 78061">
          <a:extLst>
            <a:ext uri="{FF2B5EF4-FFF2-40B4-BE49-F238E27FC236}">
              <a16:creationId xmlns:a16="http://schemas.microsoft.com/office/drawing/2014/main" id="{CCF9D256-75E6-451B-9C06-BDBE558ED9ED}"/>
            </a:ext>
          </a:extLst>
        </xdr:cNvPr>
        <xdr:cNvCxnSpPr/>
      </xdr:nvCxnSpPr>
      <xdr:spPr>
        <a:xfrm>
          <a:off x="14988268" y="2786538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102054</xdr:colOff>
      <xdr:row>137</xdr:row>
      <xdr:rowOff>42863</xdr:rowOff>
    </xdr:from>
    <xdr:to>
      <xdr:col>46</xdr:col>
      <xdr:colOff>123734</xdr:colOff>
      <xdr:row>137</xdr:row>
      <xdr:rowOff>157163</xdr:rowOff>
    </xdr:to>
    <xdr:sp macro="" textlink="">
      <xdr:nvSpPr>
        <xdr:cNvPr id="78063" name="134">
          <a:extLst>
            <a:ext uri="{FF2B5EF4-FFF2-40B4-BE49-F238E27FC236}">
              <a16:creationId xmlns:a16="http://schemas.microsoft.com/office/drawing/2014/main" id="{99A55051-E379-469D-BB32-3E38B68D7F36}"/>
            </a:ext>
          </a:extLst>
        </xdr:cNvPr>
        <xdr:cNvSpPr/>
      </xdr:nvSpPr>
      <xdr:spPr>
        <a:xfrm>
          <a:off x="15294429" y="27608213"/>
          <a:ext cx="3074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102054</xdr:colOff>
      <xdr:row>137</xdr:row>
      <xdr:rowOff>100013</xdr:rowOff>
    </xdr:from>
    <xdr:to>
      <xdr:col>44</xdr:col>
      <xdr:colOff>102054</xdr:colOff>
      <xdr:row>137</xdr:row>
      <xdr:rowOff>100013</xdr:rowOff>
    </xdr:to>
    <xdr:cxnSp macro="">
      <xdr:nvCxnSpPr>
        <xdr:cNvPr id="78064" name="직선 화살표 연결선 78063">
          <a:extLst>
            <a:ext uri="{FF2B5EF4-FFF2-40B4-BE49-F238E27FC236}">
              <a16:creationId xmlns:a16="http://schemas.microsoft.com/office/drawing/2014/main" id="{95AD0147-F050-4995-B114-E1A8A31991B6}"/>
            </a:ext>
          </a:extLst>
        </xdr:cNvPr>
        <xdr:cNvCxnSpPr/>
      </xdr:nvCxnSpPr>
      <xdr:spPr>
        <a:xfrm>
          <a:off x="15294429" y="2766536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81643</xdr:colOff>
      <xdr:row>136</xdr:row>
      <xdr:rowOff>42863</xdr:rowOff>
    </xdr:from>
    <xdr:to>
      <xdr:col>44</xdr:col>
      <xdr:colOff>103324</xdr:colOff>
      <xdr:row>136</xdr:row>
      <xdr:rowOff>157163</xdr:rowOff>
    </xdr:to>
    <xdr:sp macro="" textlink="">
      <xdr:nvSpPr>
        <xdr:cNvPr id="78065" name="133">
          <a:extLst>
            <a:ext uri="{FF2B5EF4-FFF2-40B4-BE49-F238E27FC236}">
              <a16:creationId xmlns:a16="http://schemas.microsoft.com/office/drawing/2014/main" id="{2F7E1433-701F-49EF-AE36-6C31D6BFCEA3}"/>
            </a:ext>
          </a:extLst>
        </xdr:cNvPr>
        <xdr:cNvSpPr/>
      </xdr:nvSpPr>
      <xdr:spPr>
        <a:xfrm>
          <a:off x="14988268" y="27408188"/>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81643</xdr:colOff>
      <xdr:row>136</xdr:row>
      <xdr:rowOff>100013</xdr:rowOff>
    </xdr:from>
    <xdr:to>
      <xdr:col>42</xdr:col>
      <xdr:colOff>81643</xdr:colOff>
      <xdr:row>136</xdr:row>
      <xdr:rowOff>100013</xdr:rowOff>
    </xdr:to>
    <xdr:cxnSp macro="">
      <xdr:nvCxnSpPr>
        <xdr:cNvPr id="78066" name="직선 화살표 연결선 78065">
          <a:extLst>
            <a:ext uri="{FF2B5EF4-FFF2-40B4-BE49-F238E27FC236}">
              <a16:creationId xmlns:a16="http://schemas.microsoft.com/office/drawing/2014/main" id="{31045E2C-C400-40A0-AF83-64DE72E61310}"/>
            </a:ext>
          </a:extLst>
        </xdr:cNvPr>
        <xdr:cNvCxnSpPr/>
      </xdr:nvCxnSpPr>
      <xdr:spPr>
        <a:xfrm>
          <a:off x="14988268" y="2746533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135</xdr:row>
      <xdr:rowOff>42863</xdr:rowOff>
    </xdr:from>
    <xdr:to>
      <xdr:col>44</xdr:col>
      <xdr:colOff>103324</xdr:colOff>
      <xdr:row>135</xdr:row>
      <xdr:rowOff>157163</xdr:rowOff>
    </xdr:to>
    <xdr:sp macro="" textlink="">
      <xdr:nvSpPr>
        <xdr:cNvPr id="78067" name="132">
          <a:extLst>
            <a:ext uri="{FF2B5EF4-FFF2-40B4-BE49-F238E27FC236}">
              <a16:creationId xmlns:a16="http://schemas.microsoft.com/office/drawing/2014/main" id="{22316A68-F334-48F2-80DD-74A1409AC326}"/>
            </a:ext>
          </a:extLst>
        </xdr:cNvPr>
        <xdr:cNvSpPr/>
      </xdr:nvSpPr>
      <xdr:spPr>
        <a:xfrm>
          <a:off x="14355536" y="27208163"/>
          <a:ext cx="9401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135</xdr:row>
      <xdr:rowOff>100013</xdr:rowOff>
    </xdr:from>
    <xdr:to>
      <xdr:col>38</xdr:col>
      <xdr:colOff>20411</xdr:colOff>
      <xdr:row>135</xdr:row>
      <xdr:rowOff>100013</xdr:rowOff>
    </xdr:to>
    <xdr:cxnSp macro="">
      <xdr:nvCxnSpPr>
        <xdr:cNvPr id="78068" name="직선 화살표 연결선 78067">
          <a:extLst>
            <a:ext uri="{FF2B5EF4-FFF2-40B4-BE49-F238E27FC236}">
              <a16:creationId xmlns:a16="http://schemas.microsoft.com/office/drawing/2014/main" id="{FF4A1289-D5C4-4E29-982F-3BA5E8858657}"/>
            </a:ext>
          </a:extLst>
        </xdr:cNvPr>
        <xdr:cNvCxnSpPr/>
      </xdr:nvCxnSpPr>
      <xdr:spPr>
        <a:xfrm>
          <a:off x="14355536" y="2726531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102054</xdr:colOff>
      <xdr:row>134</xdr:row>
      <xdr:rowOff>42863</xdr:rowOff>
    </xdr:from>
    <xdr:to>
      <xdr:col>38</xdr:col>
      <xdr:colOff>21681</xdr:colOff>
      <xdr:row>134</xdr:row>
      <xdr:rowOff>157163</xdr:rowOff>
    </xdr:to>
    <xdr:sp macro="" textlink="">
      <xdr:nvSpPr>
        <xdr:cNvPr id="78069" name="131">
          <a:extLst>
            <a:ext uri="{FF2B5EF4-FFF2-40B4-BE49-F238E27FC236}">
              <a16:creationId xmlns:a16="http://schemas.microsoft.com/office/drawing/2014/main" id="{B8065823-99E4-40BE-8721-6F39901060DE}"/>
            </a:ext>
          </a:extLst>
        </xdr:cNvPr>
        <xdr:cNvSpPr/>
      </xdr:nvSpPr>
      <xdr:spPr>
        <a:xfrm>
          <a:off x="14008554" y="27008138"/>
          <a:ext cx="3482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102054</xdr:colOff>
      <xdr:row>134</xdr:row>
      <xdr:rowOff>100013</xdr:rowOff>
    </xdr:from>
    <xdr:to>
      <xdr:col>35</xdr:col>
      <xdr:colOff>102054</xdr:colOff>
      <xdr:row>134</xdr:row>
      <xdr:rowOff>100013</xdr:rowOff>
    </xdr:to>
    <xdr:cxnSp macro="">
      <xdr:nvCxnSpPr>
        <xdr:cNvPr id="78070" name="직선 화살표 연결선 78069">
          <a:extLst>
            <a:ext uri="{FF2B5EF4-FFF2-40B4-BE49-F238E27FC236}">
              <a16:creationId xmlns:a16="http://schemas.microsoft.com/office/drawing/2014/main" id="{C275E31E-192B-45CB-BED3-23AA4F89134D}"/>
            </a:ext>
          </a:extLst>
        </xdr:cNvPr>
        <xdr:cNvCxnSpPr/>
      </xdr:nvCxnSpPr>
      <xdr:spPr>
        <a:xfrm>
          <a:off x="14008554" y="2706528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102054</xdr:colOff>
      <xdr:row>133</xdr:row>
      <xdr:rowOff>42863</xdr:rowOff>
    </xdr:from>
    <xdr:to>
      <xdr:col>46</xdr:col>
      <xdr:colOff>123734</xdr:colOff>
      <xdr:row>133</xdr:row>
      <xdr:rowOff>157163</xdr:rowOff>
    </xdr:to>
    <xdr:sp macro="" textlink="">
      <xdr:nvSpPr>
        <xdr:cNvPr id="78071" name="130">
          <a:extLst>
            <a:ext uri="{FF2B5EF4-FFF2-40B4-BE49-F238E27FC236}">
              <a16:creationId xmlns:a16="http://schemas.microsoft.com/office/drawing/2014/main" id="{046DD4BC-99B0-4B04-B1E0-42C63AEBFFE3}"/>
            </a:ext>
          </a:extLst>
        </xdr:cNvPr>
        <xdr:cNvSpPr/>
      </xdr:nvSpPr>
      <xdr:spPr>
        <a:xfrm>
          <a:off x="14008554" y="26808113"/>
          <a:ext cx="15933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102054</xdr:colOff>
      <xdr:row>133</xdr:row>
      <xdr:rowOff>100013</xdr:rowOff>
    </xdr:from>
    <xdr:to>
      <xdr:col>35</xdr:col>
      <xdr:colOff>102054</xdr:colOff>
      <xdr:row>133</xdr:row>
      <xdr:rowOff>100013</xdr:rowOff>
    </xdr:to>
    <xdr:cxnSp macro="">
      <xdr:nvCxnSpPr>
        <xdr:cNvPr id="78072" name="직선 화살표 연결선 78071">
          <a:extLst>
            <a:ext uri="{FF2B5EF4-FFF2-40B4-BE49-F238E27FC236}">
              <a16:creationId xmlns:a16="http://schemas.microsoft.com/office/drawing/2014/main" id="{5AD7690E-8C6A-4A49-B8B5-3FAE28538D06}"/>
            </a:ext>
          </a:extLst>
        </xdr:cNvPr>
        <xdr:cNvCxnSpPr/>
      </xdr:nvCxnSpPr>
      <xdr:spPr>
        <a:xfrm>
          <a:off x="14008554" y="2686526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81643</xdr:colOff>
      <xdr:row>131</xdr:row>
      <xdr:rowOff>42863</xdr:rowOff>
    </xdr:from>
    <xdr:to>
      <xdr:col>60</xdr:col>
      <xdr:colOff>1270</xdr:colOff>
      <xdr:row>131</xdr:row>
      <xdr:rowOff>157163</xdr:rowOff>
    </xdr:to>
    <xdr:sp macro="" textlink="">
      <xdr:nvSpPr>
        <xdr:cNvPr id="78073" name="128">
          <a:extLst>
            <a:ext uri="{FF2B5EF4-FFF2-40B4-BE49-F238E27FC236}">
              <a16:creationId xmlns:a16="http://schemas.microsoft.com/office/drawing/2014/main" id="{DEFD8BF2-E7CD-4474-8598-42A3FE122046}"/>
            </a:ext>
          </a:extLst>
        </xdr:cNvPr>
        <xdr:cNvSpPr/>
      </xdr:nvSpPr>
      <xdr:spPr>
        <a:xfrm>
          <a:off x="16845643" y="26541413"/>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81643</xdr:colOff>
      <xdr:row>131</xdr:row>
      <xdr:rowOff>100013</xdr:rowOff>
    </xdr:from>
    <xdr:to>
      <xdr:col>55</xdr:col>
      <xdr:colOff>81643</xdr:colOff>
      <xdr:row>131</xdr:row>
      <xdr:rowOff>100013</xdr:rowOff>
    </xdr:to>
    <xdr:cxnSp macro="">
      <xdr:nvCxnSpPr>
        <xdr:cNvPr id="78074" name="직선 화살표 연결선 78073">
          <a:extLst>
            <a:ext uri="{FF2B5EF4-FFF2-40B4-BE49-F238E27FC236}">
              <a16:creationId xmlns:a16="http://schemas.microsoft.com/office/drawing/2014/main" id="{1FBE1CB7-30B8-48AA-805B-8F4F8D245174}"/>
            </a:ext>
          </a:extLst>
        </xdr:cNvPr>
        <xdr:cNvCxnSpPr/>
      </xdr:nvCxnSpPr>
      <xdr:spPr>
        <a:xfrm>
          <a:off x="16845643" y="2659856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81643</xdr:colOff>
      <xdr:row>130</xdr:row>
      <xdr:rowOff>42863</xdr:rowOff>
    </xdr:from>
    <xdr:to>
      <xdr:col>60</xdr:col>
      <xdr:colOff>1270</xdr:colOff>
      <xdr:row>130</xdr:row>
      <xdr:rowOff>157163</xdr:rowOff>
    </xdr:to>
    <xdr:sp macro="" textlink="">
      <xdr:nvSpPr>
        <xdr:cNvPr id="78075" name="127">
          <a:extLst>
            <a:ext uri="{FF2B5EF4-FFF2-40B4-BE49-F238E27FC236}">
              <a16:creationId xmlns:a16="http://schemas.microsoft.com/office/drawing/2014/main" id="{07CE830E-F614-41D2-9846-957325017A7F}"/>
            </a:ext>
          </a:extLst>
        </xdr:cNvPr>
        <xdr:cNvSpPr/>
      </xdr:nvSpPr>
      <xdr:spPr>
        <a:xfrm>
          <a:off x="16845643" y="26341388"/>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81643</xdr:colOff>
      <xdr:row>130</xdr:row>
      <xdr:rowOff>100013</xdr:rowOff>
    </xdr:from>
    <xdr:to>
      <xdr:col>55</xdr:col>
      <xdr:colOff>81643</xdr:colOff>
      <xdr:row>130</xdr:row>
      <xdr:rowOff>100013</xdr:rowOff>
    </xdr:to>
    <xdr:cxnSp macro="">
      <xdr:nvCxnSpPr>
        <xdr:cNvPr id="78076" name="직선 화살표 연결선 78075">
          <a:extLst>
            <a:ext uri="{FF2B5EF4-FFF2-40B4-BE49-F238E27FC236}">
              <a16:creationId xmlns:a16="http://schemas.microsoft.com/office/drawing/2014/main" id="{43411AED-61F9-425D-AC8F-D1C9F91CDC7B}"/>
            </a:ext>
          </a:extLst>
        </xdr:cNvPr>
        <xdr:cNvCxnSpPr/>
      </xdr:nvCxnSpPr>
      <xdr:spPr>
        <a:xfrm>
          <a:off x="16845643" y="2639853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81643</xdr:colOff>
      <xdr:row>129</xdr:row>
      <xdr:rowOff>42863</xdr:rowOff>
    </xdr:from>
    <xdr:to>
      <xdr:col>55</xdr:col>
      <xdr:colOff>103324</xdr:colOff>
      <xdr:row>129</xdr:row>
      <xdr:rowOff>157163</xdr:rowOff>
    </xdr:to>
    <xdr:sp macro="" textlink="">
      <xdr:nvSpPr>
        <xdr:cNvPr id="78077" name="126">
          <a:extLst>
            <a:ext uri="{FF2B5EF4-FFF2-40B4-BE49-F238E27FC236}">
              <a16:creationId xmlns:a16="http://schemas.microsoft.com/office/drawing/2014/main" id="{EE525A0E-8D9D-4D4D-9A68-A3B8BEE59EB8}"/>
            </a:ext>
          </a:extLst>
        </xdr:cNvPr>
        <xdr:cNvSpPr/>
      </xdr:nvSpPr>
      <xdr:spPr>
        <a:xfrm>
          <a:off x="16845643" y="26141363"/>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81643</xdr:colOff>
      <xdr:row>129</xdr:row>
      <xdr:rowOff>100013</xdr:rowOff>
    </xdr:from>
    <xdr:to>
      <xdr:col>55</xdr:col>
      <xdr:colOff>81643</xdr:colOff>
      <xdr:row>129</xdr:row>
      <xdr:rowOff>100013</xdr:rowOff>
    </xdr:to>
    <xdr:cxnSp macro="">
      <xdr:nvCxnSpPr>
        <xdr:cNvPr id="78078" name="직선 화살표 연결선 78077">
          <a:extLst>
            <a:ext uri="{FF2B5EF4-FFF2-40B4-BE49-F238E27FC236}">
              <a16:creationId xmlns:a16="http://schemas.microsoft.com/office/drawing/2014/main" id="{589884E8-2D86-47B7-84E3-79CF46B24AE1}"/>
            </a:ext>
          </a:extLst>
        </xdr:cNvPr>
        <xdr:cNvCxnSpPr/>
      </xdr:nvCxnSpPr>
      <xdr:spPr>
        <a:xfrm>
          <a:off x="16845643" y="2619851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81643</xdr:colOff>
      <xdr:row>128</xdr:row>
      <xdr:rowOff>42863</xdr:rowOff>
    </xdr:from>
    <xdr:to>
      <xdr:col>55</xdr:col>
      <xdr:colOff>103324</xdr:colOff>
      <xdr:row>128</xdr:row>
      <xdr:rowOff>157163</xdr:rowOff>
    </xdr:to>
    <xdr:sp macro="" textlink="">
      <xdr:nvSpPr>
        <xdr:cNvPr id="78079" name="125">
          <a:extLst>
            <a:ext uri="{FF2B5EF4-FFF2-40B4-BE49-F238E27FC236}">
              <a16:creationId xmlns:a16="http://schemas.microsoft.com/office/drawing/2014/main" id="{1AB9BB77-CA8B-4989-9CE9-22588DF27719}"/>
            </a:ext>
          </a:extLst>
        </xdr:cNvPr>
        <xdr:cNvSpPr/>
      </xdr:nvSpPr>
      <xdr:spPr>
        <a:xfrm>
          <a:off x="16845643" y="25941338"/>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55</xdr:col>
      <xdr:colOff>81643</xdr:colOff>
      <xdr:row>128</xdr:row>
      <xdr:rowOff>100013</xdr:rowOff>
    </xdr:from>
    <xdr:to>
      <xdr:col>55</xdr:col>
      <xdr:colOff>81643</xdr:colOff>
      <xdr:row>128</xdr:row>
      <xdr:rowOff>100013</xdr:rowOff>
    </xdr:to>
    <xdr:cxnSp macro="">
      <xdr:nvCxnSpPr>
        <xdr:cNvPr id="2490" name="직선 화살표 연결선 2489">
          <a:extLst>
            <a:ext uri="{FF2B5EF4-FFF2-40B4-BE49-F238E27FC236}">
              <a16:creationId xmlns:a16="http://schemas.microsoft.com/office/drawing/2014/main" id="{90D5DE32-AFB7-4CB1-89C7-403D362FCE89}"/>
            </a:ext>
          </a:extLst>
        </xdr:cNvPr>
        <xdr:cNvCxnSpPr/>
      </xdr:nvCxnSpPr>
      <xdr:spPr>
        <a:xfrm>
          <a:off x="16845643" y="2599848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81643</xdr:colOff>
      <xdr:row>127</xdr:row>
      <xdr:rowOff>42863</xdr:rowOff>
    </xdr:from>
    <xdr:to>
      <xdr:col>55</xdr:col>
      <xdr:colOff>82913</xdr:colOff>
      <xdr:row>127</xdr:row>
      <xdr:rowOff>157163</xdr:rowOff>
    </xdr:to>
    <xdr:sp macro="" textlink="">
      <xdr:nvSpPr>
        <xdr:cNvPr id="2491" name="124">
          <a:extLst>
            <a:ext uri="{FF2B5EF4-FFF2-40B4-BE49-F238E27FC236}">
              <a16:creationId xmlns:a16="http://schemas.microsoft.com/office/drawing/2014/main" id="{7695B480-EFF1-41D8-B3C3-9B31FCD3B343}"/>
            </a:ext>
          </a:extLst>
        </xdr:cNvPr>
        <xdr:cNvSpPr/>
      </xdr:nvSpPr>
      <xdr:spPr>
        <a:xfrm>
          <a:off x="16702768" y="25741313"/>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54</xdr:col>
      <xdr:colOff>81643</xdr:colOff>
      <xdr:row>127</xdr:row>
      <xdr:rowOff>100013</xdr:rowOff>
    </xdr:from>
    <xdr:to>
      <xdr:col>54</xdr:col>
      <xdr:colOff>81643</xdr:colOff>
      <xdr:row>127</xdr:row>
      <xdr:rowOff>100013</xdr:rowOff>
    </xdr:to>
    <xdr:cxnSp macro="">
      <xdr:nvCxnSpPr>
        <xdr:cNvPr id="2492" name="직선 화살표 연결선 2491">
          <a:extLst>
            <a:ext uri="{FF2B5EF4-FFF2-40B4-BE49-F238E27FC236}">
              <a16:creationId xmlns:a16="http://schemas.microsoft.com/office/drawing/2014/main" id="{C27AA6FA-31C9-4506-A18A-FCF0646E7BB4}"/>
            </a:ext>
          </a:extLst>
        </xdr:cNvPr>
        <xdr:cNvCxnSpPr/>
      </xdr:nvCxnSpPr>
      <xdr:spPr>
        <a:xfrm>
          <a:off x="16702768" y="2579846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61232</xdr:colOff>
      <xdr:row>126</xdr:row>
      <xdr:rowOff>42863</xdr:rowOff>
    </xdr:from>
    <xdr:to>
      <xdr:col>54</xdr:col>
      <xdr:colOff>82913</xdr:colOff>
      <xdr:row>126</xdr:row>
      <xdr:rowOff>157163</xdr:rowOff>
    </xdr:to>
    <xdr:sp macro="" textlink="">
      <xdr:nvSpPr>
        <xdr:cNvPr id="2493" name="123">
          <a:extLst>
            <a:ext uri="{FF2B5EF4-FFF2-40B4-BE49-F238E27FC236}">
              <a16:creationId xmlns:a16="http://schemas.microsoft.com/office/drawing/2014/main" id="{BF4D95EF-35E7-4B35-ABBE-11AF92DA113D}"/>
            </a:ext>
          </a:extLst>
        </xdr:cNvPr>
        <xdr:cNvSpPr/>
      </xdr:nvSpPr>
      <xdr:spPr>
        <a:xfrm>
          <a:off x="16539482" y="25541288"/>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61232</xdr:colOff>
      <xdr:row>126</xdr:row>
      <xdr:rowOff>100013</xdr:rowOff>
    </xdr:from>
    <xdr:to>
      <xdr:col>53</xdr:col>
      <xdr:colOff>61232</xdr:colOff>
      <xdr:row>126</xdr:row>
      <xdr:rowOff>100013</xdr:rowOff>
    </xdr:to>
    <xdr:cxnSp macro="">
      <xdr:nvCxnSpPr>
        <xdr:cNvPr id="2494" name="직선 화살표 연결선 2493">
          <a:extLst>
            <a:ext uri="{FF2B5EF4-FFF2-40B4-BE49-F238E27FC236}">
              <a16:creationId xmlns:a16="http://schemas.microsoft.com/office/drawing/2014/main" id="{2DFA0A10-D56E-40FE-9493-520B2F8276B2}"/>
            </a:ext>
          </a:extLst>
        </xdr:cNvPr>
        <xdr:cNvCxnSpPr/>
      </xdr:nvCxnSpPr>
      <xdr:spPr>
        <a:xfrm>
          <a:off x="16539482" y="2559843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61232</xdr:colOff>
      <xdr:row>125</xdr:row>
      <xdr:rowOff>42863</xdr:rowOff>
    </xdr:from>
    <xdr:to>
      <xdr:col>55</xdr:col>
      <xdr:colOff>82913</xdr:colOff>
      <xdr:row>125</xdr:row>
      <xdr:rowOff>157163</xdr:rowOff>
    </xdr:to>
    <xdr:sp macro="" textlink="">
      <xdr:nvSpPr>
        <xdr:cNvPr id="2495" name="122">
          <a:extLst>
            <a:ext uri="{FF2B5EF4-FFF2-40B4-BE49-F238E27FC236}">
              <a16:creationId xmlns:a16="http://schemas.microsoft.com/office/drawing/2014/main" id="{C0B9D860-7D19-40AB-A5A7-FC47A7D9E0F4}"/>
            </a:ext>
          </a:extLst>
        </xdr:cNvPr>
        <xdr:cNvSpPr/>
      </xdr:nvSpPr>
      <xdr:spPr>
        <a:xfrm>
          <a:off x="16539482" y="25341263"/>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61232</xdr:colOff>
      <xdr:row>125</xdr:row>
      <xdr:rowOff>100013</xdr:rowOff>
    </xdr:from>
    <xdr:to>
      <xdr:col>53</xdr:col>
      <xdr:colOff>61232</xdr:colOff>
      <xdr:row>125</xdr:row>
      <xdr:rowOff>100013</xdr:rowOff>
    </xdr:to>
    <xdr:cxnSp macro="">
      <xdr:nvCxnSpPr>
        <xdr:cNvPr id="75424" name="직선 화살표 연결선 75423">
          <a:extLst>
            <a:ext uri="{FF2B5EF4-FFF2-40B4-BE49-F238E27FC236}">
              <a16:creationId xmlns:a16="http://schemas.microsoft.com/office/drawing/2014/main" id="{1838D655-94AA-4A4A-9962-720D75201D7D}"/>
            </a:ext>
          </a:extLst>
        </xdr:cNvPr>
        <xdr:cNvCxnSpPr/>
      </xdr:nvCxnSpPr>
      <xdr:spPr>
        <a:xfrm>
          <a:off x="16539482" y="2539841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20411</xdr:colOff>
      <xdr:row>124</xdr:row>
      <xdr:rowOff>42863</xdr:rowOff>
    </xdr:from>
    <xdr:to>
      <xdr:col>53</xdr:col>
      <xdr:colOff>62502</xdr:colOff>
      <xdr:row>124</xdr:row>
      <xdr:rowOff>157163</xdr:rowOff>
    </xdr:to>
    <xdr:sp macro="" textlink="">
      <xdr:nvSpPr>
        <xdr:cNvPr id="75425" name="121">
          <a:extLst>
            <a:ext uri="{FF2B5EF4-FFF2-40B4-BE49-F238E27FC236}">
              <a16:creationId xmlns:a16="http://schemas.microsoft.com/office/drawing/2014/main" id="{1E7ABD00-0AEA-4ED3-B5AC-1663C624F132}"/>
            </a:ext>
          </a:extLst>
        </xdr:cNvPr>
        <xdr:cNvSpPr/>
      </xdr:nvSpPr>
      <xdr:spPr>
        <a:xfrm>
          <a:off x="16355786" y="25141238"/>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20411</xdr:colOff>
      <xdr:row>124</xdr:row>
      <xdr:rowOff>100013</xdr:rowOff>
    </xdr:from>
    <xdr:to>
      <xdr:col>52</xdr:col>
      <xdr:colOff>20411</xdr:colOff>
      <xdr:row>124</xdr:row>
      <xdr:rowOff>100013</xdr:rowOff>
    </xdr:to>
    <xdr:cxnSp macro="">
      <xdr:nvCxnSpPr>
        <xdr:cNvPr id="75426" name="직선 화살표 연결선 75425">
          <a:extLst>
            <a:ext uri="{FF2B5EF4-FFF2-40B4-BE49-F238E27FC236}">
              <a16:creationId xmlns:a16="http://schemas.microsoft.com/office/drawing/2014/main" id="{116F15C2-8B0B-45BA-A17F-D1333E873521}"/>
            </a:ext>
          </a:extLst>
        </xdr:cNvPr>
        <xdr:cNvCxnSpPr/>
      </xdr:nvCxnSpPr>
      <xdr:spPr>
        <a:xfrm>
          <a:off x="16355786" y="2519838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40821</xdr:colOff>
      <xdr:row>123</xdr:row>
      <xdr:rowOff>42863</xdr:rowOff>
    </xdr:from>
    <xdr:to>
      <xdr:col>51</xdr:col>
      <xdr:colOff>123734</xdr:colOff>
      <xdr:row>123</xdr:row>
      <xdr:rowOff>157163</xdr:rowOff>
    </xdr:to>
    <xdr:sp macro="" textlink="">
      <xdr:nvSpPr>
        <xdr:cNvPr id="75427" name="120">
          <a:extLst>
            <a:ext uri="{FF2B5EF4-FFF2-40B4-BE49-F238E27FC236}">
              <a16:creationId xmlns:a16="http://schemas.microsoft.com/office/drawing/2014/main" id="{4A73512B-4AC3-4F74-AC24-50A3C15E239C}"/>
            </a:ext>
          </a:extLst>
        </xdr:cNvPr>
        <xdr:cNvSpPr/>
      </xdr:nvSpPr>
      <xdr:spPr>
        <a:xfrm>
          <a:off x="16233321" y="24941213"/>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40821</xdr:colOff>
      <xdr:row>123</xdr:row>
      <xdr:rowOff>100013</xdr:rowOff>
    </xdr:from>
    <xdr:to>
      <xdr:col>51</xdr:col>
      <xdr:colOff>40821</xdr:colOff>
      <xdr:row>123</xdr:row>
      <xdr:rowOff>100013</xdr:rowOff>
    </xdr:to>
    <xdr:cxnSp macro="">
      <xdr:nvCxnSpPr>
        <xdr:cNvPr id="75428" name="직선 화살표 연결선 75427">
          <a:extLst>
            <a:ext uri="{FF2B5EF4-FFF2-40B4-BE49-F238E27FC236}">
              <a16:creationId xmlns:a16="http://schemas.microsoft.com/office/drawing/2014/main" id="{0185D0B7-9FBB-40E2-9C48-816C10297BC9}"/>
            </a:ext>
          </a:extLst>
        </xdr:cNvPr>
        <xdr:cNvCxnSpPr/>
      </xdr:nvCxnSpPr>
      <xdr:spPr>
        <a:xfrm>
          <a:off x="16233321" y="2499836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122</xdr:row>
      <xdr:rowOff>42863</xdr:rowOff>
    </xdr:from>
    <xdr:to>
      <xdr:col>51</xdr:col>
      <xdr:colOff>21681</xdr:colOff>
      <xdr:row>122</xdr:row>
      <xdr:rowOff>157163</xdr:rowOff>
    </xdr:to>
    <xdr:sp macro="" textlink="">
      <xdr:nvSpPr>
        <xdr:cNvPr id="75435" name="119">
          <a:extLst>
            <a:ext uri="{FF2B5EF4-FFF2-40B4-BE49-F238E27FC236}">
              <a16:creationId xmlns:a16="http://schemas.microsoft.com/office/drawing/2014/main" id="{57649717-5C7C-4BFA-B467-BBE818D1A24C}"/>
            </a:ext>
          </a:extLst>
        </xdr:cNvPr>
        <xdr:cNvSpPr/>
      </xdr:nvSpPr>
      <xdr:spPr>
        <a:xfrm>
          <a:off x="15927161" y="24741188"/>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122</xdr:row>
      <xdr:rowOff>100013</xdr:rowOff>
    </xdr:from>
    <xdr:to>
      <xdr:col>49</xdr:col>
      <xdr:colOff>20411</xdr:colOff>
      <xdr:row>122</xdr:row>
      <xdr:rowOff>100013</xdr:rowOff>
    </xdr:to>
    <xdr:cxnSp macro="">
      <xdr:nvCxnSpPr>
        <xdr:cNvPr id="75436" name="직선 화살표 연결선 75435">
          <a:extLst>
            <a:ext uri="{FF2B5EF4-FFF2-40B4-BE49-F238E27FC236}">
              <a16:creationId xmlns:a16="http://schemas.microsoft.com/office/drawing/2014/main" id="{6B59B3E3-39E9-4FD7-9AC6-EB24B9D24374}"/>
            </a:ext>
          </a:extLst>
        </xdr:cNvPr>
        <xdr:cNvCxnSpPr/>
      </xdr:nvCxnSpPr>
      <xdr:spPr>
        <a:xfrm>
          <a:off x="15927161" y="2479833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121</xdr:row>
      <xdr:rowOff>42863</xdr:rowOff>
    </xdr:from>
    <xdr:to>
      <xdr:col>53</xdr:col>
      <xdr:colOff>62502</xdr:colOff>
      <xdr:row>121</xdr:row>
      <xdr:rowOff>157163</xdr:rowOff>
    </xdr:to>
    <xdr:sp macro="" textlink="">
      <xdr:nvSpPr>
        <xdr:cNvPr id="75437" name="118">
          <a:extLst>
            <a:ext uri="{FF2B5EF4-FFF2-40B4-BE49-F238E27FC236}">
              <a16:creationId xmlns:a16="http://schemas.microsoft.com/office/drawing/2014/main" id="{CC5C8616-79F6-407B-A727-2815E69119F7}"/>
            </a:ext>
          </a:extLst>
        </xdr:cNvPr>
        <xdr:cNvSpPr/>
      </xdr:nvSpPr>
      <xdr:spPr>
        <a:xfrm>
          <a:off x="15927161" y="24541163"/>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121</xdr:row>
      <xdr:rowOff>100013</xdr:rowOff>
    </xdr:from>
    <xdr:to>
      <xdr:col>49</xdr:col>
      <xdr:colOff>20411</xdr:colOff>
      <xdr:row>121</xdr:row>
      <xdr:rowOff>100013</xdr:rowOff>
    </xdr:to>
    <xdr:cxnSp macro="">
      <xdr:nvCxnSpPr>
        <xdr:cNvPr id="75438" name="직선 화살표 연결선 75437">
          <a:extLst>
            <a:ext uri="{FF2B5EF4-FFF2-40B4-BE49-F238E27FC236}">
              <a16:creationId xmlns:a16="http://schemas.microsoft.com/office/drawing/2014/main" id="{F9C92771-0861-4CF4-A900-1097EB6AB170}"/>
            </a:ext>
          </a:extLst>
        </xdr:cNvPr>
        <xdr:cNvCxnSpPr/>
      </xdr:nvCxnSpPr>
      <xdr:spPr>
        <a:xfrm>
          <a:off x="15927161" y="2459831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120</xdr:row>
      <xdr:rowOff>42863</xdr:rowOff>
    </xdr:from>
    <xdr:to>
      <xdr:col>53</xdr:col>
      <xdr:colOff>62502</xdr:colOff>
      <xdr:row>120</xdr:row>
      <xdr:rowOff>157163</xdr:rowOff>
    </xdr:to>
    <xdr:sp macro="" textlink="">
      <xdr:nvSpPr>
        <xdr:cNvPr id="75439" name="117">
          <a:extLst>
            <a:ext uri="{FF2B5EF4-FFF2-40B4-BE49-F238E27FC236}">
              <a16:creationId xmlns:a16="http://schemas.microsoft.com/office/drawing/2014/main" id="{742BABC0-E8CC-4D29-87B1-635A7A133C3D}"/>
            </a:ext>
          </a:extLst>
        </xdr:cNvPr>
        <xdr:cNvSpPr/>
      </xdr:nvSpPr>
      <xdr:spPr>
        <a:xfrm>
          <a:off x="15927161" y="24341138"/>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120</xdr:row>
      <xdr:rowOff>100013</xdr:rowOff>
    </xdr:from>
    <xdr:to>
      <xdr:col>49</xdr:col>
      <xdr:colOff>20411</xdr:colOff>
      <xdr:row>120</xdr:row>
      <xdr:rowOff>100013</xdr:rowOff>
    </xdr:to>
    <xdr:cxnSp macro="">
      <xdr:nvCxnSpPr>
        <xdr:cNvPr id="75440" name="직선 화살표 연결선 75439">
          <a:extLst>
            <a:ext uri="{FF2B5EF4-FFF2-40B4-BE49-F238E27FC236}">
              <a16:creationId xmlns:a16="http://schemas.microsoft.com/office/drawing/2014/main" id="{EA82B12E-6F47-4BEC-8CEE-2F1190F85D7B}"/>
            </a:ext>
          </a:extLst>
        </xdr:cNvPr>
        <xdr:cNvCxnSpPr/>
      </xdr:nvCxnSpPr>
      <xdr:spPr>
        <a:xfrm>
          <a:off x="15927161" y="2439828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20411</xdr:colOff>
      <xdr:row>38</xdr:row>
      <xdr:rowOff>42863</xdr:rowOff>
    </xdr:from>
    <xdr:to>
      <xdr:col>53</xdr:col>
      <xdr:colOff>62502</xdr:colOff>
      <xdr:row>38</xdr:row>
      <xdr:rowOff>157163</xdr:rowOff>
    </xdr:to>
    <xdr:sp macro="" textlink="">
      <xdr:nvSpPr>
        <xdr:cNvPr id="75441" name="35">
          <a:extLst>
            <a:ext uri="{FF2B5EF4-FFF2-40B4-BE49-F238E27FC236}">
              <a16:creationId xmlns:a16="http://schemas.microsoft.com/office/drawing/2014/main" id="{AEC245B0-4C3A-4549-B93F-40AAEB53735F}"/>
            </a:ext>
          </a:extLst>
        </xdr:cNvPr>
        <xdr:cNvSpPr/>
      </xdr:nvSpPr>
      <xdr:spPr>
        <a:xfrm>
          <a:off x="15927161" y="7939088"/>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20411</xdr:colOff>
      <xdr:row>38</xdr:row>
      <xdr:rowOff>100013</xdr:rowOff>
    </xdr:from>
    <xdr:to>
      <xdr:col>49</xdr:col>
      <xdr:colOff>20411</xdr:colOff>
      <xdr:row>38</xdr:row>
      <xdr:rowOff>100013</xdr:rowOff>
    </xdr:to>
    <xdr:cxnSp macro="">
      <xdr:nvCxnSpPr>
        <xdr:cNvPr id="75442" name="직선 화살표 연결선 75441">
          <a:extLst>
            <a:ext uri="{FF2B5EF4-FFF2-40B4-BE49-F238E27FC236}">
              <a16:creationId xmlns:a16="http://schemas.microsoft.com/office/drawing/2014/main" id="{DD230F7A-95CB-44FA-85EF-B799D653D73E}"/>
            </a:ext>
          </a:extLst>
        </xdr:cNvPr>
        <xdr:cNvCxnSpPr/>
      </xdr:nvCxnSpPr>
      <xdr:spPr>
        <a:xfrm>
          <a:off x="15927161" y="799623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37</xdr:row>
      <xdr:rowOff>42863</xdr:rowOff>
    </xdr:from>
    <xdr:to>
      <xdr:col>38</xdr:col>
      <xdr:colOff>21681</xdr:colOff>
      <xdr:row>37</xdr:row>
      <xdr:rowOff>157163</xdr:rowOff>
    </xdr:to>
    <xdr:sp macro="" textlink="">
      <xdr:nvSpPr>
        <xdr:cNvPr id="75443" name="34">
          <a:extLst>
            <a:ext uri="{FF2B5EF4-FFF2-40B4-BE49-F238E27FC236}">
              <a16:creationId xmlns:a16="http://schemas.microsoft.com/office/drawing/2014/main" id="{CC46AFCA-D22F-4B39-92C7-C2895FEB4133}"/>
            </a:ext>
          </a:extLst>
        </xdr:cNvPr>
        <xdr:cNvSpPr/>
      </xdr:nvSpPr>
      <xdr:spPr>
        <a:xfrm>
          <a:off x="14069786" y="7739063"/>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37</xdr:row>
      <xdr:rowOff>100013</xdr:rowOff>
    </xdr:from>
    <xdr:to>
      <xdr:col>36</xdr:col>
      <xdr:colOff>20411</xdr:colOff>
      <xdr:row>37</xdr:row>
      <xdr:rowOff>100013</xdr:rowOff>
    </xdr:to>
    <xdr:cxnSp macro="">
      <xdr:nvCxnSpPr>
        <xdr:cNvPr id="75444" name="직선 화살표 연결선 75443">
          <a:extLst>
            <a:ext uri="{FF2B5EF4-FFF2-40B4-BE49-F238E27FC236}">
              <a16:creationId xmlns:a16="http://schemas.microsoft.com/office/drawing/2014/main" id="{6755AB41-BC0D-4FC5-8D54-E25E0ED241F7}"/>
            </a:ext>
          </a:extLst>
        </xdr:cNvPr>
        <xdr:cNvCxnSpPr/>
      </xdr:nvCxnSpPr>
      <xdr:spPr>
        <a:xfrm>
          <a:off x="14069786" y="779621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102054</xdr:colOff>
      <xdr:row>36</xdr:row>
      <xdr:rowOff>42863</xdr:rowOff>
    </xdr:from>
    <xdr:to>
      <xdr:col>35</xdr:col>
      <xdr:colOff>123734</xdr:colOff>
      <xdr:row>36</xdr:row>
      <xdr:rowOff>157163</xdr:rowOff>
    </xdr:to>
    <xdr:sp macro="" textlink="">
      <xdr:nvSpPr>
        <xdr:cNvPr id="75445" name="33">
          <a:extLst>
            <a:ext uri="{FF2B5EF4-FFF2-40B4-BE49-F238E27FC236}">
              <a16:creationId xmlns:a16="http://schemas.microsoft.com/office/drawing/2014/main" id="{13C6A115-0EDD-4883-B4A8-709AD8B1D581}"/>
            </a:ext>
          </a:extLst>
        </xdr:cNvPr>
        <xdr:cNvSpPr/>
      </xdr:nvSpPr>
      <xdr:spPr>
        <a:xfrm>
          <a:off x="13722804" y="7539038"/>
          <a:ext cx="3074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102054</xdr:colOff>
      <xdr:row>36</xdr:row>
      <xdr:rowOff>100013</xdr:rowOff>
    </xdr:from>
    <xdr:to>
      <xdr:col>33</xdr:col>
      <xdr:colOff>102054</xdr:colOff>
      <xdr:row>36</xdr:row>
      <xdr:rowOff>100013</xdr:rowOff>
    </xdr:to>
    <xdr:cxnSp macro="">
      <xdr:nvCxnSpPr>
        <xdr:cNvPr id="75446" name="직선 화살표 연결선 75445">
          <a:extLst>
            <a:ext uri="{FF2B5EF4-FFF2-40B4-BE49-F238E27FC236}">
              <a16:creationId xmlns:a16="http://schemas.microsoft.com/office/drawing/2014/main" id="{BE39B1E8-75B0-423C-AF5E-2F55C3442F48}"/>
            </a:ext>
          </a:extLst>
        </xdr:cNvPr>
        <xdr:cNvCxnSpPr/>
      </xdr:nvCxnSpPr>
      <xdr:spPr>
        <a:xfrm>
          <a:off x="13722804" y="759618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102054</xdr:colOff>
      <xdr:row>35</xdr:row>
      <xdr:rowOff>42863</xdr:rowOff>
    </xdr:from>
    <xdr:to>
      <xdr:col>35</xdr:col>
      <xdr:colOff>123734</xdr:colOff>
      <xdr:row>35</xdr:row>
      <xdr:rowOff>157163</xdr:rowOff>
    </xdr:to>
    <xdr:sp macro="" textlink="">
      <xdr:nvSpPr>
        <xdr:cNvPr id="75447" name="32">
          <a:extLst>
            <a:ext uri="{FF2B5EF4-FFF2-40B4-BE49-F238E27FC236}">
              <a16:creationId xmlns:a16="http://schemas.microsoft.com/office/drawing/2014/main" id="{8602AE25-2663-4CC8-B312-B17F8F420FD3}"/>
            </a:ext>
          </a:extLst>
        </xdr:cNvPr>
        <xdr:cNvSpPr/>
      </xdr:nvSpPr>
      <xdr:spPr>
        <a:xfrm>
          <a:off x="13722804" y="7339013"/>
          <a:ext cx="3074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102054</xdr:colOff>
      <xdr:row>35</xdr:row>
      <xdr:rowOff>100013</xdr:rowOff>
    </xdr:from>
    <xdr:to>
      <xdr:col>33</xdr:col>
      <xdr:colOff>102054</xdr:colOff>
      <xdr:row>35</xdr:row>
      <xdr:rowOff>100013</xdr:rowOff>
    </xdr:to>
    <xdr:cxnSp macro="">
      <xdr:nvCxnSpPr>
        <xdr:cNvPr id="75448" name="직선 화살표 연결선 75447">
          <a:extLst>
            <a:ext uri="{FF2B5EF4-FFF2-40B4-BE49-F238E27FC236}">
              <a16:creationId xmlns:a16="http://schemas.microsoft.com/office/drawing/2014/main" id="{8F4DE8DB-5036-4FE8-B206-AF760695F13B}"/>
            </a:ext>
          </a:extLst>
        </xdr:cNvPr>
        <xdr:cNvCxnSpPr/>
      </xdr:nvCxnSpPr>
      <xdr:spPr>
        <a:xfrm>
          <a:off x="13722804" y="739616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102054</xdr:colOff>
      <xdr:row>34</xdr:row>
      <xdr:rowOff>42863</xdr:rowOff>
    </xdr:from>
    <xdr:to>
      <xdr:col>38</xdr:col>
      <xdr:colOff>21681</xdr:colOff>
      <xdr:row>34</xdr:row>
      <xdr:rowOff>157163</xdr:rowOff>
    </xdr:to>
    <xdr:sp macro="" textlink="">
      <xdr:nvSpPr>
        <xdr:cNvPr id="75449" name="31">
          <a:extLst>
            <a:ext uri="{FF2B5EF4-FFF2-40B4-BE49-F238E27FC236}">
              <a16:creationId xmlns:a16="http://schemas.microsoft.com/office/drawing/2014/main" id="{AE24A069-53CE-49D8-92E7-C893E60D0D2E}"/>
            </a:ext>
          </a:extLst>
        </xdr:cNvPr>
        <xdr:cNvSpPr/>
      </xdr:nvSpPr>
      <xdr:spPr>
        <a:xfrm>
          <a:off x="13722804" y="7138988"/>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102054</xdr:colOff>
      <xdr:row>34</xdr:row>
      <xdr:rowOff>100013</xdr:rowOff>
    </xdr:from>
    <xdr:to>
      <xdr:col>33</xdr:col>
      <xdr:colOff>102054</xdr:colOff>
      <xdr:row>34</xdr:row>
      <xdr:rowOff>100013</xdr:rowOff>
    </xdr:to>
    <xdr:cxnSp macro="">
      <xdr:nvCxnSpPr>
        <xdr:cNvPr id="75450" name="직선 화살표 연결선 75449">
          <a:extLst>
            <a:ext uri="{FF2B5EF4-FFF2-40B4-BE49-F238E27FC236}">
              <a16:creationId xmlns:a16="http://schemas.microsoft.com/office/drawing/2014/main" id="{D97E54D0-66AF-40B7-B082-F7FAA781128E}"/>
            </a:ext>
          </a:extLst>
        </xdr:cNvPr>
        <xdr:cNvCxnSpPr/>
      </xdr:nvCxnSpPr>
      <xdr:spPr>
        <a:xfrm>
          <a:off x="13722804" y="719613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33</xdr:row>
      <xdr:rowOff>247650</xdr:rowOff>
    </xdr:from>
    <xdr:to>
      <xdr:col>37</xdr:col>
      <xdr:colOff>123734</xdr:colOff>
      <xdr:row>33</xdr:row>
      <xdr:rowOff>361950</xdr:rowOff>
    </xdr:to>
    <xdr:sp macro="" textlink="">
      <xdr:nvSpPr>
        <xdr:cNvPr id="75451" name="30">
          <a:extLst>
            <a:ext uri="{FF2B5EF4-FFF2-40B4-BE49-F238E27FC236}">
              <a16:creationId xmlns:a16="http://schemas.microsoft.com/office/drawing/2014/main" id="{5795E6CA-68EB-4041-8E38-B6D607016EA4}"/>
            </a:ext>
          </a:extLst>
        </xdr:cNvPr>
        <xdr:cNvSpPr/>
      </xdr:nvSpPr>
      <xdr:spPr>
        <a:xfrm>
          <a:off x="14069786" y="673417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33</xdr:row>
      <xdr:rowOff>304800</xdr:rowOff>
    </xdr:from>
    <xdr:to>
      <xdr:col>36</xdr:col>
      <xdr:colOff>20411</xdr:colOff>
      <xdr:row>33</xdr:row>
      <xdr:rowOff>304800</xdr:rowOff>
    </xdr:to>
    <xdr:cxnSp macro="">
      <xdr:nvCxnSpPr>
        <xdr:cNvPr id="75452" name="직선 화살표 연결선 75451">
          <a:extLst>
            <a:ext uri="{FF2B5EF4-FFF2-40B4-BE49-F238E27FC236}">
              <a16:creationId xmlns:a16="http://schemas.microsoft.com/office/drawing/2014/main" id="{762E60D5-44E7-4250-8179-1EC57044C6A1}"/>
            </a:ext>
          </a:extLst>
        </xdr:cNvPr>
        <xdr:cNvCxnSpPr/>
      </xdr:nvCxnSpPr>
      <xdr:spPr>
        <a:xfrm>
          <a:off x="14069786" y="6791325"/>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102054</xdr:colOff>
      <xdr:row>32</xdr:row>
      <xdr:rowOff>42863</xdr:rowOff>
    </xdr:from>
    <xdr:to>
      <xdr:col>35</xdr:col>
      <xdr:colOff>123734</xdr:colOff>
      <xdr:row>32</xdr:row>
      <xdr:rowOff>157163</xdr:rowOff>
    </xdr:to>
    <xdr:sp macro="" textlink="">
      <xdr:nvSpPr>
        <xdr:cNvPr id="75453" name="29">
          <a:extLst>
            <a:ext uri="{FF2B5EF4-FFF2-40B4-BE49-F238E27FC236}">
              <a16:creationId xmlns:a16="http://schemas.microsoft.com/office/drawing/2014/main" id="{415C5F9F-B56E-4D8D-9CAB-67E725569781}"/>
            </a:ext>
          </a:extLst>
        </xdr:cNvPr>
        <xdr:cNvSpPr/>
      </xdr:nvSpPr>
      <xdr:spPr>
        <a:xfrm>
          <a:off x="14008554" y="6329363"/>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102054</xdr:colOff>
      <xdr:row>32</xdr:row>
      <xdr:rowOff>100013</xdr:rowOff>
    </xdr:from>
    <xdr:to>
      <xdr:col>35</xdr:col>
      <xdr:colOff>102054</xdr:colOff>
      <xdr:row>32</xdr:row>
      <xdr:rowOff>100013</xdr:rowOff>
    </xdr:to>
    <xdr:cxnSp macro="">
      <xdr:nvCxnSpPr>
        <xdr:cNvPr id="75454" name="직선 화살표 연결선 75453">
          <a:extLst>
            <a:ext uri="{FF2B5EF4-FFF2-40B4-BE49-F238E27FC236}">
              <a16:creationId xmlns:a16="http://schemas.microsoft.com/office/drawing/2014/main" id="{DEACD568-7694-4E27-BB99-ACA19215E5A9}"/>
            </a:ext>
          </a:extLst>
        </xdr:cNvPr>
        <xdr:cNvCxnSpPr/>
      </xdr:nvCxnSpPr>
      <xdr:spPr>
        <a:xfrm>
          <a:off x="14008554" y="638651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102054</xdr:colOff>
      <xdr:row>31</xdr:row>
      <xdr:rowOff>42863</xdr:rowOff>
    </xdr:from>
    <xdr:to>
      <xdr:col>35</xdr:col>
      <xdr:colOff>123734</xdr:colOff>
      <xdr:row>31</xdr:row>
      <xdr:rowOff>157163</xdr:rowOff>
    </xdr:to>
    <xdr:sp macro="" textlink="">
      <xdr:nvSpPr>
        <xdr:cNvPr id="75455" name="28">
          <a:extLst>
            <a:ext uri="{FF2B5EF4-FFF2-40B4-BE49-F238E27FC236}">
              <a16:creationId xmlns:a16="http://schemas.microsoft.com/office/drawing/2014/main" id="{74F96641-E5C6-4D02-8CA1-FCC0F7557D6F}"/>
            </a:ext>
          </a:extLst>
        </xdr:cNvPr>
        <xdr:cNvSpPr/>
      </xdr:nvSpPr>
      <xdr:spPr>
        <a:xfrm>
          <a:off x="14008554" y="6129338"/>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102054</xdr:colOff>
      <xdr:row>31</xdr:row>
      <xdr:rowOff>100013</xdr:rowOff>
    </xdr:from>
    <xdr:to>
      <xdr:col>35</xdr:col>
      <xdr:colOff>102054</xdr:colOff>
      <xdr:row>31</xdr:row>
      <xdr:rowOff>100013</xdr:rowOff>
    </xdr:to>
    <xdr:cxnSp macro="">
      <xdr:nvCxnSpPr>
        <xdr:cNvPr id="75456" name="직선 화살표 연결선 75455">
          <a:extLst>
            <a:ext uri="{FF2B5EF4-FFF2-40B4-BE49-F238E27FC236}">
              <a16:creationId xmlns:a16="http://schemas.microsoft.com/office/drawing/2014/main" id="{24BF86D7-653F-4ECC-92B8-45AF18DAFF85}"/>
            </a:ext>
          </a:extLst>
        </xdr:cNvPr>
        <xdr:cNvCxnSpPr/>
      </xdr:nvCxnSpPr>
      <xdr:spPr>
        <a:xfrm>
          <a:off x="14008554" y="618648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30</xdr:row>
      <xdr:rowOff>42863</xdr:rowOff>
    </xdr:from>
    <xdr:to>
      <xdr:col>35</xdr:col>
      <xdr:colOff>103324</xdr:colOff>
      <xdr:row>30</xdr:row>
      <xdr:rowOff>157163</xdr:rowOff>
    </xdr:to>
    <xdr:sp macro="" textlink="">
      <xdr:nvSpPr>
        <xdr:cNvPr id="75457" name="27">
          <a:extLst>
            <a:ext uri="{FF2B5EF4-FFF2-40B4-BE49-F238E27FC236}">
              <a16:creationId xmlns:a16="http://schemas.microsoft.com/office/drawing/2014/main" id="{C91C58AC-51EF-430D-9131-30E671878DAA}"/>
            </a:ext>
          </a:extLst>
        </xdr:cNvPr>
        <xdr:cNvSpPr/>
      </xdr:nvSpPr>
      <xdr:spPr>
        <a:xfrm>
          <a:off x="13988143" y="5929313"/>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30</xdr:row>
      <xdr:rowOff>100013</xdr:rowOff>
    </xdr:from>
    <xdr:to>
      <xdr:col>35</xdr:col>
      <xdr:colOff>81643</xdr:colOff>
      <xdr:row>30</xdr:row>
      <xdr:rowOff>100013</xdr:rowOff>
    </xdr:to>
    <xdr:cxnSp macro="">
      <xdr:nvCxnSpPr>
        <xdr:cNvPr id="75458" name="직선 화살표 연결선 75457">
          <a:extLst>
            <a:ext uri="{FF2B5EF4-FFF2-40B4-BE49-F238E27FC236}">
              <a16:creationId xmlns:a16="http://schemas.microsoft.com/office/drawing/2014/main" id="{A6D5A6F9-C686-418D-9B46-5CF41F4C97C9}"/>
            </a:ext>
          </a:extLst>
        </xdr:cNvPr>
        <xdr:cNvCxnSpPr/>
      </xdr:nvCxnSpPr>
      <xdr:spPr>
        <a:xfrm>
          <a:off x="13988143" y="598646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29</xdr:row>
      <xdr:rowOff>42863</xdr:rowOff>
    </xdr:from>
    <xdr:to>
      <xdr:col>35</xdr:col>
      <xdr:colOff>103324</xdr:colOff>
      <xdr:row>29</xdr:row>
      <xdr:rowOff>157163</xdr:rowOff>
    </xdr:to>
    <xdr:sp macro="" textlink="">
      <xdr:nvSpPr>
        <xdr:cNvPr id="75459" name="26">
          <a:extLst>
            <a:ext uri="{FF2B5EF4-FFF2-40B4-BE49-F238E27FC236}">
              <a16:creationId xmlns:a16="http://schemas.microsoft.com/office/drawing/2014/main" id="{2EB45115-FCE7-4EF6-A3C0-1F889A4F867F}"/>
            </a:ext>
          </a:extLst>
        </xdr:cNvPr>
        <xdr:cNvSpPr/>
      </xdr:nvSpPr>
      <xdr:spPr>
        <a:xfrm>
          <a:off x="13988143" y="5729288"/>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29</xdr:row>
      <xdr:rowOff>100013</xdr:rowOff>
    </xdr:from>
    <xdr:to>
      <xdr:col>35</xdr:col>
      <xdr:colOff>81643</xdr:colOff>
      <xdr:row>29</xdr:row>
      <xdr:rowOff>100013</xdr:rowOff>
    </xdr:to>
    <xdr:cxnSp macro="">
      <xdr:nvCxnSpPr>
        <xdr:cNvPr id="75460" name="직선 화살표 연결선 75459">
          <a:extLst>
            <a:ext uri="{FF2B5EF4-FFF2-40B4-BE49-F238E27FC236}">
              <a16:creationId xmlns:a16="http://schemas.microsoft.com/office/drawing/2014/main" id="{C690A296-E9F9-4DDB-BB20-D32EA979A856}"/>
            </a:ext>
          </a:extLst>
        </xdr:cNvPr>
        <xdr:cNvCxnSpPr/>
      </xdr:nvCxnSpPr>
      <xdr:spPr>
        <a:xfrm>
          <a:off x="13988143" y="578643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28</xdr:row>
      <xdr:rowOff>42863</xdr:rowOff>
    </xdr:from>
    <xdr:to>
      <xdr:col>35</xdr:col>
      <xdr:colOff>103324</xdr:colOff>
      <xdr:row>28</xdr:row>
      <xdr:rowOff>157163</xdr:rowOff>
    </xdr:to>
    <xdr:sp macro="" textlink="">
      <xdr:nvSpPr>
        <xdr:cNvPr id="75461" name="25">
          <a:extLst>
            <a:ext uri="{FF2B5EF4-FFF2-40B4-BE49-F238E27FC236}">
              <a16:creationId xmlns:a16="http://schemas.microsoft.com/office/drawing/2014/main" id="{02CCE912-FA91-4C08-ABBA-B5FCDE132584}"/>
            </a:ext>
          </a:extLst>
        </xdr:cNvPr>
        <xdr:cNvSpPr/>
      </xdr:nvSpPr>
      <xdr:spPr>
        <a:xfrm>
          <a:off x="13988143" y="5529263"/>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28</xdr:row>
      <xdr:rowOff>100013</xdr:rowOff>
    </xdr:from>
    <xdr:to>
      <xdr:col>35</xdr:col>
      <xdr:colOff>81643</xdr:colOff>
      <xdr:row>28</xdr:row>
      <xdr:rowOff>100013</xdr:rowOff>
    </xdr:to>
    <xdr:cxnSp macro="">
      <xdr:nvCxnSpPr>
        <xdr:cNvPr id="75462" name="직선 화살표 연결선 75461">
          <a:extLst>
            <a:ext uri="{FF2B5EF4-FFF2-40B4-BE49-F238E27FC236}">
              <a16:creationId xmlns:a16="http://schemas.microsoft.com/office/drawing/2014/main" id="{93B69C79-BAA3-44B9-83F0-A3ABB847C5D1}"/>
            </a:ext>
          </a:extLst>
        </xdr:cNvPr>
        <xdr:cNvCxnSpPr/>
      </xdr:nvCxnSpPr>
      <xdr:spPr>
        <a:xfrm>
          <a:off x="13988143" y="558641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27</xdr:row>
      <xdr:rowOff>42863</xdr:rowOff>
    </xdr:from>
    <xdr:to>
      <xdr:col>35</xdr:col>
      <xdr:colOff>82913</xdr:colOff>
      <xdr:row>27</xdr:row>
      <xdr:rowOff>157163</xdr:rowOff>
    </xdr:to>
    <xdr:sp macro="" textlink="">
      <xdr:nvSpPr>
        <xdr:cNvPr id="75463" name="24">
          <a:extLst>
            <a:ext uri="{FF2B5EF4-FFF2-40B4-BE49-F238E27FC236}">
              <a16:creationId xmlns:a16="http://schemas.microsoft.com/office/drawing/2014/main" id="{6EC20953-E80E-416E-A6DB-33C070830F54}"/>
            </a:ext>
          </a:extLst>
        </xdr:cNvPr>
        <xdr:cNvSpPr/>
      </xdr:nvSpPr>
      <xdr:spPr>
        <a:xfrm>
          <a:off x="13824857" y="5329238"/>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27</xdr:row>
      <xdr:rowOff>100013</xdr:rowOff>
    </xdr:from>
    <xdr:to>
      <xdr:col>34</xdr:col>
      <xdr:colOff>61232</xdr:colOff>
      <xdr:row>27</xdr:row>
      <xdr:rowOff>100013</xdr:rowOff>
    </xdr:to>
    <xdr:cxnSp macro="">
      <xdr:nvCxnSpPr>
        <xdr:cNvPr id="75464" name="직선 화살표 연결선 75463">
          <a:extLst>
            <a:ext uri="{FF2B5EF4-FFF2-40B4-BE49-F238E27FC236}">
              <a16:creationId xmlns:a16="http://schemas.microsoft.com/office/drawing/2014/main" id="{DA6612EE-AD99-4DBF-A2D2-7C7E39C16C14}"/>
            </a:ext>
          </a:extLst>
        </xdr:cNvPr>
        <xdr:cNvCxnSpPr/>
      </xdr:nvCxnSpPr>
      <xdr:spPr>
        <a:xfrm>
          <a:off x="13824857" y="538638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40821</xdr:colOff>
      <xdr:row>26</xdr:row>
      <xdr:rowOff>42863</xdr:rowOff>
    </xdr:from>
    <xdr:to>
      <xdr:col>34</xdr:col>
      <xdr:colOff>62502</xdr:colOff>
      <xdr:row>26</xdr:row>
      <xdr:rowOff>157163</xdr:rowOff>
    </xdr:to>
    <xdr:sp macro="" textlink="">
      <xdr:nvSpPr>
        <xdr:cNvPr id="75465" name="23">
          <a:extLst>
            <a:ext uri="{FF2B5EF4-FFF2-40B4-BE49-F238E27FC236}">
              <a16:creationId xmlns:a16="http://schemas.microsoft.com/office/drawing/2014/main" id="{3914E72D-5E84-4DE0-BF10-AA176518F1C3}"/>
            </a:ext>
          </a:extLst>
        </xdr:cNvPr>
        <xdr:cNvSpPr/>
      </xdr:nvSpPr>
      <xdr:spPr>
        <a:xfrm>
          <a:off x="13804446" y="5129213"/>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40821</xdr:colOff>
      <xdr:row>26</xdr:row>
      <xdr:rowOff>100013</xdr:rowOff>
    </xdr:from>
    <xdr:to>
      <xdr:col>34</xdr:col>
      <xdr:colOff>40821</xdr:colOff>
      <xdr:row>26</xdr:row>
      <xdr:rowOff>100013</xdr:rowOff>
    </xdr:to>
    <xdr:cxnSp macro="">
      <xdr:nvCxnSpPr>
        <xdr:cNvPr id="75466" name="직선 화살표 연결선 75465">
          <a:extLst>
            <a:ext uri="{FF2B5EF4-FFF2-40B4-BE49-F238E27FC236}">
              <a16:creationId xmlns:a16="http://schemas.microsoft.com/office/drawing/2014/main" id="{E6D554D2-E494-4345-8D4F-508530D41A1C}"/>
            </a:ext>
          </a:extLst>
        </xdr:cNvPr>
        <xdr:cNvCxnSpPr/>
      </xdr:nvCxnSpPr>
      <xdr:spPr>
        <a:xfrm>
          <a:off x="13804446" y="518636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102054</xdr:colOff>
      <xdr:row>25</xdr:row>
      <xdr:rowOff>42863</xdr:rowOff>
    </xdr:from>
    <xdr:to>
      <xdr:col>34</xdr:col>
      <xdr:colOff>42090</xdr:colOff>
      <xdr:row>25</xdr:row>
      <xdr:rowOff>157163</xdr:rowOff>
    </xdr:to>
    <xdr:sp macro="" textlink="">
      <xdr:nvSpPr>
        <xdr:cNvPr id="75467" name="22">
          <a:extLst>
            <a:ext uri="{FF2B5EF4-FFF2-40B4-BE49-F238E27FC236}">
              <a16:creationId xmlns:a16="http://schemas.microsoft.com/office/drawing/2014/main" id="{C0243903-D102-4B41-9E3E-C8F1A6225FDB}"/>
            </a:ext>
          </a:extLst>
        </xdr:cNvPr>
        <xdr:cNvSpPr/>
      </xdr:nvSpPr>
      <xdr:spPr>
        <a:xfrm>
          <a:off x="13722804" y="4929188"/>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102054</xdr:colOff>
      <xdr:row>25</xdr:row>
      <xdr:rowOff>100013</xdr:rowOff>
    </xdr:from>
    <xdr:to>
      <xdr:col>33</xdr:col>
      <xdr:colOff>102054</xdr:colOff>
      <xdr:row>25</xdr:row>
      <xdr:rowOff>100013</xdr:rowOff>
    </xdr:to>
    <xdr:cxnSp macro="">
      <xdr:nvCxnSpPr>
        <xdr:cNvPr id="75468" name="직선 화살표 연결선 75467">
          <a:extLst>
            <a:ext uri="{FF2B5EF4-FFF2-40B4-BE49-F238E27FC236}">
              <a16:creationId xmlns:a16="http://schemas.microsoft.com/office/drawing/2014/main" id="{5F74613C-77ED-4104-9AAE-0E825BB197FC}"/>
            </a:ext>
          </a:extLst>
        </xdr:cNvPr>
        <xdr:cNvCxnSpPr/>
      </xdr:nvCxnSpPr>
      <xdr:spPr>
        <a:xfrm>
          <a:off x="13722804" y="498633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24</xdr:row>
      <xdr:rowOff>42863</xdr:rowOff>
    </xdr:from>
    <xdr:to>
      <xdr:col>33</xdr:col>
      <xdr:colOff>103324</xdr:colOff>
      <xdr:row>24</xdr:row>
      <xdr:rowOff>157163</xdr:rowOff>
    </xdr:to>
    <xdr:sp macro="" textlink="">
      <xdr:nvSpPr>
        <xdr:cNvPr id="75469" name="21">
          <a:extLst>
            <a:ext uri="{FF2B5EF4-FFF2-40B4-BE49-F238E27FC236}">
              <a16:creationId xmlns:a16="http://schemas.microsoft.com/office/drawing/2014/main" id="{03F10AF5-5725-4608-BA71-7E2C21EC08D3}"/>
            </a:ext>
          </a:extLst>
        </xdr:cNvPr>
        <xdr:cNvSpPr/>
      </xdr:nvSpPr>
      <xdr:spPr>
        <a:xfrm>
          <a:off x="13681982" y="4729163"/>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24</xdr:row>
      <xdr:rowOff>100013</xdr:rowOff>
    </xdr:from>
    <xdr:to>
      <xdr:col>33</xdr:col>
      <xdr:colOff>61232</xdr:colOff>
      <xdr:row>24</xdr:row>
      <xdr:rowOff>100013</xdr:rowOff>
    </xdr:to>
    <xdr:cxnSp macro="">
      <xdr:nvCxnSpPr>
        <xdr:cNvPr id="75470" name="직선 화살표 연결선 75469">
          <a:extLst>
            <a:ext uri="{FF2B5EF4-FFF2-40B4-BE49-F238E27FC236}">
              <a16:creationId xmlns:a16="http://schemas.microsoft.com/office/drawing/2014/main" id="{AD79BF58-0BD3-428F-8483-44B185CF798D}"/>
            </a:ext>
          </a:extLst>
        </xdr:cNvPr>
        <xdr:cNvCxnSpPr/>
      </xdr:nvCxnSpPr>
      <xdr:spPr>
        <a:xfrm>
          <a:off x="13681982" y="478631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20411</xdr:colOff>
      <xdr:row>23</xdr:row>
      <xdr:rowOff>42863</xdr:rowOff>
    </xdr:from>
    <xdr:to>
      <xdr:col>33</xdr:col>
      <xdr:colOff>62502</xdr:colOff>
      <xdr:row>23</xdr:row>
      <xdr:rowOff>157163</xdr:rowOff>
    </xdr:to>
    <xdr:sp macro="" textlink="">
      <xdr:nvSpPr>
        <xdr:cNvPr id="75471" name="20">
          <a:extLst>
            <a:ext uri="{FF2B5EF4-FFF2-40B4-BE49-F238E27FC236}">
              <a16:creationId xmlns:a16="http://schemas.microsoft.com/office/drawing/2014/main" id="{20465BAF-2D44-4543-AD6D-16908B22B180}"/>
            </a:ext>
          </a:extLst>
        </xdr:cNvPr>
        <xdr:cNvSpPr/>
      </xdr:nvSpPr>
      <xdr:spPr>
        <a:xfrm>
          <a:off x="13641161" y="4529138"/>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20411</xdr:colOff>
      <xdr:row>23</xdr:row>
      <xdr:rowOff>100013</xdr:rowOff>
    </xdr:from>
    <xdr:to>
      <xdr:col>33</xdr:col>
      <xdr:colOff>20411</xdr:colOff>
      <xdr:row>23</xdr:row>
      <xdr:rowOff>100013</xdr:rowOff>
    </xdr:to>
    <xdr:cxnSp macro="">
      <xdr:nvCxnSpPr>
        <xdr:cNvPr id="75472" name="직선 화살표 연결선 75471">
          <a:extLst>
            <a:ext uri="{FF2B5EF4-FFF2-40B4-BE49-F238E27FC236}">
              <a16:creationId xmlns:a16="http://schemas.microsoft.com/office/drawing/2014/main" id="{41827A6B-3224-4A6A-A5C9-D5FEDD6376BB}"/>
            </a:ext>
          </a:extLst>
        </xdr:cNvPr>
        <xdr:cNvCxnSpPr/>
      </xdr:nvCxnSpPr>
      <xdr:spPr>
        <a:xfrm>
          <a:off x="13641161" y="458628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22</xdr:row>
      <xdr:rowOff>42863</xdr:rowOff>
    </xdr:from>
    <xdr:to>
      <xdr:col>32</xdr:col>
      <xdr:colOff>123734</xdr:colOff>
      <xdr:row>22</xdr:row>
      <xdr:rowOff>157163</xdr:rowOff>
    </xdr:to>
    <xdr:sp macro="" textlink="">
      <xdr:nvSpPr>
        <xdr:cNvPr id="75473" name="19">
          <a:extLst>
            <a:ext uri="{FF2B5EF4-FFF2-40B4-BE49-F238E27FC236}">
              <a16:creationId xmlns:a16="http://schemas.microsoft.com/office/drawing/2014/main" id="{95652A3D-922D-4620-8864-068C84892D19}"/>
            </a:ext>
          </a:extLst>
        </xdr:cNvPr>
        <xdr:cNvSpPr/>
      </xdr:nvSpPr>
      <xdr:spPr>
        <a:xfrm>
          <a:off x="13559518" y="4329113"/>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22</xdr:row>
      <xdr:rowOff>100013</xdr:rowOff>
    </xdr:from>
    <xdr:to>
      <xdr:col>32</xdr:col>
      <xdr:colOff>81643</xdr:colOff>
      <xdr:row>22</xdr:row>
      <xdr:rowOff>100013</xdr:rowOff>
    </xdr:to>
    <xdr:cxnSp macro="">
      <xdr:nvCxnSpPr>
        <xdr:cNvPr id="75474" name="직선 화살표 연결선 75473">
          <a:extLst>
            <a:ext uri="{FF2B5EF4-FFF2-40B4-BE49-F238E27FC236}">
              <a16:creationId xmlns:a16="http://schemas.microsoft.com/office/drawing/2014/main" id="{ED15DF77-7D5B-4969-95E0-05506DEE087E}"/>
            </a:ext>
          </a:extLst>
        </xdr:cNvPr>
        <xdr:cNvCxnSpPr/>
      </xdr:nvCxnSpPr>
      <xdr:spPr>
        <a:xfrm>
          <a:off x="13559518" y="438626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21</xdr:row>
      <xdr:rowOff>42863</xdr:rowOff>
    </xdr:from>
    <xdr:to>
      <xdr:col>32</xdr:col>
      <xdr:colOff>82913</xdr:colOff>
      <xdr:row>21</xdr:row>
      <xdr:rowOff>157163</xdr:rowOff>
    </xdr:to>
    <xdr:sp macro="" textlink="">
      <xdr:nvSpPr>
        <xdr:cNvPr id="75475" name="18">
          <a:extLst>
            <a:ext uri="{FF2B5EF4-FFF2-40B4-BE49-F238E27FC236}">
              <a16:creationId xmlns:a16="http://schemas.microsoft.com/office/drawing/2014/main" id="{EB350B57-4F26-4210-81EA-CD51647DE58C}"/>
            </a:ext>
          </a:extLst>
        </xdr:cNvPr>
        <xdr:cNvSpPr/>
      </xdr:nvSpPr>
      <xdr:spPr>
        <a:xfrm>
          <a:off x="13518696" y="4129088"/>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40821</xdr:colOff>
      <xdr:row>21</xdr:row>
      <xdr:rowOff>100013</xdr:rowOff>
    </xdr:from>
    <xdr:to>
      <xdr:col>32</xdr:col>
      <xdr:colOff>40821</xdr:colOff>
      <xdr:row>21</xdr:row>
      <xdr:rowOff>100013</xdr:rowOff>
    </xdr:to>
    <xdr:cxnSp macro="">
      <xdr:nvCxnSpPr>
        <xdr:cNvPr id="75476" name="직선 화살표 연결선 75475">
          <a:extLst>
            <a:ext uri="{FF2B5EF4-FFF2-40B4-BE49-F238E27FC236}">
              <a16:creationId xmlns:a16="http://schemas.microsoft.com/office/drawing/2014/main" id="{D360E90D-2F16-4D4D-818B-655CB3DC477D}"/>
            </a:ext>
          </a:extLst>
        </xdr:cNvPr>
        <xdr:cNvCxnSpPr/>
      </xdr:nvCxnSpPr>
      <xdr:spPr>
        <a:xfrm>
          <a:off x="13518696" y="418623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102054</xdr:colOff>
      <xdr:row>20</xdr:row>
      <xdr:rowOff>42863</xdr:rowOff>
    </xdr:from>
    <xdr:to>
      <xdr:col>32</xdr:col>
      <xdr:colOff>42090</xdr:colOff>
      <xdr:row>20</xdr:row>
      <xdr:rowOff>157163</xdr:rowOff>
    </xdr:to>
    <xdr:sp macro="" textlink="">
      <xdr:nvSpPr>
        <xdr:cNvPr id="75477" name="17">
          <a:extLst>
            <a:ext uri="{FF2B5EF4-FFF2-40B4-BE49-F238E27FC236}">
              <a16:creationId xmlns:a16="http://schemas.microsoft.com/office/drawing/2014/main" id="{D0332CA0-916C-4AEE-B934-0EE5D36DF160}"/>
            </a:ext>
          </a:extLst>
        </xdr:cNvPr>
        <xdr:cNvSpPr/>
      </xdr:nvSpPr>
      <xdr:spPr>
        <a:xfrm>
          <a:off x="13437054" y="3929063"/>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102054</xdr:colOff>
      <xdr:row>20</xdr:row>
      <xdr:rowOff>100013</xdr:rowOff>
    </xdr:from>
    <xdr:to>
      <xdr:col>31</xdr:col>
      <xdr:colOff>102054</xdr:colOff>
      <xdr:row>20</xdr:row>
      <xdr:rowOff>100013</xdr:rowOff>
    </xdr:to>
    <xdr:cxnSp macro="">
      <xdr:nvCxnSpPr>
        <xdr:cNvPr id="75478" name="직선 화살표 연결선 75477">
          <a:extLst>
            <a:ext uri="{FF2B5EF4-FFF2-40B4-BE49-F238E27FC236}">
              <a16:creationId xmlns:a16="http://schemas.microsoft.com/office/drawing/2014/main" id="{C6652E2D-185E-40B0-926A-1E405DE304F9}"/>
            </a:ext>
          </a:extLst>
        </xdr:cNvPr>
        <xdr:cNvCxnSpPr/>
      </xdr:nvCxnSpPr>
      <xdr:spPr>
        <a:xfrm>
          <a:off x="13437054" y="398621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19</xdr:row>
      <xdr:rowOff>42863</xdr:rowOff>
    </xdr:from>
    <xdr:to>
      <xdr:col>31</xdr:col>
      <xdr:colOff>103324</xdr:colOff>
      <xdr:row>19</xdr:row>
      <xdr:rowOff>157163</xdr:rowOff>
    </xdr:to>
    <xdr:sp macro="" textlink="">
      <xdr:nvSpPr>
        <xdr:cNvPr id="75479" name="16">
          <a:extLst>
            <a:ext uri="{FF2B5EF4-FFF2-40B4-BE49-F238E27FC236}">
              <a16:creationId xmlns:a16="http://schemas.microsoft.com/office/drawing/2014/main" id="{3CE5D67C-431A-4E3E-AF40-653C3F405954}"/>
            </a:ext>
          </a:extLst>
        </xdr:cNvPr>
        <xdr:cNvSpPr/>
      </xdr:nvSpPr>
      <xdr:spPr>
        <a:xfrm>
          <a:off x="13396232" y="3729038"/>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19</xdr:row>
      <xdr:rowOff>100013</xdr:rowOff>
    </xdr:from>
    <xdr:to>
      <xdr:col>31</xdr:col>
      <xdr:colOff>61232</xdr:colOff>
      <xdr:row>19</xdr:row>
      <xdr:rowOff>100013</xdr:rowOff>
    </xdr:to>
    <xdr:cxnSp macro="">
      <xdr:nvCxnSpPr>
        <xdr:cNvPr id="75480" name="직선 화살표 연결선 75479">
          <a:extLst>
            <a:ext uri="{FF2B5EF4-FFF2-40B4-BE49-F238E27FC236}">
              <a16:creationId xmlns:a16="http://schemas.microsoft.com/office/drawing/2014/main" id="{697CD095-E7A9-44CC-930C-D7D24BB71E20}"/>
            </a:ext>
          </a:extLst>
        </xdr:cNvPr>
        <xdr:cNvCxnSpPr/>
      </xdr:nvCxnSpPr>
      <xdr:spPr>
        <a:xfrm>
          <a:off x="13396232" y="378618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18</xdr:row>
      <xdr:rowOff>42863</xdr:rowOff>
    </xdr:from>
    <xdr:to>
      <xdr:col>37</xdr:col>
      <xdr:colOff>123734</xdr:colOff>
      <xdr:row>18</xdr:row>
      <xdr:rowOff>157163</xdr:rowOff>
    </xdr:to>
    <xdr:sp macro="" textlink="">
      <xdr:nvSpPr>
        <xdr:cNvPr id="75487" name="15">
          <a:extLst>
            <a:ext uri="{FF2B5EF4-FFF2-40B4-BE49-F238E27FC236}">
              <a16:creationId xmlns:a16="http://schemas.microsoft.com/office/drawing/2014/main" id="{AF137669-B9B5-4516-B60E-0C5BA9427796}"/>
            </a:ext>
          </a:extLst>
        </xdr:cNvPr>
        <xdr:cNvSpPr/>
      </xdr:nvSpPr>
      <xdr:spPr>
        <a:xfrm>
          <a:off x="13396232" y="3529013"/>
          <a:ext cx="9197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18</xdr:row>
      <xdr:rowOff>100013</xdr:rowOff>
    </xdr:from>
    <xdr:to>
      <xdr:col>31</xdr:col>
      <xdr:colOff>61232</xdr:colOff>
      <xdr:row>18</xdr:row>
      <xdr:rowOff>100013</xdr:rowOff>
    </xdr:to>
    <xdr:cxnSp macro="">
      <xdr:nvCxnSpPr>
        <xdr:cNvPr id="64576" name="직선 화살표 연결선 64575">
          <a:extLst>
            <a:ext uri="{FF2B5EF4-FFF2-40B4-BE49-F238E27FC236}">
              <a16:creationId xmlns:a16="http://schemas.microsoft.com/office/drawing/2014/main" id="{4CAB720B-C02D-4041-9560-5DA2B58007AB}"/>
            </a:ext>
          </a:extLst>
        </xdr:cNvPr>
        <xdr:cNvCxnSpPr/>
      </xdr:nvCxnSpPr>
      <xdr:spPr>
        <a:xfrm>
          <a:off x="13396232" y="358616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17</xdr:row>
      <xdr:rowOff>42863</xdr:rowOff>
    </xdr:from>
    <xdr:to>
      <xdr:col>32</xdr:col>
      <xdr:colOff>82913</xdr:colOff>
      <xdr:row>17</xdr:row>
      <xdr:rowOff>157163</xdr:rowOff>
    </xdr:to>
    <xdr:sp macro="" textlink="">
      <xdr:nvSpPr>
        <xdr:cNvPr id="64577" name="14">
          <a:extLst>
            <a:ext uri="{FF2B5EF4-FFF2-40B4-BE49-F238E27FC236}">
              <a16:creationId xmlns:a16="http://schemas.microsoft.com/office/drawing/2014/main" id="{92E5FBBB-89EB-4EA3-BA65-7D9D7069BF04}"/>
            </a:ext>
          </a:extLst>
        </xdr:cNvPr>
        <xdr:cNvSpPr/>
      </xdr:nvSpPr>
      <xdr:spPr>
        <a:xfrm>
          <a:off x="13396232" y="3328988"/>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17</xdr:row>
      <xdr:rowOff>100013</xdr:rowOff>
    </xdr:from>
    <xdr:to>
      <xdr:col>31</xdr:col>
      <xdr:colOff>61232</xdr:colOff>
      <xdr:row>17</xdr:row>
      <xdr:rowOff>100013</xdr:rowOff>
    </xdr:to>
    <xdr:cxnSp macro="">
      <xdr:nvCxnSpPr>
        <xdr:cNvPr id="64578" name="직선 화살표 연결선 64577">
          <a:extLst>
            <a:ext uri="{FF2B5EF4-FFF2-40B4-BE49-F238E27FC236}">
              <a16:creationId xmlns:a16="http://schemas.microsoft.com/office/drawing/2014/main" id="{0FCFCFBC-E500-4CEB-826E-C1266746D608}"/>
            </a:ext>
          </a:extLst>
        </xdr:cNvPr>
        <xdr:cNvCxnSpPr/>
      </xdr:nvCxnSpPr>
      <xdr:spPr>
        <a:xfrm>
          <a:off x="13396232" y="338613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16</xdr:row>
      <xdr:rowOff>42863</xdr:rowOff>
    </xdr:from>
    <xdr:to>
      <xdr:col>37</xdr:col>
      <xdr:colOff>123734</xdr:colOff>
      <xdr:row>16</xdr:row>
      <xdr:rowOff>157163</xdr:rowOff>
    </xdr:to>
    <xdr:sp macro="" textlink="">
      <xdr:nvSpPr>
        <xdr:cNvPr id="64579" name="13">
          <a:extLst>
            <a:ext uri="{FF2B5EF4-FFF2-40B4-BE49-F238E27FC236}">
              <a16:creationId xmlns:a16="http://schemas.microsoft.com/office/drawing/2014/main" id="{2013D14E-3DD1-4119-865B-6A36456EF7C6}"/>
            </a:ext>
          </a:extLst>
        </xdr:cNvPr>
        <xdr:cNvSpPr/>
      </xdr:nvSpPr>
      <xdr:spPr>
        <a:xfrm>
          <a:off x="13396232" y="3128963"/>
          <a:ext cx="9197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16</xdr:row>
      <xdr:rowOff>100013</xdr:rowOff>
    </xdr:from>
    <xdr:to>
      <xdr:col>31</xdr:col>
      <xdr:colOff>61232</xdr:colOff>
      <xdr:row>16</xdr:row>
      <xdr:rowOff>100013</xdr:rowOff>
    </xdr:to>
    <xdr:cxnSp macro="">
      <xdr:nvCxnSpPr>
        <xdr:cNvPr id="64590" name="직선 화살표 연결선 64589">
          <a:extLst>
            <a:ext uri="{FF2B5EF4-FFF2-40B4-BE49-F238E27FC236}">
              <a16:creationId xmlns:a16="http://schemas.microsoft.com/office/drawing/2014/main" id="{A3169F70-8569-4099-8878-3BD3E61D0027}"/>
            </a:ext>
          </a:extLst>
        </xdr:cNvPr>
        <xdr:cNvCxnSpPr/>
      </xdr:nvCxnSpPr>
      <xdr:spPr>
        <a:xfrm>
          <a:off x="13396232" y="318611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15</xdr:row>
      <xdr:rowOff>42863</xdr:rowOff>
    </xdr:from>
    <xdr:to>
      <xdr:col>60</xdr:col>
      <xdr:colOff>1270</xdr:colOff>
      <xdr:row>15</xdr:row>
      <xdr:rowOff>157163</xdr:rowOff>
    </xdr:to>
    <xdr:sp macro="" textlink="">
      <xdr:nvSpPr>
        <xdr:cNvPr id="64591" name="12">
          <a:extLst>
            <a:ext uri="{FF2B5EF4-FFF2-40B4-BE49-F238E27FC236}">
              <a16:creationId xmlns:a16="http://schemas.microsoft.com/office/drawing/2014/main" id="{C749D84D-1E22-4EB5-91B3-F14C7AD6E4BC}"/>
            </a:ext>
          </a:extLst>
        </xdr:cNvPr>
        <xdr:cNvSpPr/>
      </xdr:nvSpPr>
      <xdr:spPr>
        <a:xfrm>
          <a:off x="13396232" y="2928938"/>
          <a:ext cx="40834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15</xdr:row>
      <xdr:rowOff>100013</xdr:rowOff>
    </xdr:from>
    <xdr:to>
      <xdr:col>31</xdr:col>
      <xdr:colOff>61232</xdr:colOff>
      <xdr:row>15</xdr:row>
      <xdr:rowOff>100013</xdr:rowOff>
    </xdr:to>
    <xdr:cxnSp macro="">
      <xdr:nvCxnSpPr>
        <xdr:cNvPr id="64602" name="직선 화살표 연결선 64601">
          <a:extLst>
            <a:ext uri="{FF2B5EF4-FFF2-40B4-BE49-F238E27FC236}">
              <a16:creationId xmlns:a16="http://schemas.microsoft.com/office/drawing/2014/main" id="{8D037494-DBFE-4B43-886E-60779EE2CF9E}"/>
            </a:ext>
          </a:extLst>
        </xdr:cNvPr>
        <xdr:cNvCxnSpPr/>
      </xdr:nvCxnSpPr>
      <xdr:spPr>
        <a:xfrm>
          <a:off x="13396232" y="298608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13</xdr:row>
      <xdr:rowOff>42863</xdr:rowOff>
    </xdr:from>
    <xdr:to>
      <xdr:col>59</xdr:col>
      <xdr:colOff>123734</xdr:colOff>
      <xdr:row>13</xdr:row>
      <xdr:rowOff>157163</xdr:rowOff>
    </xdr:to>
    <xdr:sp macro="" textlink="">
      <xdr:nvSpPr>
        <xdr:cNvPr id="64603" name="10">
          <a:extLst>
            <a:ext uri="{FF2B5EF4-FFF2-40B4-BE49-F238E27FC236}">
              <a16:creationId xmlns:a16="http://schemas.microsoft.com/office/drawing/2014/main" id="{E94CE3EC-B51E-40D9-BE8B-09451EF26DC4}"/>
            </a:ext>
          </a:extLst>
        </xdr:cNvPr>
        <xdr:cNvSpPr/>
      </xdr:nvSpPr>
      <xdr:spPr>
        <a:xfrm>
          <a:off x="17355911" y="2662238"/>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13</xdr:row>
      <xdr:rowOff>100013</xdr:rowOff>
    </xdr:from>
    <xdr:to>
      <xdr:col>59</xdr:col>
      <xdr:colOff>20411</xdr:colOff>
      <xdr:row>13</xdr:row>
      <xdr:rowOff>100013</xdr:rowOff>
    </xdr:to>
    <xdr:cxnSp macro="">
      <xdr:nvCxnSpPr>
        <xdr:cNvPr id="64604" name="직선 화살표 연결선 64603">
          <a:extLst>
            <a:ext uri="{FF2B5EF4-FFF2-40B4-BE49-F238E27FC236}">
              <a16:creationId xmlns:a16="http://schemas.microsoft.com/office/drawing/2014/main" id="{CC45D2E7-0C6D-47DD-B168-4F9D33859FE1}"/>
            </a:ext>
          </a:extLst>
        </xdr:cNvPr>
        <xdr:cNvCxnSpPr/>
      </xdr:nvCxnSpPr>
      <xdr:spPr>
        <a:xfrm>
          <a:off x="17355911" y="271938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12</xdr:row>
      <xdr:rowOff>42863</xdr:rowOff>
    </xdr:from>
    <xdr:to>
      <xdr:col>59</xdr:col>
      <xdr:colOff>123734</xdr:colOff>
      <xdr:row>12</xdr:row>
      <xdr:rowOff>157163</xdr:rowOff>
    </xdr:to>
    <xdr:sp macro="" textlink="">
      <xdr:nvSpPr>
        <xdr:cNvPr id="64605" name="9">
          <a:extLst>
            <a:ext uri="{FF2B5EF4-FFF2-40B4-BE49-F238E27FC236}">
              <a16:creationId xmlns:a16="http://schemas.microsoft.com/office/drawing/2014/main" id="{681393AD-C83D-4C94-BCA4-AFB3C1D204D6}"/>
            </a:ext>
          </a:extLst>
        </xdr:cNvPr>
        <xdr:cNvSpPr/>
      </xdr:nvSpPr>
      <xdr:spPr>
        <a:xfrm>
          <a:off x="17355911" y="2462213"/>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12</xdr:row>
      <xdr:rowOff>100013</xdr:rowOff>
    </xdr:from>
    <xdr:to>
      <xdr:col>59</xdr:col>
      <xdr:colOff>20411</xdr:colOff>
      <xdr:row>12</xdr:row>
      <xdr:rowOff>100013</xdr:rowOff>
    </xdr:to>
    <xdr:cxnSp macro="">
      <xdr:nvCxnSpPr>
        <xdr:cNvPr id="64606" name="직선 화살표 연결선 64605">
          <a:extLst>
            <a:ext uri="{FF2B5EF4-FFF2-40B4-BE49-F238E27FC236}">
              <a16:creationId xmlns:a16="http://schemas.microsoft.com/office/drawing/2014/main" id="{2046B37E-F60D-4C8C-AC8D-6133C34A3261}"/>
            </a:ext>
          </a:extLst>
        </xdr:cNvPr>
        <xdr:cNvCxnSpPr/>
      </xdr:nvCxnSpPr>
      <xdr:spPr>
        <a:xfrm>
          <a:off x="17355911" y="2519363"/>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20411</xdr:colOff>
      <xdr:row>11</xdr:row>
      <xdr:rowOff>42863</xdr:rowOff>
    </xdr:from>
    <xdr:to>
      <xdr:col>59</xdr:col>
      <xdr:colOff>123734</xdr:colOff>
      <xdr:row>11</xdr:row>
      <xdr:rowOff>157163</xdr:rowOff>
    </xdr:to>
    <xdr:sp macro="" textlink="">
      <xdr:nvSpPr>
        <xdr:cNvPr id="64607" name="8">
          <a:extLst>
            <a:ext uri="{FF2B5EF4-FFF2-40B4-BE49-F238E27FC236}">
              <a16:creationId xmlns:a16="http://schemas.microsoft.com/office/drawing/2014/main" id="{3B888AFB-4890-4951-9204-18A87BE19350}"/>
            </a:ext>
          </a:extLst>
        </xdr:cNvPr>
        <xdr:cNvSpPr/>
      </xdr:nvSpPr>
      <xdr:spPr>
        <a:xfrm>
          <a:off x="17355911" y="2262188"/>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20411</xdr:colOff>
      <xdr:row>11</xdr:row>
      <xdr:rowOff>100013</xdr:rowOff>
    </xdr:from>
    <xdr:to>
      <xdr:col>59</xdr:col>
      <xdr:colOff>20411</xdr:colOff>
      <xdr:row>11</xdr:row>
      <xdr:rowOff>100013</xdr:rowOff>
    </xdr:to>
    <xdr:cxnSp macro="">
      <xdr:nvCxnSpPr>
        <xdr:cNvPr id="64640" name="직선 화살표 연결선 64639">
          <a:extLst>
            <a:ext uri="{FF2B5EF4-FFF2-40B4-BE49-F238E27FC236}">
              <a16:creationId xmlns:a16="http://schemas.microsoft.com/office/drawing/2014/main" id="{565E67BB-C85C-4D24-9E15-35BAC50ABA0A}"/>
            </a:ext>
          </a:extLst>
        </xdr:cNvPr>
        <xdr:cNvCxnSpPr/>
      </xdr:nvCxnSpPr>
      <xdr:spPr>
        <a:xfrm>
          <a:off x="17355911" y="2319338"/>
          <a:ext cx="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102054</xdr:colOff>
      <xdr:row>10</xdr:row>
      <xdr:rowOff>42863</xdr:rowOff>
    </xdr:from>
    <xdr:to>
      <xdr:col>46</xdr:col>
      <xdr:colOff>123734</xdr:colOff>
      <xdr:row>10</xdr:row>
      <xdr:rowOff>157163</xdr:rowOff>
    </xdr:to>
    <xdr:sp macro="" textlink="">
      <xdr:nvSpPr>
        <xdr:cNvPr id="64641" name="7">
          <a:extLst>
            <a:ext uri="{FF2B5EF4-FFF2-40B4-BE49-F238E27FC236}">
              <a16:creationId xmlns:a16="http://schemas.microsoft.com/office/drawing/2014/main" id="{56B7EAC2-81D2-4E9E-BC34-9D841B69885C}"/>
            </a:ext>
          </a:extLst>
        </xdr:cNvPr>
        <xdr:cNvSpPr/>
      </xdr:nvSpPr>
      <xdr:spPr>
        <a:xfrm>
          <a:off x="15580179" y="2062163"/>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102054</xdr:colOff>
      <xdr:row>10</xdr:row>
      <xdr:rowOff>100013</xdr:rowOff>
    </xdr:from>
    <xdr:to>
      <xdr:col>46</xdr:col>
      <xdr:colOff>116340</xdr:colOff>
      <xdr:row>10</xdr:row>
      <xdr:rowOff>100013</xdr:rowOff>
    </xdr:to>
    <xdr:cxnSp macro="">
      <xdr:nvCxnSpPr>
        <xdr:cNvPr id="64642" name="직선 화살표 연결선 64641">
          <a:extLst>
            <a:ext uri="{FF2B5EF4-FFF2-40B4-BE49-F238E27FC236}">
              <a16:creationId xmlns:a16="http://schemas.microsoft.com/office/drawing/2014/main" id="{2C226C33-F08F-4955-9576-F77C7F440A94}"/>
            </a:ext>
          </a:extLst>
        </xdr:cNvPr>
        <xdr:cNvCxnSpPr/>
      </xdr:nvCxnSpPr>
      <xdr:spPr>
        <a:xfrm>
          <a:off x="15580179" y="2119313"/>
          <a:ext cx="14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102054</xdr:colOff>
      <xdr:row>9</xdr:row>
      <xdr:rowOff>42863</xdr:rowOff>
    </xdr:from>
    <xdr:to>
      <xdr:col>46</xdr:col>
      <xdr:colOff>123734</xdr:colOff>
      <xdr:row>9</xdr:row>
      <xdr:rowOff>157163</xdr:rowOff>
    </xdr:to>
    <xdr:sp macro="" textlink="">
      <xdr:nvSpPr>
        <xdr:cNvPr id="64643" name="6">
          <a:extLst>
            <a:ext uri="{FF2B5EF4-FFF2-40B4-BE49-F238E27FC236}">
              <a16:creationId xmlns:a16="http://schemas.microsoft.com/office/drawing/2014/main" id="{9EB0E1D9-B4C6-4BC5-B63B-CA20EE1A2823}"/>
            </a:ext>
          </a:extLst>
        </xdr:cNvPr>
        <xdr:cNvSpPr/>
      </xdr:nvSpPr>
      <xdr:spPr>
        <a:xfrm>
          <a:off x="15580179" y="1862138"/>
          <a:ext cx="216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102054</xdr:colOff>
      <xdr:row>9</xdr:row>
      <xdr:rowOff>100013</xdr:rowOff>
    </xdr:from>
    <xdr:to>
      <xdr:col>46</xdr:col>
      <xdr:colOff>116340</xdr:colOff>
      <xdr:row>9</xdr:row>
      <xdr:rowOff>100013</xdr:rowOff>
    </xdr:to>
    <xdr:cxnSp macro="">
      <xdr:nvCxnSpPr>
        <xdr:cNvPr id="64644" name="직선 화살표 연결선 64643">
          <a:extLst>
            <a:ext uri="{FF2B5EF4-FFF2-40B4-BE49-F238E27FC236}">
              <a16:creationId xmlns:a16="http://schemas.microsoft.com/office/drawing/2014/main" id="{5E6AB527-49CE-471B-AA53-833693289985}"/>
            </a:ext>
          </a:extLst>
        </xdr:cNvPr>
        <xdr:cNvCxnSpPr/>
      </xdr:nvCxnSpPr>
      <xdr:spPr>
        <a:xfrm>
          <a:off x="15580179" y="1919288"/>
          <a:ext cx="14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8</xdr:row>
      <xdr:rowOff>42863</xdr:rowOff>
    </xdr:from>
    <xdr:to>
      <xdr:col>32</xdr:col>
      <xdr:colOff>123734</xdr:colOff>
      <xdr:row>8</xdr:row>
      <xdr:rowOff>157163</xdr:rowOff>
    </xdr:to>
    <xdr:sp macro="" textlink="">
      <xdr:nvSpPr>
        <xdr:cNvPr id="64645" name="5">
          <a:extLst>
            <a:ext uri="{FF2B5EF4-FFF2-40B4-BE49-F238E27FC236}">
              <a16:creationId xmlns:a16="http://schemas.microsoft.com/office/drawing/2014/main" id="{86A6B7A1-ADAD-404A-8707-5762373302BB}"/>
            </a:ext>
          </a:extLst>
        </xdr:cNvPr>
        <xdr:cNvSpPr/>
      </xdr:nvSpPr>
      <xdr:spPr>
        <a:xfrm>
          <a:off x="13396232" y="1662113"/>
          <a:ext cx="2053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102054</xdr:colOff>
      <xdr:row>8</xdr:row>
      <xdr:rowOff>100013</xdr:rowOff>
    </xdr:from>
    <xdr:to>
      <xdr:col>32</xdr:col>
      <xdr:colOff>122464</xdr:colOff>
      <xdr:row>8</xdr:row>
      <xdr:rowOff>100013</xdr:rowOff>
    </xdr:to>
    <xdr:cxnSp macro="">
      <xdr:nvCxnSpPr>
        <xdr:cNvPr id="64646" name="직선 화살표 연결선 64645">
          <a:extLst>
            <a:ext uri="{FF2B5EF4-FFF2-40B4-BE49-F238E27FC236}">
              <a16:creationId xmlns:a16="http://schemas.microsoft.com/office/drawing/2014/main" id="{32DFF55C-7A91-4758-A0B9-453515A54DAD}"/>
            </a:ext>
          </a:extLst>
        </xdr:cNvPr>
        <xdr:cNvCxnSpPr/>
      </xdr:nvCxnSpPr>
      <xdr:spPr>
        <a:xfrm>
          <a:off x="13437054" y="1719263"/>
          <a:ext cx="163285"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7</xdr:row>
      <xdr:rowOff>42863</xdr:rowOff>
    </xdr:from>
    <xdr:to>
      <xdr:col>32</xdr:col>
      <xdr:colOff>123734</xdr:colOff>
      <xdr:row>7</xdr:row>
      <xdr:rowOff>157163</xdr:rowOff>
    </xdr:to>
    <xdr:sp macro="" textlink="">
      <xdr:nvSpPr>
        <xdr:cNvPr id="64647" name="4">
          <a:extLst>
            <a:ext uri="{FF2B5EF4-FFF2-40B4-BE49-F238E27FC236}">
              <a16:creationId xmlns:a16="http://schemas.microsoft.com/office/drawing/2014/main" id="{B95459E1-26FF-424B-9677-73F5AD1603F9}"/>
            </a:ext>
          </a:extLst>
        </xdr:cNvPr>
        <xdr:cNvSpPr/>
      </xdr:nvSpPr>
      <xdr:spPr>
        <a:xfrm>
          <a:off x="13396232" y="1462088"/>
          <a:ext cx="20537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102054</xdr:colOff>
      <xdr:row>7</xdr:row>
      <xdr:rowOff>100013</xdr:rowOff>
    </xdr:from>
    <xdr:to>
      <xdr:col>32</xdr:col>
      <xdr:colOff>122464</xdr:colOff>
      <xdr:row>7</xdr:row>
      <xdr:rowOff>100013</xdr:rowOff>
    </xdr:to>
    <xdr:cxnSp macro="">
      <xdr:nvCxnSpPr>
        <xdr:cNvPr id="64648" name="직선 화살표 연결선 64647">
          <a:extLst>
            <a:ext uri="{FF2B5EF4-FFF2-40B4-BE49-F238E27FC236}">
              <a16:creationId xmlns:a16="http://schemas.microsoft.com/office/drawing/2014/main" id="{555DDDE4-5EFB-445A-A7AB-313EED0A2AE1}"/>
            </a:ext>
          </a:extLst>
        </xdr:cNvPr>
        <xdr:cNvCxnSpPr/>
      </xdr:nvCxnSpPr>
      <xdr:spPr>
        <a:xfrm>
          <a:off x="13437054" y="1519238"/>
          <a:ext cx="163285"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6</xdr:row>
      <xdr:rowOff>42863</xdr:rowOff>
    </xdr:from>
    <xdr:to>
      <xdr:col>31</xdr:col>
      <xdr:colOff>82913</xdr:colOff>
      <xdr:row>6</xdr:row>
      <xdr:rowOff>157163</xdr:rowOff>
    </xdr:to>
    <xdr:sp macro="" textlink="">
      <xdr:nvSpPr>
        <xdr:cNvPr id="64649" name="3">
          <a:extLst>
            <a:ext uri="{FF2B5EF4-FFF2-40B4-BE49-F238E27FC236}">
              <a16:creationId xmlns:a16="http://schemas.microsoft.com/office/drawing/2014/main" id="{33D7055F-65BB-485C-8547-9A789C232C7B}"/>
            </a:ext>
          </a:extLst>
        </xdr:cNvPr>
        <xdr:cNvSpPr/>
      </xdr:nvSpPr>
      <xdr:spPr>
        <a:xfrm>
          <a:off x="13396232" y="1262063"/>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6</xdr:row>
      <xdr:rowOff>100013</xdr:rowOff>
    </xdr:from>
    <xdr:to>
      <xdr:col>31</xdr:col>
      <xdr:colOff>81643</xdr:colOff>
      <xdr:row>6</xdr:row>
      <xdr:rowOff>100013</xdr:rowOff>
    </xdr:to>
    <xdr:cxnSp macro="">
      <xdr:nvCxnSpPr>
        <xdr:cNvPr id="64650" name="직선 화살표 연결선 64649">
          <a:extLst>
            <a:ext uri="{FF2B5EF4-FFF2-40B4-BE49-F238E27FC236}">
              <a16:creationId xmlns:a16="http://schemas.microsoft.com/office/drawing/2014/main" id="{2C557B8A-C19C-460F-AF92-289794AC08BF}"/>
            </a:ext>
          </a:extLst>
        </xdr:cNvPr>
        <xdr:cNvCxnSpPr/>
      </xdr:nvCxnSpPr>
      <xdr:spPr>
        <a:xfrm>
          <a:off x="13396232" y="1319213"/>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5</xdr:row>
      <xdr:rowOff>42863</xdr:rowOff>
    </xdr:from>
    <xdr:to>
      <xdr:col>32</xdr:col>
      <xdr:colOff>123734</xdr:colOff>
      <xdr:row>5</xdr:row>
      <xdr:rowOff>157163</xdr:rowOff>
    </xdr:to>
    <xdr:sp macro="" textlink="">
      <xdr:nvSpPr>
        <xdr:cNvPr id="64651" name="2">
          <a:extLst>
            <a:ext uri="{FF2B5EF4-FFF2-40B4-BE49-F238E27FC236}">
              <a16:creationId xmlns:a16="http://schemas.microsoft.com/office/drawing/2014/main" id="{C7540645-FF9A-40DA-8527-D03399F9EE1A}"/>
            </a:ext>
          </a:extLst>
        </xdr:cNvPr>
        <xdr:cNvSpPr/>
      </xdr:nvSpPr>
      <xdr:spPr>
        <a:xfrm>
          <a:off x="13396232" y="1062038"/>
          <a:ext cx="20537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5</xdr:row>
      <xdr:rowOff>100013</xdr:rowOff>
    </xdr:from>
    <xdr:to>
      <xdr:col>32</xdr:col>
      <xdr:colOff>122464</xdr:colOff>
      <xdr:row>5</xdr:row>
      <xdr:rowOff>100013</xdr:rowOff>
    </xdr:to>
    <xdr:cxnSp macro="">
      <xdr:nvCxnSpPr>
        <xdr:cNvPr id="64652" name="직선 화살표 연결선 64651">
          <a:extLst>
            <a:ext uri="{FF2B5EF4-FFF2-40B4-BE49-F238E27FC236}">
              <a16:creationId xmlns:a16="http://schemas.microsoft.com/office/drawing/2014/main" id="{5FB093EE-0B49-4703-894E-DC2753C383D0}"/>
            </a:ext>
          </a:extLst>
        </xdr:cNvPr>
        <xdr:cNvCxnSpPr/>
      </xdr:nvCxnSpPr>
      <xdr:spPr>
        <a:xfrm>
          <a:off x="13396232" y="1119188"/>
          <a:ext cx="2041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4</xdr:row>
      <xdr:rowOff>42863</xdr:rowOff>
    </xdr:from>
    <xdr:to>
      <xdr:col>59</xdr:col>
      <xdr:colOff>123734</xdr:colOff>
      <xdr:row>4</xdr:row>
      <xdr:rowOff>157163</xdr:rowOff>
    </xdr:to>
    <xdr:sp macro="" textlink="">
      <xdr:nvSpPr>
        <xdr:cNvPr id="64653" name="1">
          <a:extLst>
            <a:ext uri="{FF2B5EF4-FFF2-40B4-BE49-F238E27FC236}">
              <a16:creationId xmlns:a16="http://schemas.microsoft.com/office/drawing/2014/main" id="{FD4784C0-0199-40CC-B703-384CEC4C5FA0}"/>
            </a:ext>
          </a:extLst>
        </xdr:cNvPr>
        <xdr:cNvSpPr/>
      </xdr:nvSpPr>
      <xdr:spPr>
        <a:xfrm>
          <a:off x="13396232" y="862013"/>
          <a:ext cx="4063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4</xdr:row>
      <xdr:rowOff>100013</xdr:rowOff>
    </xdr:from>
    <xdr:to>
      <xdr:col>45</xdr:col>
      <xdr:colOff>30922</xdr:colOff>
      <xdr:row>4</xdr:row>
      <xdr:rowOff>100013</xdr:rowOff>
    </xdr:to>
    <xdr:cxnSp macro="">
      <xdr:nvCxnSpPr>
        <xdr:cNvPr id="64654" name="직선 화살표 연결선 64653">
          <a:extLst>
            <a:ext uri="{FF2B5EF4-FFF2-40B4-BE49-F238E27FC236}">
              <a16:creationId xmlns:a16="http://schemas.microsoft.com/office/drawing/2014/main" id="{D5FEF707-88C9-483C-A213-0D3C4F8231EC}"/>
            </a:ext>
          </a:extLst>
        </xdr:cNvPr>
        <xdr:cNvCxnSpPr/>
      </xdr:nvCxnSpPr>
      <xdr:spPr>
        <a:xfrm>
          <a:off x="13396232" y="919163"/>
          <a:ext cx="19699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5"/>
  <sheetViews>
    <sheetView showGridLines="0" zoomScale="90" zoomScaleNormal="90" workbookViewId="0">
      <selection activeCell="B9" sqref="B9"/>
    </sheetView>
  </sheetViews>
  <sheetFormatPr defaultColWidth="9" defaultRowHeight="15.75"/>
  <cols>
    <col min="1" max="1" width="5.875" style="85" customWidth="1"/>
    <col min="2" max="2" width="29.875" style="107" customWidth="1"/>
    <col min="3" max="3" width="1.25" style="85" customWidth="1"/>
    <col min="4" max="11" width="9" style="85"/>
    <col min="12" max="12" width="19.5" style="85" customWidth="1"/>
    <col min="13" max="21" width="9" style="85"/>
    <col min="22" max="22" width="0" style="85" hidden="1" customWidth="1"/>
    <col min="23" max="26" width="9" style="85"/>
    <col min="27" max="28" width="0" style="85" hidden="1" customWidth="1"/>
    <col min="29" max="16384" width="9" style="85"/>
  </cols>
  <sheetData>
    <row r="1" spans="1:13" ht="20.25" customHeight="1">
      <c r="A1" s="260" t="s">
        <v>1391</v>
      </c>
      <c r="B1" s="261"/>
      <c r="C1" s="261"/>
      <c r="D1" s="261"/>
      <c r="E1" s="261"/>
      <c r="F1" s="261"/>
      <c r="G1" s="261"/>
      <c r="H1" s="123"/>
      <c r="I1" s="123"/>
      <c r="J1" s="264" t="s">
        <v>740</v>
      </c>
      <c r="K1" s="265"/>
      <c r="L1" s="265"/>
      <c r="M1" s="124"/>
    </row>
    <row r="2" spans="1:13" s="86" customFormat="1" ht="33.75" customHeight="1">
      <c r="A2" s="262"/>
      <c r="B2" s="263"/>
      <c r="C2" s="263"/>
      <c r="D2" s="263"/>
      <c r="E2" s="263"/>
      <c r="F2" s="263"/>
      <c r="G2" s="263"/>
      <c r="H2" s="258" t="s">
        <v>1392</v>
      </c>
      <c r="I2" s="259"/>
      <c r="J2" s="259"/>
      <c r="K2" s="259"/>
      <c r="L2" s="259"/>
      <c r="M2" s="125"/>
    </row>
    <row r="4" spans="1:13" ht="17.25" customHeight="1">
      <c r="B4" s="266" t="s">
        <v>1393</v>
      </c>
      <c r="C4" s="267"/>
      <c r="D4" s="267"/>
      <c r="E4" s="267"/>
      <c r="F4" s="267"/>
      <c r="G4" s="267"/>
      <c r="H4" s="267"/>
      <c r="I4" s="267"/>
      <c r="J4" s="267"/>
      <c r="K4" s="267"/>
      <c r="L4" s="267"/>
    </row>
    <row r="5" spans="1:13" ht="27.75" customHeight="1">
      <c r="B5" s="267"/>
      <c r="C5" s="267"/>
      <c r="D5" s="267"/>
      <c r="E5" s="267"/>
      <c r="F5" s="267"/>
      <c r="G5" s="267"/>
      <c r="H5" s="267"/>
      <c r="I5" s="267"/>
      <c r="J5" s="267"/>
      <c r="K5" s="267"/>
      <c r="L5" s="267"/>
    </row>
    <row r="6" spans="1:13" s="86" customFormat="1" ht="12.75">
      <c r="B6" s="87"/>
    </row>
    <row r="7" spans="1:13" s="86" customFormat="1" ht="18.75">
      <c r="B7" s="88" t="s">
        <v>1394</v>
      </c>
      <c r="D7" s="89"/>
    </row>
    <row r="8" spans="1:13" s="86" customFormat="1" ht="7.5" customHeight="1">
      <c r="B8" s="87"/>
    </row>
    <row r="9" spans="1:13" s="86" customFormat="1" ht="29.25" customHeight="1" thickBot="1">
      <c r="A9" s="90"/>
      <c r="B9" s="91" t="s">
        <v>449</v>
      </c>
      <c r="C9" s="90"/>
      <c r="D9" s="257" t="s">
        <v>1395</v>
      </c>
      <c r="E9" s="257"/>
      <c r="F9" s="257"/>
      <c r="G9" s="257"/>
      <c r="H9" s="257"/>
      <c r="I9" s="257"/>
      <c r="J9" s="257"/>
      <c r="K9" s="257"/>
      <c r="L9" s="257"/>
    </row>
    <row r="10" spans="1:13" s="86" customFormat="1" ht="29.25" customHeight="1" thickTop="1" thickBot="1">
      <c r="A10" s="90"/>
      <c r="B10" s="92" t="s">
        <v>450</v>
      </c>
      <c r="C10" s="90"/>
      <c r="D10" s="257" t="s">
        <v>1396</v>
      </c>
      <c r="E10" s="257"/>
      <c r="F10" s="257"/>
      <c r="G10" s="257"/>
      <c r="H10" s="257"/>
      <c r="I10" s="257"/>
      <c r="J10" s="257"/>
      <c r="K10" s="257"/>
      <c r="L10" s="257"/>
    </row>
    <row r="11" spans="1:13" s="86" customFormat="1" ht="29.25" customHeight="1" thickTop="1" thickBot="1">
      <c r="A11" s="90"/>
      <c r="B11" s="93" t="s">
        <v>451</v>
      </c>
      <c r="C11" s="90"/>
      <c r="D11" s="257" t="s">
        <v>1397</v>
      </c>
      <c r="E11" s="257"/>
      <c r="F11" s="257"/>
      <c r="G11" s="257"/>
      <c r="H11" s="257"/>
      <c r="I11" s="257"/>
      <c r="J11" s="257"/>
      <c r="K11" s="257"/>
      <c r="L11" s="257"/>
    </row>
    <row r="12" spans="1:13" s="86" customFormat="1" ht="29.25" customHeight="1" thickTop="1" thickBot="1">
      <c r="A12" s="90"/>
      <c r="B12" s="94" t="s">
        <v>452</v>
      </c>
      <c r="C12" s="90"/>
      <c r="D12" s="257" t="s">
        <v>1398</v>
      </c>
      <c r="E12" s="257"/>
      <c r="F12" s="257"/>
      <c r="G12" s="257"/>
      <c r="H12" s="257"/>
      <c r="I12" s="257"/>
      <c r="J12" s="257"/>
      <c r="K12" s="257"/>
      <c r="L12" s="257"/>
    </row>
    <row r="13" spans="1:13" s="86" customFormat="1" ht="29.25" customHeight="1" thickTop="1" thickBot="1">
      <c r="A13" s="90"/>
      <c r="B13" s="95" t="s">
        <v>541</v>
      </c>
      <c r="C13" s="90"/>
      <c r="D13" s="257" t="s">
        <v>1399</v>
      </c>
      <c r="E13" s="257"/>
      <c r="F13" s="257"/>
      <c r="G13" s="257"/>
      <c r="H13" s="257"/>
      <c r="I13" s="257"/>
      <c r="J13" s="257"/>
      <c r="K13" s="257"/>
      <c r="L13" s="257"/>
    </row>
    <row r="14" spans="1:13" s="86" customFormat="1" ht="29.25" customHeight="1" thickTop="1" thickBot="1">
      <c r="A14" s="90"/>
      <c r="B14" s="96" t="s">
        <v>453</v>
      </c>
      <c r="C14" s="90"/>
      <c r="D14" s="257" t="s">
        <v>1400</v>
      </c>
      <c r="E14" s="257"/>
      <c r="F14" s="257"/>
      <c r="G14" s="257"/>
      <c r="H14" s="257"/>
      <c r="I14" s="257"/>
      <c r="J14" s="257"/>
      <c r="K14" s="257"/>
      <c r="L14" s="257"/>
    </row>
    <row r="15" spans="1:13" ht="16.5" thickTop="1">
      <c r="A15" s="97"/>
      <c r="B15" s="98"/>
      <c r="C15" s="97"/>
      <c r="D15" s="99"/>
      <c r="E15" s="99"/>
      <c r="F15" s="99"/>
      <c r="G15" s="99"/>
      <c r="H15" s="99"/>
      <c r="I15" s="99"/>
      <c r="J15" s="99"/>
      <c r="K15" s="99"/>
      <c r="L15" s="99"/>
    </row>
    <row r="16" spans="1:13" s="86" customFormat="1" ht="18.75">
      <c r="B16" s="88" t="s">
        <v>1401</v>
      </c>
      <c r="D16" s="89"/>
    </row>
    <row r="17" spans="2:12" s="86" customFormat="1" ht="5.25" customHeight="1">
      <c r="B17" s="100"/>
      <c r="D17" s="89"/>
    </row>
    <row r="18" spans="2:12" s="86" customFormat="1" ht="26.25" customHeight="1" thickBot="1">
      <c r="B18" s="101" t="s">
        <v>1402</v>
      </c>
      <c r="D18" s="256" t="s">
        <v>1414</v>
      </c>
      <c r="E18" s="256"/>
      <c r="F18" s="256"/>
      <c r="G18" s="256"/>
      <c r="H18" s="256"/>
      <c r="I18" s="256"/>
      <c r="J18" s="256"/>
      <c r="K18" s="256"/>
      <c r="L18" s="108" t="s">
        <v>1426</v>
      </c>
    </row>
    <row r="19" spans="2:12" s="86" customFormat="1" ht="53.25" customHeight="1" thickTop="1" thickBot="1">
      <c r="B19" s="101" t="s">
        <v>563</v>
      </c>
      <c r="D19" s="256" t="s">
        <v>1415</v>
      </c>
      <c r="E19" s="256"/>
      <c r="F19" s="256"/>
      <c r="G19" s="256"/>
      <c r="H19" s="256"/>
      <c r="I19" s="256"/>
      <c r="J19" s="256"/>
      <c r="K19" s="256"/>
      <c r="L19" s="108" t="s">
        <v>1426</v>
      </c>
    </row>
    <row r="20" spans="2:12" s="86" customFormat="1" ht="26.25" customHeight="1" thickTop="1" thickBot="1">
      <c r="B20" s="101" t="s">
        <v>1403</v>
      </c>
      <c r="D20" s="256" t="s">
        <v>1416</v>
      </c>
      <c r="E20" s="256"/>
      <c r="F20" s="256"/>
      <c r="G20" s="256"/>
      <c r="H20" s="256"/>
      <c r="I20" s="256"/>
      <c r="J20" s="256"/>
      <c r="K20" s="256"/>
      <c r="L20" s="108" t="s">
        <v>1426</v>
      </c>
    </row>
    <row r="21" spans="2:12" s="86" customFormat="1" ht="26.25" customHeight="1" thickTop="1" thickBot="1">
      <c r="B21" s="101" t="s">
        <v>1404</v>
      </c>
      <c r="D21" s="256" t="s">
        <v>1417</v>
      </c>
      <c r="E21" s="256"/>
      <c r="F21" s="256"/>
      <c r="G21" s="256"/>
      <c r="H21" s="256"/>
      <c r="I21" s="256"/>
      <c r="J21" s="256"/>
      <c r="K21" s="256"/>
      <c r="L21" s="108" t="s">
        <v>1426</v>
      </c>
    </row>
    <row r="22" spans="2:12" s="86" customFormat="1" ht="33.75" customHeight="1" thickTop="1" thickBot="1">
      <c r="B22" s="101" t="s">
        <v>1405</v>
      </c>
      <c r="D22" s="256" t="s">
        <v>1418</v>
      </c>
      <c r="E22" s="256"/>
      <c r="F22" s="256"/>
      <c r="G22" s="256"/>
      <c r="H22" s="256"/>
      <c r="I22" s="256"/>
      <c r="J22" s="256"/>
      <c r="K22" s="256"/>
      <c r="L22" s="108" t="s">
        <v>1426</v>
      </c>
    </row>
    <row r="23" spans="2:12" s="86" customFormat="1" ht="52.5" customHeight="1" thickTop="1" thickBot="1">
      <c r="B23" s="101" t="s">
        <v>1406</v>
      </c>
      <c r="D23" s="256" t="s">
        <v>1419</v>
      </c>
      <c r="E23" s="256"/>
      <c r="F23" s="256"/>
      <c r="G23" s="256"/>
      <c r="H23" s="256"/>
      <c r="I23" s="256"/>
      <c r="J23" s="256"/>
      <c r="K23" s="256"/>
      <c r="L23" s="108" t="s">
        <v>1426</v>
      </c>
    </row>
    <row r="24" spans="2:12" s="86" customFormat="1" ht="47.25" customHeight="1" thickTop="1" thickBot="1">
      <c r="B24" s="101" t="s">
        <v>1407</v>
      </c>
      <c r="D24" s="256" t="s">
        <v>1420</v>
      </c>
      <c r="E24" s="256"/>
      <c r="F24" s="256"/>
      <c r="G24" s="256"/>
      <c r="H24" s="256"/>
      <c r="I24" s="256"/>
      <c r="J24" s="256"/>
      <c r="K24" s="256"/>
      <c r="L24" s="108" t="s">
        <v>1426</v>
      </c>
    </row>
    <row r="25" spans="2:12" s="86" customFormat="1" ht="33.75" customHeight="1" thickTop="1" thickBot="1">
      <c r="B25" s="101" t="s">
        <v>1408</v>
      </c>
      <c r="D25" s="256" t="s">
        <v>1421</v>
      </c>
      <c r="E25" s="256"/>
      <c r="F25" s="256"/>
      <c r="G25" s="256"/>
      <c r="H25" s="256"/>
      <c r="I25" s="256"/>
      <c r="J25" s="256"/>
      <c r="K25" s="256"/>
      <c r="L25" s="108" t="s">
        <v>1426</v>
      </c>
    </row>
    <row r="26" spans="2:12" s="86" customFormat="1" ht="53.25" customHeight="1" thickTop="1" thickBot="1">
      <c r="B26" s="101" t="s">
        <v>1409</v>
      </c>
      <c r="D26" s="256" t="s">
        <v>1422</v>
      </c>
      <c r="E26" s="256"/>
      <c r="F26" s="256"/>
      <c r="G26" s="256"/>
      <c r="H26" s="256"/>
      <c r="I26" s="256"/>
      <c r="J26" s="256"/>
      <c r="K26" s="256"/>
      <c r="L26" s="108" t="s">
        <v>1426</v>
      </c>
    </row>
    <row r="27" spans="2:12" s="86" customFormat="1" ht="35.25" customHeight="1" thickTop="1" thickBot="1">
      <c r="B27" s="101" t="s">
        <v>1410</v>
      </c>
      <c r="D27" s="256" t="s">
        <v>1423</v>
      </c>
      <c r="E27" s="256"/>
      <c r="F27" s="256"/>
      <c r="G27" s="256"/>
      <c r="H27" s="256"/>
      <c r="I27" s="256"/>
      <c r="J27" s="256"/>
      <c r="K27" s="256"/>
      <c r="L27" s="108" t="s">
        <v>1426</v>
      </c>
    </row>
    <row r="28" spans="2:12" s="86" customFormat="1" ht="43.5" customHeight="1" thickTop="1" thickBot="1">
      <c r="B28" s="101" t="s">
        <v>452</v>
      </c>
      <c r="D28" s="256" t="s">
        <v>1424</v>
      </c>
      <c r="E28" s="256"/>
      <c r="F28" s="256"/>
      <c r="G28" s="256"/>
      <c r="H28" s="256"/>
      <c r="I28" s="256"/>
      <c r="J28" s="256"/>
      <c r="K28" s="256"/>
      <c r="L28" s="108" t="s">
        <v>1426</v>
      </c>
    </row>
    <row r="29" spans="2:12" s="86" customFormat="1" ht="49.5" customHeight="1" thickTop="1" thickBot="1">
      <c r="B29" s="101" t="s">
        <v>1411</v>
      </c>
      <c r="D29" s="256" t="s">
        <v>1425</v>
      </c>
      <c r="E29" s="256"/>
      <c r="F29" s="256"/>
      <c r="G29" s="256"/>
      <c r="H29" s="256"/>
      <c r="I29" s="256"/>
      <c r="J29" s="256"/>
      <c r="K29" s="256"/>
      <c r="L29" s="108" t="s">
        <v>1426</v>
      </c>
    </row>
    <row r="30" spans="2:12" s="86" customFormat="1" ht="24.75" customHeight="1" thickTop="1" thickBot="1">
      <c r="B30" s="197" t="s">
        <v>1412</v>
      </c>
      <c r="D30" s="256" t="s">
        <v>1358</v>
      </c>
      <c r="E30" s="256"/>
      <c r="F30" s="256"/>
      <c r="G30" s="256"/>
      <c r="H30" s="256"/>
      <c r="I30" s="256"/>
      <c r="J30" s="256"/>
      <c r="K30" s="256"/>
      <c r="L30" s="108" t="s">
        <v>1426</v>
      </c>
    </row>
    <row r="31" spans="2:12" s="86" customFormat="1" ht="24.75" customHeight="1" thickTop="1" thickBot="1">
      <c r="B31" s="101" t="s">
        <v>1413</v>
      </c>
      <c r="D31" s="256" t="s">
        <v>1359</v>
      </c>
      <c r="E31" s="256"/>
      <c r="F31" s="256"/>
      <c r="G31" s="256"/>
      <c r="H31" s="256"/>
      <c r="I31" s="256"/>
      <c r="J31" s="256"/>
      <c r="K31" s="256"/>
      <c r="L31" s="108" t="s">
        <v>1426</v>
      </c>
    </row>
    <row r="32" spans="2:12" s="86" customFormat="1" ht="24.75" customHeight="1" thickTop="1" thickBot="1">
      <c r="B32" s="101" t="s">
        <v>1373</v>
      </c>
      <c r="D32" s="256" t="s">
        <v>1377</v>
      </c>
      <c r="E32" s="256"/>
      <c r="F32" s="256"/>
      <c r="G32" s="256"/>
      <c r="H32" s="256"/>
      <c r="I32" s="256"/>
      <c r="J32" s="256"/>
      <c r="K32" s="256"/>
      <c r="L32" s="108" t="s">
        <v>1426</v>
      </c>
    </row>
    <row r="33" spans="2:12" s="86" customFormat="1" thickTop="1">
      <c r="B33" s="102"/>
      <c r="D33" s="89"/>
      <c r="L33" s="90"/>
    </row>
    <row r="34" spans="2:12" s="86" customFormat="1" ht="18.75" customHeight="1">
      <c r="B34" s="103" t="s">
        <v>1427</v>
      </c>
      <c r="C34" s="104"/>
      <c r="D34" s="105"/>
      <c r="E34" s="104"/>
      <c r="F34" s="104"/>
      <c r="G34" s="104"/>
      <c r="H34" s="104"/>
      <c r="I34" s="104"/>
      <c r="J34" s="104"/>
      <c r="K34" s="104"/>
      <c r="L34" s="106"/>
    </row>
    <row r="35" spans="2:12" s="86" customFormat="1" ht="59.25" customHeight="1">
      <c r="B35" s="268" t="s">
        <v>1428</v>
      </c>
      <c r="C35" s="268"/>
      <c r="D35" s="268"/>
      <c r="E35" s="268"/>
      <c r="F35" s="268"/>
      <c r="G35" s="268"/>
      <c r="H35" s="268"/>
      <c r="I35" s="268"/>
      <c r="J35" s="268"/>
      <c r="K35" s="268"/>
      <c r="L35" s="268"/>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IG143"/>
  <sheetViews>
    <sheetView tabSelected="1" zoomScaleNormal="100" zoomScaleSheetLayoutView="115" zoomScalePageLayoutView="55" workbookViewId="0">
      <pane ySplit="4" topLeftCell="A113" activePane="bottomLeft" state="frozen"/>
      <selection activeCell="D1" sqref="D1"/>
      <selection pane="bottomLeft" activeCell="Q7" sqref="Q7 P21:P22 Q20:Q23 P24:Q27"/>
    </sheetView>
  </sheetViews>
  <sheetFormatPr defaultColWidth="10" defaultRowHeight="15.75" customHeight="1" outlineLevelRow="4"/>
  <cols>
    <col min="1" max="1" width="9.125" style="153" hidden="1" customWidth="1"/>
    <col min="2" max="2" width="9" style="153" hidden="1" customWidth="1"/>
    <col min="3" max="3" width="8.375" style="153" hidden="1" customWidth="1"/>
    <col min="4" max="4" width="9.75" style="232" customWidth="1"/>
    <col min="5" max="13" width="2.75" style="154" customWidth="1"/>
    <col min="14" max="14" width="4.5" style="154" bestFit="1" customWidth="1"/>
    <col min="15" max="15" width="9.75" style="154" bestFit="1" customWidth="1"/>
    <col min="16" max="16" width="10.375" style="155" bestFit="1" customWidth="1"/>
    <col min="17" max="17" width="10" style="155" bestFit="1" customWidth="1"/>
    <col min="18" max="18" width="7.625" style="154" hidden="1" customWidth="1"/>
    <col min="19" max="19" width="7.375" style="156" customWidth="1"/>
    <col min="20" max="20" width="5" style="156" customWidth="1"/>
    <col min="21" max="21" width="6" style="156" customWidth="1"/>
    <col min="22" max="22" width="5.875" style="156" customWidth="1"/>
    <col min="23" max="24" width="9.75" style="155" customWidth="1"/>
    <col min="25" max="25" width="7.5" style="157" customWidth="1"/>
    <col min="26" max="26" width="6" style="158" hidden="1" customWidth="1"/>
    <col min="27" max="27" width="6.125" style="156" hidden="1" customWidth="1"/>
    <col min="28" max="28" width="12.875" style="154" customWidth="1"/>
    <col min="29" max="29" width="24.25" style="159" customWidth="1"/>
    <col min="30" max="30" width="8.375" style="160" bestFit="1" customWidth="1"/>
    <col min="31" max="31" width="9.125" style="161" customWidth="1"/>
    <col min="32" max="241" width="1.875" style="131" customWidth="1"/>
    <col min="242" max="16384" width="10" style="131"/>
  </cols>
  <sheetData>
    <row r="1" spans="1:241" s="143" customFormat="1" ht="24.95" customHeight="1">
      <c r="A1" s="132"/>
      <c r="B1" s="133"/>
      <c r="C1" s="134"/>
      <c r="D1" s="163" t="str">
        <f t="array" aca="1" ref="D1" ca="1">xlgantt.ProjectName()</f>
        <v>㈜영진공사 아암 제2보세 ODCY 자동화 게이트 및 재고관리 시스템 구축</v>
      </c>
      <c r="E1" s="135"/>
      <c r="F1" s="135"/>
      <c r="G1" s="135"/>
      <c r="H1" s="135"/>
      <c r="I1" s="135"/>
      <c r="J1" s="135"/>
      <c r="K1" s="135"/>
      <c r="L1" s="135"/>
      <c r="M1" s="135"/>
      <c r="N1" s="135"/>
      <c r="O1" s="135"/>
      <c r="P1" s="135"/>
      <c r="Q1" s="136"/>
      <c r="R1" s="137"/>
      <c r="S1" s="138"/>
      <c r="T1" s="139"/>
      <c r="U1" s="140"/>
      <c r="V1" s="140"/>
      <c r="W1" s="141"/>
      <c r="X1" s="141"/>
      <c r="Y1" s="133"/>
      <c r="Z1" s="142"/>
      <c r="AA1" s="118"/>
      <c r="AB1" s="119"/>
      <c r="AC1" s="120"/>
      <c r="AD1" s="121"/>
      <c r="AE1" s="122" t="str">
        <f t="array" aca="1" ref="AE1" ca="1">xlgantt.ProjectProgressString()</f>
        <v>2022-06-15~2022-12-31 [계획:0.00% 실적:4.31%]</v>
      </c>
      <c r="AF1" s="175" t="s">
        <v>1445</v>
      </c>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c r="BE1" s="162"/>
      <c r="BF1" s="162"/>
      <c r="BG1" s="162"/>
      <c r="BH1" s="162"/>
      <c r="BI1" s="162"/>
      <c r="BJ1" s="162"/>
    </row>
    <row r="2" spans="1:241" s="143" customFormat="1" ht="15" customHeight="1">
      <c r="A2" s="144"/>
      <c r="B2" s="144"/>
      <c r="C2" s="145"/>
      <c r="D2" s="276"/>
      <c r="E2" s="276"/>
      <c r="F2" s="276"/>
      <c r="G2" s="126"/>
      <c r="H2" s="146"/>
      <c r="I2" s="126"/>
      <c r="J2" s="126"/>
      <c r="K2" s="126"/>
      <c r="L2" s="126"/>
      <c r="M2" s="126"/>
      <c r="N2" s="126"/>
      <c r="O2" s="126"/>
      <c r="P2" s="126"/>
      <c r="Q2" s="126"/>
      <c r="R2" s="126"/>
      <c r="S2" s="127"/>
      <c r="T2" s="127"/>
      <c r="U2" s="127"/>
      <c r="V2" s="127"/>
      <c r="W2" s="126"/>
      <c r="X2" s="126"/>
      <c r="Y2" s="126"/>
      <c r="Z2" s="126"/>
      <c r="AA2" s="126"/>
      <c r="AB2" s="126"/>
      <c r="AC2" s="128"/>
      <c r="AD2" s="129"/>
      <c r="AE2" s="126" t="str">
        <f t="array" aca="1" ref="AE2" ca="1">xlgantt.CommentOnHeadArea()</f>
        <v>별(*)표시는 필수입력</v>
      </c>
      <c r="AF2" s="306" t="s">
        <v>741</v>
      </c>
      <c r="AG2" s="306"/>
      <c r="AH2" s="306"/>
      <c r="AI2" s="306"/>
      <c r="AJ2" s="306" t="s">
        <v>1385</v>
      </c>
      <c r="AK2" s="306"/>
      <c r="AL2" s="306"/>
      <c r="AM2" s="306"/>
      <c r="AN2" s="306" t="s">
        <v>1386</v>
      </c>
      <c r="AO2" s="306"/>
      <c r="AP2" s="306"/>
      <c r="AQ2" s="306"/>
      <c r="AR2" s="306" t="s">
        <v>1491</v>
      </c>
      <c r="AS2" s="306"/>
      <c r="AT2" s="306"/>
      <c r="AU2" s="306"/>
      <c r="AV2" s="306" t="s">
        <v>1492</v>
      </c>
      <c r="AW2" s="306"/>
      <c r="AX2" s="306"/>
      <c r="AY2" s="306"/>
      <c r="AZ2" s="306" t="s">
        <v>1493</v>
      </c>
      <c r="BA2" s="306"/>
      <c r="BB2" s="306"/>
      <c r="BC2" s="306"/>
      <c r="BD2" s="306" t="s">
        <v>1494</v>
      </c>
      <c r="BE2" s="306"/>
      <c r="BF2" s="306"/>
      <c r="BG2" s="306"/>
      <c r="BH2" s="306" t="s">
        <v>1495</v>
      </c>
      <c r="BI2" s="306"/>
      <c r="BJ2" s="306"/>
      <c r="BK2" s="306"/>
      <c r="BL2" s="238"/>
      <c r="BM2" s="238"/>
      <c r="BN2" s="238"/>
      <c r="BO2" s="238"/>
      <c r="BP2" s="238"/>
      <c r="BQ2" s="238"/>
      <c r="BR2" s="238"/>
      <c r="BS2" s="238"/>
      <c r="BT2" s="238"/>
      <c r="BU2" s="238"/>
      <c r="BV2" s="238"/>
      <c r="BW2" s="238"/>
      <c r="BX2" s="238"/>
      <c r="BY2" s="238"/>
      <c r="BZ2" s="238"/>
      <c r="CA2" s="238"/>
      <c r="CB2" s="238"/>
      <c r="CC2" s="238"/>
      <c r="CD2" s="238"/>
      <c r="CE2" s="238"/>
      <c r="CF2" s="238"/>
      <c r="CG2" s="238"/>
      <c r="CH2" s="238"/>
      <c r="CI2" s="238"/>
      <c r="CJ2" s="238"/>
      <c r="CK2" s="238"/>
      <c r="CL2" s="238"/>
      <c r="CM2" s="238"/>
      <c r="CN2" s="238"/>
      <c r="CO2" s="238"/>
      <c r="CP2" s="238"/>
      <c r="CQ2" s="238"/>
      <c r="CR2" s="238"/>
      <c r="CS2" s="238"/>
      <c r="CT2" s="238"/>
      <c r="CU2" s="238"/>
      <c r="CV2" s="238"/>
      <c r="CW2" s="238"/>
      <c r="CX2" s="238"/>
      <c r="CY2" s="238"/>
      <c r="CZ2" s="238"/>
      <c r="DA2" s="238"/>
      <c r="DB2" s="238"/>
      <c r="DC2" s="238"/>
      <c r="DD2" s="238"/>
      <c r="DE2" s="238"/>
      <c r="DF2" s="238"/>
      <c r="DG2" s="238"/>
      <c r="DH2" s="238"/>
      <c r="DI2" s="238"/>
      <c r="DJ2" s="238"/>
      <c r="DK2" s="238"/>
      <c r="DL2" s="238"/>
      <c r="DM2" s="238"/>
      <c r="DN2" s="238"/>
      <c r="DO2" s="238"/>
      <c r="DP2" s="238"/>
      <c r="DQ2" s="238"/>
      <c r="DR2" s="238"/>
      <c r="DS2" s="238"/>
      <c r="DT2" s="238"/>
      <c r="DU2" s="238"/>
      <c r="DV2" s="238"/>
      <c r="DW2" s="238"/>
      <c r="DX2" s="238"/>
      <c r="DY2" s="238"/>
      <c r="DZ2" s="238"/>
      <c r="EA2" s="238"/>
      <c r="EB2" s="238"/>
      <c r="EC2" s="238"/>
      <c r="ED2" s="238"/>
      <c r="EE2" s="238"/>
      <c r="EF2" s="238"/>
      <c r="EG2" s="238"/>
      <c r="EH2" s="238"/>
      <c r="EI2" s="238"/>
      <c r="EJ2" s="238"/>
      <c r="EK2" s="238"/>
      <c r="EL2" s="238"/>
      <c r="EM2" s="238"/>
      <c r="EN2" s="238"/>
      <c r="EO2" s="238"/>
      <c r="EP2" s="238"/>
      <c r="EQ2" s="238"/>
      <c r="ER2" s="238"/>
      <c r="ES2" s="238"/>
      <c r="ET2" s="238"/>
      <c r="EU2" s="238"/>
      <c r="EV2" s="238"/>
      <c r="EW2" s="238"/>
      <c r="EX2" s="238"/>
      <c r="EY2" s="238"/>
      <c r="EZ2" s="238"/>
      <c r="FA2" s="238"/>
      <c r="FB2" s="238"/>
      <c r="FC2" s="238"/>
      <c r="FD2" s="238"/>
      <c r="FE2" s="238"/>
      <c r="FF2" s="238"/>
      <c r="FG2" s="238"/>
      <c r="FH2" s="238"/>
      <c r="FI2" s="238"/>
      <c r="FJ2" s="238"/>
      <c r="FK2" s="238"/>
      <c r="FL2" s="238"/>
      <c r="FM2" s="238"/>
      <c r="FN2" s="238"/>
      <c r="FO2" s="238"/>
      <c r="FP2" s="238"/>
      <c r="FQ2" s="238"/>
      <c r="FR2" s="238"/>
      <c r="FS2" s="238"/>
      <c r="FT2" s="238"/>
      <c r="FU2" s="238"/>
      <c r="FV2" s="238"/>
      <c r="FW2" s="238"/>
      <c r="FX2" s="238"/>
      <c r="FY2" s="238"/>
      <c r="FZ2" s="238"/>
      <c r="GA2" s="238"/>
      <c r="GB2" s="238"/>
      <c r="GC2" s="238"/>
      <c r="GD2" s="238"/>
      <c r="GE2" s="238"/>
      <c r="GF2" s="238"/>
      <c r="GG2" s="238"/>
      <c r="GH2" s="238"/>
      <c r="GI2" s="238"/>
      <c r="GJ2" s="238"/>
      <c r="GK2" s="238"/>
      <c r="GL2" s="238"/>
      <c r="GM2" s="238"/>
      <c r="GN2" s="238"/>
      <c r="GO2" s="238"/>
      <c r="GP2" s="238"/>
      <c r="GQ2" s="238"/>
      <c r="GR2" s="238"/>
      <c r="GS2" s="238"/>
      <c r="GT2" s="238"/>
      <c r="GU2" s="238"/>
      <c r="GV2" s="238"/>
      <c r="GW2" s="238"/>
      <c r="GX2" s="238"/>
      <c r="GY2" s="238"/>
      <c r="GZ2" s="238"/>
      <c r="HA2" s="238"/>
      <c r="HB2" s="238"/>
      <c r="HC2" s="238"/>
      <c r="HD2" s="238"/>
      <c r="HE2" s="238"/>
      <c r="HF2" s="238"/>
      <c r="HG2" s="238"/>
      <c r="HH2" s="238"/>
      <c r="HI2" s="238"/>
      <c r="HJ2" s="238"/>
      <c r="HK2" s="238"/>
      <c r="HL2" s="238"/>
      <c r="HM2" s="238"/>
      <c r="HN2" s="238"/>
      <c r="HO2" s="238"/>
      <c r="HP2" s="238"/>
      <c r="HQ2" s="238"/>
      <c r="HR2" s="238"/>
      <c r="HS2" s="238"/>
      <c r="HT2" s="238"/>
      <c r="HU2" s="238"/>
      <c r="HV2" s="238"/>
      <c r="HW2" s="238"/>
      <c r="HX2" s="238"/>
      <c r="HY2" s="238"/>
      <c r="HZ2" s="238"/>
      <c r="IA2" s="238"/>
      <c r="IB2" s="238"/>
      <c r="IC2" s="238"/>
      <c r="ID2" s="238"/>
      <c r="IE2" s="238"/>
      <c r="IF2" s="238"/>
      <c r="IG2" s="238"/>
    </row>
    <row r="3" spans="1:241" s="130" customFormat="1" ht="18.95" customHeight="1">
      <c r="A3" s="294" t="s">
        <v>461</v>
      </c>
      <c r="B3" s="296" t="s">
        <v>459</v>
      </c>
      <c r="C3" s="298" t="s">
        <v>462</v>
      </c>
      <c r="D3" s="299" t="s">
        <v>460</v>
      </c>
      <c r="E3" s="301" t="s">
        <v>1446</v>
      </c>
      <c r="F3" s="302"/>
      <c r="G3" s="302"/>
      <c r="H3" s="302"/>
      <c r="I3" s="302"/>
      <c r="J3" s="302"/>
      <c r="K3" s="302"/>
      <c r="L3" s="302"/>
      <c r="M3" s="302"/>
      <c r="N3" s="302"/>
      <c r="O3" s="279" t="s">
        <v>1447</v>
      </c>
      <c r="P3" s="279" t="s">
        <v>1448</v>
      </c>
      <c r="Q3" s="279" t="s">
        <v>1449</v>
      </c>
      <c r="R3" s="281" t="s">
        <v>636</v>
      </c>
      <c r="S3" s="283" t="s">
        <v>1450</v>
      </c>
      <c r="T3" s="289" t="s">
        <v>1451</v>
      </c>
      <c r="U3" s="283" t="s">
        <v>1452</v>
      </c>
      <c r="V3" s="283" t="s">
        <v>1453</v>
      </c>
      <c r="W3" s="291" t="s">
        <v>1454</v>
      </c>
      <c r="X3" s="291" t="s">
        <v>1455</v>
      </c>
      <c r="Y3" s="285" t="s">
        <v>1456</v>
      </c>
      <c r="Z3" s="287" t="s">
        <v>1457</v>
      </c>
      <c r="AA3" s="277" t="s">
        <v>1458</v>
      </c>
      <c r="AB3" s="279" t="s">
        <v>1460</v>
      </c>
      <c r="AC3" s="281" t="s">
        <v>1461</v>
      </c>
      <c r="AD3" s="292" t="s">
        <v>1462</v>
      </c>
      <c r="AE3" s="274" t="s">
        <v>1463</v>
      </c>
      <c r="AF3" s="304" t="s">
        <v>1496</v>
      </c>
      <c r="AG3" s="305"/>
      <c r="AH3" s="305"/>
      <c r="AI3" s="305"/>
      <c r="AJ3" s="307" t="s">
        <v>1497</v>
      </c>
      <c r="AK3" s="305"/>
      <c r="AL3" s="305"/>
      <c r="AM3" s="305"/>
      <c r="AN3" s="307" t="s">
        <v>1498</v>
      </c>
      <c r="AO3" s="305"/>
      <c r="AP3" s="305"/>
      <c r="AQ3" s="305"/>
      <c r="AR3" s="307" t="s">
        <v>1499</v>
      </c>
      <c r="AS3" s="305"/>
      <c r="AT3" s="305"/>
      <c r="AU3" s="305"/>
      <c r="AV3" s="307" t="s">
        <v>1500</v>
      </c>
      <c r="AW3" s="305"/>
      <c r="AX3" s="305"/>
      <c r="AY3" s="305"/>
      <c r="AZ3" s="307" t="s">
        <v>1501</v>
      </c>
      <c r="BA3" s="305"/>
      <c r="BB3" s="305"/>
      <c r="BC3" s="305"/>
      <c r="BD3" s="307" t="s">
        <v>1502</v>
      </c>
      <c r="BE3" s="305"/>
      <c r="BF3" s="305"/>
      <c r="BG3" s="305"/>
      <c r="BH3" s="307" t="s">
        <v>1503</v>
      </c>
      <c r="BI3" s="305"/>
      <c r="BJ3" s="305"/>
      <c r="BK3" s="308"/>
    </row>
    <row r="4" spans="1:241" s="130" customFormat="1" ht="6" customHeight="1">
      <c r="A4" s="295"/>
      <c r="B4" s="297"/>
      <c r="C4" s="294"/>
      <c r="D4" s="300"/>
      <c r="E4" s="303"/>
      <c r="F4" s="302"/>
      <c r="G4" s="302"/>
      <c r="H4" s="302"/>
      <c r="I4" s="302"/>
      <c r="J4" s="302"/>
      <c r="K4" s="302"/>
      <c r="L4" s="302"/>
      <c r="M4" s="302"/>
      <c r="N4" s="302"/>
      <c r="O4" s="280"/>
      <c r="P4" s="280"/>
      <c r="Q4" s="280"/>
      <c r="R4" s="282"/>
      <c r="S4" s="284"/>
      <c r="T4" s="290"/>
      <c r="U4" s="284"/>
      <c r="V4" s="284"/>
      <c r="W4" s="280"/>
      <c r="X4" s="280"/>
      <c r="Y4" s="286"/>
      <c r="Z4" s="288"/>
      <c r="AA4" s="278"/>
      <c r="AB4" s="280"/>
      <c r="AC4" s="282"/>
      <c r="AD4" s="293"/>
      <c r="AE4" s="275"/>
      <c r="AF4" s="216">
        <v>44724</v>
      </c>
      <c r="AG4" s="217">
        <v>44731</v>
      </c>
      <c r="AH4" s="217">
        <v>44738</v>
      </c>
      <c r="AI4" s="217">
        <v>44745</v>
      </c>
      <c r="AJ4" s="217">
        <v>44752</v>
      </c>
      <c r="AK4" s="217">
        <v>44759</v>
      </c>
      <c r="AL4" s="217">
        <v>44766</v>
      </c>
      <c r="AM4" s="217">
        <v>44773</v>
      </c>
      <c r="AN4" s="217">
        <v>44780</v>
      </c>
      <c r="AO4" s="217">
        <v>44787</v>
      </c>
      <c r="AP4" s="217">
        <v>44794</v>
      </c>
      <c r="AQ4" s="217">
        <v>44801</v>
      </c>
      <c r="AR4" s="217">
        <v>44808</v>
      </c>
      <c r="AS4" s="217">
        <v>44815</v>
      </c>
      <c r="AT4" s="217">
        <v>44822</v>
      </c>
      <c r="AU4" s="217">
        <v>44829</v>
      </c>
      <c r="AV4" s="217">
        <v>44836</v>
      </c>
      <c r="AW4" s="217">
        <v>44843</v>
      </c>
      <c r="AX4" s="217">
        <v>44850</v>
      </c>
      <c r="AY4" s="217">
        <v>44857</v>
      </c>
      <c r="AZ4" s="217">
        <v>44864</v>
      </c>
      <c r="BA4" s="217">
        <v>44871</v>
      </c>
      <c r="BB4" s="217">
        <v>44878</v>
      </c>
      <c r="BC4" s="217">
        <v>44885</v>
      </c>
      <c r="BD4" s="217">
        <v>44892</v>
      </c>
      <c r="BE4" s="217">
        <v>44899</v>
      </c>
      <c r="BF4" s="217">
        <v>44906</v>
      </c>
      <c r="BG4" s="217">
        <v>44913</v>
      </c>
      <c r="BH4" s="217">
        <v>44920</v>
      </c>
      <c r="BI4" s="217">
        <v>44927</v>
      </c>
      <c r="BJ4" s="230"/>
      <c r="BK4" s="211"/>
      <c r="BL4" s="209"/>
      <c r="BM4" s="209"/>
      <c r="BN4" s="209"/>
      <c r="BO4" s="209"/>
      <c r="BP4" s="209"/>
      <c r="BQ4" s="209"/>
      <c r="BR4" s="209"/>
      <c r="BS4" s="209"/>
      <c r="BT4" s="209"/>
      <c r="BU4" s="209"/>
      <c r="BV4" s="209"/>
      <c r="BW4" s="209"/>
      <c r="BX4" s="209"/>
      <c r="BY4" s="209"/>
      <c r="BZ4" s="209"/>
      <c r="CA4" s="209"/>
      <c r="CB4" s="209"/>
      <c r="CC4" s="209"/>
      <c r="CD4" s="209"/>
      <c r="CE4" s="209"/>
      <c r="CF4" s="209"/>
      <c r="CG4" s="209"/>
      <c r="CH4" s="209"/>
      <c r="CI4" s="209"/>
      <c r="CJ4" s="209"/>
      <c r="CK4" s="209"/>
      <c r="CL4" s="209"/>
      <c r="CM4" s="209"/>
      <c r="CN4" s="209"/>
      <c r="CO4" s="209"/>
      <c r="CP4" s="209"/>
      <c r="CQ4" s="209"/>
      <c r="CR4" s="209"/>
      <c r="CS4" s="209"/>
      <c r="CT4" s="209"/>
      <c r="CU4" s="209"/>
      <c r="CV4" s="209"/>
      <c r="CW4" s="209"/>
      <c r="CX4" s="209"/>
      <c r="CY4" s="209"/>
      <c r="CZ4" s="209"/>
      <c r="DA4" s="209"/>
      <c r="DB4" s="209"/>
      <c r="DC4" s="209"/>
      <c r="DD4" s="209"/>
      <c r="DE4" s="209"/>
      <c r="DF4" s="209"/>
      <c r="DG4" s="209"/>
      <c r="DH4" s="209"/>
      <c r="DI4" s="209"/>
      <c r="DJ4" s="209"/>
      <c r="DK4" s="209"/>
      <c r="DL4" s="209"/>
      <c r="DM4" s="209"/>
      <c r="DN4" s="209"/>
      <c r="DO4" s="209"/>
      <c r="DP4" s="209"/>
      <c r="DQ4" s="209"/>
      <c r="DR4" s="209"/>
      <c r="DS4" s="209"/>
      <c r="DT4" s="209"/>
      <c r="DU4" s="209"/>
      <c r="DV4" s="209"/>
      <c r="DW4" s="209"/>
      <c r="DX4" s="209"/>
      <c r="DY4" s="209"/>
      <c r="DZ4" s="209"/>
      <c r="EA4" s="209"/>
      <c r="EB4" s="209"/>
      <c r="EC4" s="209"/>
      <c r="ED4" s="209"/>
      <c r="EE4" s="209"/>
      <c r="EF4" s="209"/>
      <c r="EG4" s="209"/>
      <c r="EH4" s="209"/>
      <c r="EI4" s="209"/>
      <c r="EJ4" s="209"/>
      <c r="EK4" s="209"/>
      <c r="EL4" s="209"/>
      <c r="EM4" s="209"/>
      <c r="EN4" s="209"/>
      <c r="EO4" s="209"/>
      <c r="EP4" s="209"/>
      <c r="EQ4" s="209"/>
      <c r="ER4" s="209"/>
      <c r="ES4" s="209"/>
      <c r="ET4" s="209"/>
      <c r="EU4" s="209"/>
      <c r="EV4" s="209"/>
      <c r="EW4" s="209"/>
      <c r="EX4" s="209"/>
      <c r="EY4" s="209"/>
      <c r="EZ4" s="209"/>
      <c r="FA4" s="209"/>
      <c r="FB4" s="209"/>
      <c r="FC4" s="209"/>
      <c r="FD4" s="209"/>
      <c r="FE4" s="209"/>
      <c r="FF4" s="209"/>
      <c r="FG4" s="209"/>
      <c r="FH4" s="209"/>
      <c r="FI4" s="209"/>
      <c r="FJ4" s="209"/>
      <c r="FK4" s="209"/>
      <c r="FL4" s="209"/>
      <c r="FM4" s="209"/>
      <c r="FN4" s="209"/>
      <c r="FO4" s="209"/>
      <c r="FP4" s="209"/>
      <c r="FQ4" s="209"/>
      <c r="FR4" s="209"/>
      <c r="FS4" s="209"/>
      <c r="FT4" s="209"/>
      <c r="FU4" s="209"/>
      <c r="FV4" s="209"/>
      <c r="FW4" s="209"/>
      <c r="FX4" s="209"/>
      <c r="FY4" s="209"/>
      <c r="FZ4" s="209"/>
      <c r="GA4" s="209"/>
      <c r="GB4" s="209"/>
      <c r="GC4" s="209"/>
      <c r="GD4" s="209"/>
      <c r="GE4" s="209"/>
      <c r="GF4" s="209"/>
      <c r="GG4" s="209"/>
      <c r="GH4" s="209"/>
      <c r="GI4" s="209"/>
      <c r="GJ4" s="209"/>
      <c r="GK4" s="209"/>
      <c r="GL4" s="209"/>
      <c r="GM4" s="209"/>
      <c r="GN4" s="209"/>
      <c r="GO4" s="209"/>
      <c r="GP4" s="209"/>
      <c r="GQ4" s="209"/>
      <c r="GR4" s="209"/>
      <c r="GS4" s="209"/>
      <c r="GT4" s="209"/>
      <c r="GU4" s="209"/>
      <c r="GV4" s="209"/>
      <c r="GW4" s="209"/>
      <c r="GX4" s="209"/>
      <c r="GY4" s="209"/>
      <c r="GZ4" s="209"/>
      <c r="HA4" s="209"/>
      <c r="HB4" s="209"/>
      <c r="HC4" s="209"/>
      <c r="HD4" s="209"/>
      <c r="HE4" s="209"/>
      <c r="HF4" s="209"/>
      <c r="HG4" s="209"/>
      <c r="HH4" s="209"/>
      <c r="HI4" s="209"/>
      <c r="HJ4" s="209"/>
      <c r="HK4" s="209"/>
      <c r="HL4" s="209"/>
      <c r="HM4" s="209"/>
      <c r="HN4" s="209"/>
      <c r="HO4" s="209"/>
      <c r="HP4" s="209"/>
      <c r="HQ4" s="209"/>
      <c r="HR4" s="209"/>
      <c r="HS4" s="209"/>
      <c r="HT4" s="209"/>
      <c r="HU4" s="209"/>
      <c r="HV4" s="209"/>
      <c r="HW4" s="209"/>
      <c r="HX4" s="209"/>
      <c r="HY4" s="209"/>
      <c r="HZ4" s="209"/>
      <c r="IA4" s="209"/>
      <c r="IB4" s="209"/>
      <c r="IC4" s="209"/>
      <c r="ID4" s="209"/>
      <c r="IE4" s="209"/>
      <c r="IF4" s="209"/>
      <c r="IG4" s="209"/>
    </row>
    <row r="5" spans="1:241" ht="15.75" customHeight="1">
      <c r="A5" s="147"/>
      <c r="B5" s="147" t="s">
        <v>1367</v>
      </c>
      <c r="C5" s="147">
        <v>1</v>
      </c>
      <c r="D5" s="245" t="s">
        <v>499</v>
      </c>
      <c r="E5" s="246" t="s">
        <v>1486</v>
      </c>
      <c r="F5" s="148"/>
      <c r="G5" s="148"/>
      <c r="H5" s="148"/>
      <c r="I5" s="148"/>
      <c r="J5" s="148"/>
      <c r="K5" s="148"/>
      <c r="L5" s="148"/>
      <c r="M5" s="148"/>
      <c r="N5" s="148"/>
      <c r="O5" s="148"/>
      <c r="P5" s="149">
        <v>44727</v>
      </c>
      <c r="Q5" s="149">
        <v>44925</v>
      </c>
      <c r="R5" s="148"/>
      <c r="S5" s="150">
        <v>20</v>
      </c>
      <c r="T5" s="150">
        <v>0</v>
      </c>
      <c r="U5" s="150">
        <v>138</v>
      </c>
      <c r="V5" s="150">
        <v>0</v>
      </c>
      <c r="W5" s="149">
        <v>44727</v>
      </c>
      <c r="X5" s="149"/>
      <c r="Y5" s="151">
        <v>7.7</v>
      </c>
      <c r="Z5" s="152">
        <v>0</v>
      </c>
      <c r="AA5" s="150"/>
      <c r="AB5" s="148"/>
      <c r="AC5" s="240"/>
      <c r="AD5" s="173">
        <v>0</v>
      </c>
      <c r="AE5" s="215">
        <v>0.48499999999999999</v>
      </c>
      <c r="AF5" s="177"/>
      <c r="AG5" s="178"/>
      <c r="AH5" s="178"/>
      <c r="AI5" s="178"/>
      <c r="AJ5" s="178"/>
      <c r="AK5" s="178"/>
      <c r="AL5" s="178"/>
      <c r="AM5" s="178"/>
      <c r="AN5" s="178"/>
      <c r="AO5" s="178"/>
      <c r="AP5" s="178"/>
      <c r="AQ5" s="178"/>
      <c r="AR5" s="178"/>
      <c r="AS5" s="178"/>
      <c r="AT5" s="178" t="str">
        <f>"  " &amp; TEXT(AE5,"#0.00%") &amp; " "</f>
        <v xml:space="preserve">  48.50% </v>
      </c>
      <c r="AU5" s="178"/>
      <c r="AV5" s="178"/>
      <c r="AW5" s="178"/>
      <c r="AX5" s="178"/>
      <c r="AY5" s="178"/>
      <c r="AZ5" s="178"/>
      <c r="BA5" s="178"/>
      <c r="BB5" s="178"/>
      <c r="BC5" s="178"/>
      <c r="BD5" s="178"/>
      <c r="BE5" s="178"/>
      <c r="BF5" s="178"/>
      <c r="BG5" s="178"/>
      <c r="BH5" s="178" t="str">
        <f>"      " &amp; "프로젝트 관리" &amp; " " &amp; IF(P5="","",TEXT(P5,"M/D-")) &amp; IF(Q5="","",TEXT(Q5,"M/D")) &amp; " "</f>
        <v xml:space="preserve">      프로젝트 관리 6/15-12/30 </v>
      </c>
      <c r="BI5" s="178"/>
      <c r="BJ5" s="178"/>
      <c r="BK5" s="176"/>
    </row>
    <row r="6" spans="1:241" ht="15.75" customHeight="1" outlineLevel="1">
      <c r="A6" s="147"/>
      <c r="B6" s="147" t="s">
        <v>1367</v>
      </c>
      <c r="C6" s="147">
        <v>2</v>
      </c>
      <c r="D6" s="174" t="s">
        <v>545</v>
      </c>
      <c r="E6" s="148"/>
      <c r="F6" s="233" t="s">
        <v>1567</v>
      </c>
      <c r="G6" s="148"/>
      <c r="H6" s="148"/>
      <c r="I6" s="148"/>
      <c r="J6" s="148"/>
      <c r="K6" s="148"/>
      <c r="L6" s="148"/>
      <c r="M6" s="148"/>
      <c r="N6" s="148"/>
      <c r="O6" s="148"/>
      <c r="P6" s="149">
        <v>44727</v>
      </c>
      <c r="Q6" s="149">
        <v>44736</v>
      </c>
      <c r="R6" s="148"/>
      <c r="S6" s="150">
        <v>9</v>
      </c>
      <c r="T6" s="150">
        <v>0</v>
      </c>
      <c r="U6" s="150">
        <v>8</v>
      </c>
      <c r="V6" s="150">
        <v>0</v>
      </c>
      <c r="W6" s="149">
        <v>44727</v>
      </c>
      <c r="X6" s="149">
        <v>44736</v>
      </c>
      <c r="Y6" s="151">
        <v>7</v>
      </c>
      <c r="Z6" s="152">
        <v>8</v>
      </c>
      <c r="AA6" s="150"/>
      <c r="AB6" s="148"/>
      <c r="AC6" s="240"/>
      <c r="AD6" s="173">
        <v>0</v>
      </c>
      <c r="AE6" s="215">
        <v>1</v>
      </c>
      <c r="AF6" s="177"/>
      <c r="AG6" s="178" t="str">
        <f>"      " &amp; TEXT(AE6,"#0.00%") &amp; " " &amp; "프로젝트 착수 및 계획수립" &amp; " " &amp; IF(P6="","",TEXT(P6,"M/D-")) &amp; IF(Q6="","",TEXT(Q6,"M/D")) &amp; " "</f>
        <v xml:space="preserve">      100.00% 프로젝트 착수 및 계획수립 6/15-6/24 </v>
      </c>
      <c r="AH6" s="178"/>
      <c r="AI6" s="178"/>
      <c r="AJ6" s="178"/>
      <c r="AK6" s="178"/>
      <c r="AL6" s="178"/>
      <c r="AM6" s="178"/>
      <c r="AN6" s="178"/>
      <c r="AO6" s="178"/>
      <c r="AP6" s="178"/>
      <c r="AQ6" s="178"/>
      <c r="AR6" s="178"/>
      <c r="AS6" s="178"/>
      <c r="AT6" s="178"/>
      <c r="AU6" s="178"/>
      <c r="AV6" s="178"/>
      <c r="AW6" s="178"/>
      <c r="AX6" s="178"/>
      <c r="AY6" s="178"/>
      <c r="AZ6" s="178"/>
      <c r="BA6" s="178"/>
      <c r="BB6" s="178"/>
      <c r="BC6" s="178"/>
      <c r="BD6" s="178"/>
      <c r="BE6" s="178"/>
      <c r="BF6" s="178"/>
      <c r="BG6" s="178"/>
      <c r="BH6" s="178"/>
      <c r="BI6" s="178"/>
      <c r="BJ6" s="178"/>
    </row>
    <row r="7" spans="1:241" ht="15.75" customHeight="1" outlineLevel="2">
      <c r="A7" s="147"/>
      <c r="B7" s="147"/>
      <c r="C7" s="147">
        <v>3</v>
      </c>
      <c r="D7" s="174" t="s">
        <v>1378</v>
      </c>
      <c r="E7" s="148"/>
      <c r="F7" s="148"/>
      <c r="G7" s="148" t="s">
        <v>1616</v>
      </c>
      <c r="H7" s="148"/>
      <c r="I7" s="148"/>
      <c r="J7" s="148"/>
      <c r="K7" s="148"/>
      <c r="L7" s="148"/>
      <c r="M7" s="148"/>
      <c r="N7" s="148"/>
      <c r="O7" s="148"/>
      <c r="P7" s="149">
        <v>44727</v>
      </c>
      <c r="Q7" s="149">
        <f>P7</f>
        <v>44727</v>
      </c>
      <c r="R7" s="148"/>
      <c r="S7" s="150">
        <v>1</v>
      </c>
      <c r="T7" s="150">
        <v>0</v>
      </c>
      <c r="U7" s="150">
        <v>1</v>
      </c>
      <c r="V7" s="150">
        <v>0</v>
      </c>
      <c r="W7" s="149">
        <v>44727</v>
      </c>
      <c r="X7" s="149">
        <v>44727</v>
      </c>
      <c r="Y7" s="151">
        <v>1</v>
      </c>
      <c r="Z7" s="152">
        <v>1</v>
      </c>
      <c r="AA7" s="150">
        <v>1</v>
      </c>
      <c r="AB7" s="148" t="s">
        <v>1602</v>
      </c>
      <c r="AC7" s="240" t="s">
        <v>1615</v>
      </c>
      <c r="AD7" s="173">
        <v>0</v>
      </c>
      <c r="AE7" s="214">
        <v>1</v>
      </c>
      <c r="AF7" s="177" t="str">
        <f>"    " &amp; TEXT(AE7,"#0.00%") &amp; " " &amp; "프로젝트 착수 및 착수보고(Kick off)" &amp; "(박철규매니저)" &amp; " " &amp; IF(P7="","",TEXT(P7,"M/D-")) &amp; IF(Q7="","",TEXT(Q7,"M/D")) &amp; " "</f>
        <v xml:space="preserve">    100.00% 프로젝트 착수 및 착수보고(Kick off)(박철규매니저) 6/15-6/15 </v>
      </c>
      <c r="AG7" s="178"/>
      <c r="AH7" s="178"/>
      <c r="AI7" s="178"/>
      <c r="AJ7" s="178"/>
      <c r="AK7" s="178"/>
      <c r="AL7" s="178"/>
      <c r="AM7" s="178"/>
      <c r="AN7" s="178"/>
      <c r="AO7" s="178"/>
      <c r="AP7" s="178"/>
      <c r="AQ7" s="178"/>
      <c r="AR7" s="178"/>
      <c r="AS7" s="178"/>
      <c r="AT7" s="178"/>
      <c r="AU7" s="178"/>
      <c r="AV7" s="178"/>
      <c r="AW7" s="178"/>
      <c r="AX7" s="178"/>
      <c r="AY7" s="178"/>
      <c r="AZ7" s="178"/>
      <c r="BA7" s="178"/>
      <c r="BB7" s="178"/>
      <c r="BC7" s="178"/>
      <c r="BD7" s="178"/>
      <c r="BE7" s="178"/>
      <c r="BF7" s="178"/>
      <c r="BG7" s="178"/>
      <c r="BH7" s="178"/>
      <c r="BI7" s="178"/>
      <c r="BJ7" s="178"/>
    </row>
    <row r="8" spans="1:241" ht="15.75" customHeight="1" outlineLevel="2">
      <c r="A8" s="147"/>
      <c r="B8" s="147" t="s">
        <v>1367</v>
      </c>
      <c r="C8" s="147">
        <v>3</v>
      </c>
      <c r="D8" s="174" t="s">
        <v>1379</v>
      </c>
      <c r="E8" s="148"/>
      <c r="F8" s="148"/>
      <c r="G8" s="148" t="s">
        <v>1604</v>
      </c>
      <c r="H8" s="148"/>
      <c r="I8" s="148"/>
      <c r="J8" s="148"/>
      <c r="K8" s="148"/>
      <c r="L8" s="148"/>
      <c r="M8" s="148"/>
      <c r="N8" s="148"/>
      <c r="O8" s="148"/>
      <c r="P8" s="149">
        <v>44727</v>
      </c>
      <c r="Q8" s="149">
        <v>44736</v>
      </c>
      <c r="R8" s="148"/>
      <c r="S8" s="150">
        <v>8</v>
      </c>
      <c r="T8" s="150">
        <v>0</v>
      </c>
      <c r="U8" s="150">
        <v>8</v>
      </c>
      <c r="V8" s="150">
        <v>0</v>
      </c>
      <c r="W8" s="149">
        <v>44729</v>
      </c>
      <c r="X8" s="149">
        <v>44736</v>
      </c>
      <c r="Y8" s="151">
        <v>6</v>
      </c>
      <c r="Z8" s="152">
        <v>6</v>
      </c>
      <c r="AA8" s="150"/>
      <c r="AB8" s="148"/>
      <c r="AC8" s="240"/>
      <c r="AD8" s="173">
        <v>0</v>
      </c>
      <c r="AE8" s="215">
        <v>1</v>
      </c>
      <c r="AF8" s="177"/>
      <c r="AG8" s="178" t="str">
        <f>"      " &amp; TEXT(AE8,"#0.00%") &amp; " " &amp; "프로젝트 계획수립" &amp; " " &amp; IF(P8="","",TEXT(P8,"M/D-")) &amp; IF(Q8="","",TEXT(Q8,"M/D")) &amp; " "</f>
        <v xml:space="preserve">      100.00% 프로젝트 계획수립 6/15-6/24 </v>
      </c>
      <c r="AH8" s="178"/>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c r="BI8" s="178"/>
      <c r="BJ8" s="178"/>
    </row>
    <row r="9" spans="1:241" ht="15.75" customHeight="1" outlineLevel="3">
      <c r="A9" s="147"/>
      <c r="B9" s="147"/>
      <c r="C9" s="147">
        <v>4</v>
      </c>
      <c r="D9" s="174" t="s">
        <v>1605</v>
      </c>
      <c r="E9" s="148"/>
      <c r="F9" s="148"/>
      <c r="G9" s="233"/>
      <c r="H9" s="148" t="s">
        <v>1617</v>
      </c>
      <c r="I9" s="148"/>
      <c r="J9" s="148"/>
      <c r="K9" s="148"/>
      <c r="L9" s="148"/>
      <c r="M9" s="148"/>
      <c r="N9" s="148"/>
      <c r="O9" s="148"/>
      <c r="P9" s="149">
        <v>44727</v>
      </c>
      <c r="Q9" s="149">
        <v>44736</v>
      </c>
      <c r="R9" s="148"/>
      <c r="S9" s="150">
        <v>8</v>
      </c>
      <c r="T9" s="150">
        <v>0</v>
      </c>
      <c r="U9" s="150">
        <v>8</v>
      </c>
      <c r="V9" s="150">
        <v>0</v>
      </c>
      <c r="W9" s="149">
        <v>44729</v>
      </c>
      <c r="X9" s="149">
        <v>44736</v>
      </c>
      <c r="Y9" s="151">
        <v>6</v>
      </c>
      <c r="Z9" s="152">
        <v>6</v>
      </c>
      <c r="AA9" s="150">
        <v>1</v>
      </c>
      <c r="AB9" s="148" t="s">
        <v>1602</v>
      </c>
      <c r="AC9" s="240"/>
      <c r="AD9" s="173">
        <v>0</v>
      </c>
      <c r="AE9" s="214">
        <v>1</v>
      </c>
      <c r="AF9" s="177"/>
      <c r="AG9" s="178" t="str">
        <f>"      " &amp; TEXT(AE9,"#0.00%") &amp; " " &amp; "WBS 작성" &amp; "(박철규매니저)" &amp; " " &amp; IF(P9="","",TEXT(P9,"M/D-")) &amp; IF(Q9="","",TEXT(Q9,"M/D")) &amp; " "</f>
        <v xml:space="preserve">      100.00% WBS 작성(박철규매니저) 6/15-6/24 </v>
      </c>
      <c r="AH9" s="178"/>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c r="BI9" s="178"/>
      <c r="BJ9" s="178"/>
    </row>
    <row r="10" spans="1:241" ht="15.75" customHeight="1" outlineLevel="1">
      <c r="A10" s="147"/>
      <c r="B10" s="147" t="s">
        <v>1367</v>
      </c>
      <c r="C10" s="147">
        <v>2</v>
      </c>
      <c r="D10" s="174" t="s">
        <v>1383</v>
      </c>
      <c r="E10" s="148"/>
      <c r="F10" s="148" t="s">
        <v>1568</v>
      </c>
      <c r="G10" s="148"/>
      <c r="H10" s="148"/>
      <c r="I10" s="148"/>
      <c r="J10" s="148"/>
      <c r="K10" s="148"/>
      <c r="L10" s="148"/>
      <c r="M10" s="148"/>
      <c r="N10" s="148"/>
      <c r="O10" s="148"/>
      <c r="P10" s="149">
        <v>44834</v>
      </c>
      <c r="Q10" s="149">
        <v>44834</v>
      </c>
      <c r="R10" s="148"/>
      <c r="S10" s="150">
        <v>1</v>
      </c>
      <c r="T10" s="150">
        <v>0</v>
      </c>
      <c r="U10" s="150">
        <v>1</v>
      </c>
      <c r="V10" s="150">
        <v>0</v>
      </c>
      <c r="W10" s="149">
        <v>44834</v>
      </c>
      <c r="X10" s="149"/>
      <c r="Y10" s="151">
        <v>0.7</v>
      </c>
      <c r="Z10" s="152">
        <v>0</v>
      </c>
      <c r="AA10" s="150"/>
      <c r="AB10" s="148"/>
      <c r="AC10" s="240"/>
      <c r="AD10" s="173">
        <v>0</v>
      </c>
      <c r="AE10" s="215">
        <v>0.7</v>
      </c>
      <c r="AF10" s="177"/>
      <c r="AG10" s="178"/>
      <c r="AH10" s="178"/>
      <c r="AI10" s="178"/>
      <c r="AJ10" s="178"/>
      <c r="AK10" s="178"/>
      <c r="AL10" s="178"/>
      <c r="AM10" s="178"/>
      <c r="AN10" s="178"/>
      <c r="AO10" s="178"/>
      <c r="AP10" s="178"/>
      <c r="AQ10" s="178"/>
      <c r="AR10" s="178"/>
      <c r="AS10" s="178"/>
      <c r="AT10" s="178"/>
      <c r="AU10" s="178" t="str">
        <f>"      " &amp; TEXT(AE10,"#0.00%") &amp; " " &amp; "프로젝트 수행 및 통제" &amp; " " &amp; IF(P10="","",TEXT(P10,"M/D-")) &amp; IF(Q10="","",TEXT(Q10,"M/D")) &amp; " "</f>
        <v xml:space="preserve">      70.00% 프로젝트 수행 및 통제 9/30-9/30 </v>
      </c>
      <c r="AV10" s="178"/>
      <c r="AW10" s="178"/>
      <c r="AX10" s="178"/>
      <c r="AY10" s="178"/>
      <c r="AZ10" s="178"/>
      <c r="BA10" s="178"/>
      <c r="BB10" s="178"/>
      <c r="BC10" s="178"/>
      <c r="BD10" s="178"/>
      <c r="BE10" s="178"/>
      <c r="BF10" s="178"/>
      <c r="BG10" s="178"/>
      <c r="BH10" s="178"/>
      <c r="BI10" s="178"/>
      <c r="BJ10" s="178"/>
    </row>
    <row r="11" spans="1:241" ht="15.75" customHeight="1" outlineLevel="2">
      <c r="A11" s="147"/>
      <c r="B11" s="147"/>
      <c r="C11" s="147">
        <v>3</v>
      </c>
      <c r="D11" s="174" t="s">
        <v>1380</v>
      </c>
      <c r="E11" s="148"/>
      <c r="F11" s="148"/>
      <c r="G11" s="233" t="s">
        <v>1569</v>
      </c>
      <c r="H11" s="148"/>
      <c r="I11" s="148"/>
      <c r="J11" s="148"/>
      <c r="K11" s="148"/>
      <c r="L11" s="148"/>
      <c r="M11" s="148"/>
      <c r="N11" s="148"/>
      <c r="O11" s="148"/>
      <c r="P11" s="149">
        <v>44834</v>
      </c>
      <c r="Q11" s="149">
        <v>44834</v>
      </c>
      <c r="R11" s="148"/>
      <c r="S11" s="150">
        <v>1</v>
      </c>
      <c r="T11" s="150">
        <v>0</v>
      </c>
      <c r="U11" s="150">
        <v>1</v>
      </c>
      <c r="V11" s="150">
        <v>0</v>
      </c>
      <c r="W11" s="149">
        <v>44834</v>
      </c>
      <c r="X11" s="149"/>
      <c r="Y11" s="151">
        <v>0.7</v>
      </c>
      <c r="Z11" s="152">
        <v>0</v>
      </c>
      <c r="AA11" s="150">
        <v>1</v>
      </c>
      <c r="AB11" s="148" t="s">
        <v>1602</v>
      </c>
      <c r="AC11" s="240"/>
      <c r="AD11" s="173">
        <v>0</v>
      </c>
      <c r="AE11" s="214">
        <v>0.7</v>
      </c>
      <c r="AF11" s="177"/>
      <c r="AG11" s="178"/>
      <c r="AH11" s="178"/>
      <c r="AI11" s="178"/>
      <c r="AJ11" s="178"/>
      <c r="AK11" s="178"/>
      <c r="AL11" s="178"/>
      <c r="AM11" s="178"/>
      <c r="AN11" s="178"/>
      <c r="AO11" s="178"/>
      <c r="AP11" s="178"/>
      <c r="AQ11" s="178"/>
      <c r="AR11" s="178"/>
      <c r="AS11" s="178"/>
      <c r="AT11" s="178"/>
      <c r="AU11" s="178" t="str">
        <f>"      " &amp; TEXT(AE11,"#0.00%") &amp; " " &amp; "중간보고" &amp; "(박철규매니저)" &amp; " " &amp; IF(P11="","",TEXT(P11,"M/D-")) &amp; IF(Q11="","",TEXT(Q11,"M/D")) &amp; " "</f>
        <v xml:space="preserve">      70.00% 중간보고(박철규매니저) 9/30-9/30 </v>
      </c>
      <c r="AV11" s="178"/>
      <c r="AW11" s="178"/>
      <c r="AX11" s="178"/>
      <c r="AY11" s="178"/>
      <c r="AZ11" s="178"/>
      <c r="BA11" s="178"/>
      <c r="BB11" s="178"/>
      <c r="BC11" s="178"/>
      <c r="BD11" s="178"/>
      <c r="BE11" s="178"/>
      <c r="BF11" s="178"/>
      <c r="BG11" s="178"/>
      <c r="BH11" s="178"/>
      <c r="BI11" s="178"/>
      <c r="BJ11" s="178"/>
    </row>
    <row r="12" spans="1:241" ht="15.75" customHeight="1" outlineLevel="1">
      <c r="A12" s="147"/>
      <c r="B12" s="147" t="s">
        <v>1367</v>
      </c>
      <c r="C12" s="147">
        <v>2</v>
      </c>
      <c r="D12" s="174" t="s">
        <v>1384</v>
      </c>
      <c r="E12" s="148"/>
      <c r="F12" s="233" t="s">
        <v>1570</v>
      </c>
      <c r="G12" s="148"/>
      <c r="H12" s="148"/>
      <c r="I12" s="148"/>
      <c r="J12" s="148"/>
      <c r="K12" s="148"/>
      <c r="L12" s="148"/>
      <c r="M12" s="148"/>
      <c r="N12" s="148"/>
      <c r="O12" s="148"/>
      <c r="P12" s="149">
        <v>44921</v>
      </c>
      <c r="Q12" s="149">
        <v>44925</v>
      </c>
      <c r="R12" s="148"/>
      <c r="S12" s="150">
        <v>10</v>
      </c>
      <c r="T12" s="150">
        <v>0</v>
      </c>
      <c r="U12" s="150">
        <v>5</v>
      </c>
      <c r="V12" s="150">
        <v>0</v>
      </c>
      <c r="W12" s="149"/>
      <c r="X12" s="149"/>
      <c r="Y12" s="151">
        <v>0</v>
      </c>
      <c r="Z12" s="152">
        <v>0</v>
      </c>
      <c r="AA12" s="150"/>
      <c r="AB12" s="148"/>
      <c r="AC12" s="240"/>
      <c r="AD12" s="173">
        <v>0</v>
      </c>
      <c r="AE12" s="208">
        <v>0</v>
      </c>
      <c r="AF12" s="177"/>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t="str">
        <f>" " &amp; TEXT(AE12,"#0.00%") &amp; " " &amp; "프로젝트 종료" &amp; " " &amp; IF(P12="","",TEXT(P12,"M/D-")) &amp; IF(Q12="","",TEXT(Q12,"M/D")) &amp; " "</f>
        <v xml:space="preserve"> 0.00% 프로젝트 종료 12/26-12/30 </v>
      </c>
      <c r="BI12" s="178"/>
      <c r="BJ12" s="178"/>
    </row>
    <row r="13" spans="1:241" ht="15.75" customHeight="1" outlineLevel="2">
      <c r="A13" s="147"/>
      <c r="B13" s="147"/>
      <c r="C13" s="147">
        <v>3</v>
      </c>
      <c r="D13" s="174" t="s">
        <v>1381</v>
      </c>
      <c r="E13" s="148"/>
      <c r="F13" s="148"/>
      <c r="G13" s="233" t="s">
        <v>1571</v>
      </c>
      <c r="H13" s="148"/>
      <c r="I13" s="148"/>
      <c r="J13" s="148"/>
      <c r="K13" s="148"/>
      <c r="L13" s="148"/>
      <c r="M13" s="148"/>
      <c r="N13" s="148"/>
      <c r="O13" s="148"/>
      <c r="P13" s="149">
        <v>44921</v>
      </c>
      <c r="Q13" s="149">
        <v>44925</v>
      </c>
      <c r="R13" s="148"/>
      <c r="S13" s="150">
        <v>5</v>
      </c>
      <c r="T13" s="150">
        <v>0</v>
      </c>
      <c r="U13" s="150">
        <v>5</v>
      </c>
      <c r="V13" s="150">
        <v>0</v>
      </c>
      <c r="W13" s="149"/>
      <c r="X13" s="149"/>
      <c r="Y13" s="151">
        <v>0</v>
      </c>
      <c r="Z13" s="152">
        <v>0</v>
      </c>
      <c r="AA13" s="150">
        <v>1</v>
      </c>
      <c r="AB13" s="148" t="s">
        <v>1602</v>
      </c>
      <c r="AC13" s="272" t="s">
        <v>1762</v>
      </c>
      <c r="AD13" s="173">
        <v>0</v>
      </c>
      <c r="AE13" s="179">
        <v>0</v>
      </c>
      <c r="AF13" s="177"/>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t="str">
        <f>" " &amp; TEXT(AE13,"#0.00%") &amp; " " &amp; "종료보고" &amp; "(박철규매니저)" &amp; " " &amp; IF(P13="","",TEXT(P13,"M/D-")) &amp; IF(Q13="","",TEXT(Q13,"M/D")) &amp; " "</f>
        <v xml:space="preserve"> 0.00% 종료보고(박철규매니저) 12/26-12/30 </v>
      </c>
      <c r="BI13" s="178"/>
      <c r="BJ13" s="178"/>
    </row>
    <row r="14" spans="1:241" ht="15.75" customHeight="1" outlineLevel="2">
      <c r="A14" s="147"/>
      <c r="B14" s="147"/>
      <c r="C14" s="147">
        <v>3</v>
      </c>
      <c r="D14" s="174" t="s">
        <v>1382</v>
      </c>
      <c r="E14" s="148"/>
      <c r="F14" s="148"/>
      <c r="G14" s="233" t="s">
        <v>1572</v>
      </c>
      <c r="H14" s="148"/>
      <c r="I14" s="148"/>
      <c r="J14" s="148"/>
      <c r="K14" s="148"/>
      <c r="L14" s="148"/>
      <c r="M14" s="148"/>
      <c r="N14" s="148"/>
      <c r="O14" s="148"/>
      <c r="P14" s="149">
        <v>44921</v>
      </c>
      <c r="Q14" s="149">
        <v>44925</v>
      </c>
      <c r="R14" s="148"/>
      <c r="S14" s="150">
        <v>5</v>
      </c>
      <c r="T14" s="150">
        <v>0</v>
      </c>
      <c r="U14" s="150">
        <v>5</v>
      </c>
      <c r="V14" s="150">
        <v>0</v>
      </c>
      <c r="W14" s="149"/>
      <c r="X14" s="149"/>
      <c r="Y14" s="151">
        <v>0</v>
      </c>
      <c r="Z14" s="152">
        <v>0</v>
      </c>
      <c r="AA14" s="150">
        <v>1</v>
      </c>
      <c r="AB14" s="148" t="s">
        <v>1602</v>
      </c>
      <c r="AC14" s="272"/>
      <c r="AD14" s="173">
        <v>0</v>
      </c>
      <c r="AE14" s="179">
        <v>0</v>
      </c>
      <c r="AF14" s="177"/>
      <c r="AG14" s="178"/>
      <c r="AH14" s="178"/>
      <c r="AI14" s="178"/>
      <c r="AJ14" s="178"/>
      <c r="AK14" s="178"/>
      <c r="AL14" s="178"/>
      <c r="AM14" s="178"/>
      <c r="AN14" s="178"/>
      <c r="AO14" s="178"/>
      <c r="AP14" s="178"/>
      <c r="AQ14" s="178"/>
      <c r="AR14" s="178"/>
      <c r="AS14" s="178"/>
      <c r="AT14" s="178"/>
      <c r="AU14" s="178"/>
      <c r="AV14" s="178"/>
      <c r="AW14" s="178"/>
      <c r="AX14" s="178"/>
      <c r="AY14" s="178"/>
      <c r="AZ14" s="178"/>
      <c r="BA14" s="178"/>
      <c r="BB14" s="178"/>
      <c r="BC14" s="178"/>
      <c r="BD14" s="178"/>
      <c r="BE14" s="178"/>
      <c r="BF14" s="178"/>
      <c r="BG14" s="178"/>
      <c r="BH14" s="178" t="str">
        <f>" " &amp; TEXT(AE14,"#0.00%") &amp; " " &amp; "검수 및 종료" &amp; "(박철규매니저)" &amp; " " &amp; IF(P14="","",TEXT(P14,"M/D-")) &amp; IF(Q14="","",TEXT(Q14,"M/D")) &amp; " "</f>
        <v xml:space="preserve"> 0.00% 검수 및 종료(박철규매니저) 12/26-12/30 </v>
      </c>
      <c r="BI14" s="178"/>
      <c r="BJ14" s="178"/>
    </row>
    <row r="15" spans="1:241" ht="5.25" customHeight="1" outlineLevel="2">
      <c r="A15" s="147"/>
      <c r="B15" s="147"/>
      <c r="C15" s="147">
        <v>0</v>
      </c>
      <c r="D15" s="249"/>
      <c r="E15" s="250"/>
      <c r="F15" s="250"/>
      <c r="G15" s="251"/>
      <c r="H15" s="250"/>
      <c r="I15" s="250"/>
      <c r="J15" s="250"/>
      <c r="K15" s="250"/>
      <c r="L15" s="250"/>
      <c r="M15" s="250"/>
      <c r="N15" s="250"/>
      <c r="O15" s="250"/>
      <c r="P15" s="252"/>
      <c r="Q15" s="252"/>
      <c r="R15" s="250"/>
      <c r="S15" s="253"/>
      <c r="T15" s="253"/>
      <c r="U15" s="253">
        <v>0</v>
      </c>
      <c r="V15" s="253">
        <v>0</v>
      </c>
      <c r="W15" s="252"/>
      <c r="X15" s="252"/>
      <c r="Y15" s="254"/>
      <c r="Z15" s="255">
        <v>0</v>
      </c>
      <c r="AA15" s="253"/>
      <c r="AB15" s="250"/>
      <c r="AC15" s="240"/>
      <c r="AD15" s="173"/>
      <c r="AE15" s="218"/>
      <c r="AF15" s="177"/>
      <c r="AG15" s="178"/>
      <c r="AH15" s="178"/>
      <c r="AI15" s="178"/>
      <c r="AJ15" s="178"/>
      <c r="AK15" s="178"/>
      <c r="AL15" s="178"/>
      <c r="AM15" s="178"/>
      <c r="AN15" s="178"/>
      <c r="AO15" s="178"/>
      <c r="AP15" s="178"/>
      <c r="AQ15" s="178"/>
      <c r="AR15" s="178"/>
      <c r="AS15" s="178"/>
      <c r="AT15" s="178"/>
      <c r="AU15" s="178"/>
      <c r="AV15" s="178"/>
      <c r="AW15" s="178"/>
      <c r="AX15" s="178"/>
      <c r="AY15" s="178"/>
      <c r="AZ15" s="178"/>
      <c r="BA15" s="178"/>
      <c r="BB15" s="178"/>
      <c r="BC15" s="178"/>
      <c r="BD15" s="178"/>
      <c r="BE15" s="178"/>
      <c r="BF15" s="178"/>
      <c r="BG15" s="178"/>
      <c r="BH15" s="178"/>
      <c r="BI15" s="178"/>
      <c r="BJ15" s="178"/>
    </row>
    <row r="16" spans="1:241" ht="15.75" customHeight="1">
      <c r="A16" s="147"/>
      <c r="B16" s="147" t="s">
        <v>1367</v>
      </c>
      <c r="C16" s="147">
        <v>1</v>
      </c>
      <c r="D16" s="245" t="s">
        <v>1490</v>
      </c>
      <c r="E16" s="246" t="s">
        <v>1511</v>
      </c>
      <c r="F16" s="246"/>
      <c r="G16" s="246"/>
      <c r="H16" s="246"/>
      <c r="I16" s="148"/>
      <c r="J16" s="148"/>
      <c r="K16" s="148"/>
      <c r="L16" s="148"/>
      <c r="M16" s="148"/>
      <c r="N16" s="148"/>
      <c r="O16" s="148"/>
      <c r="P16" s="149">
        <v>44727</v>
      </c>
      <c r="Q16" s="149">
        <v>44926</v>
      </c>
      <c r="R16" s="148"/>
      <c r="S16" s="150">
        <v>114.99000000000001</v>
      </c>
      <c r="T16" s="150">
        <v>0</v>
      </c>
      <c r="U16" s="150">
        <v>138</v>
      </c>
      <c r="V16" s="150">
        <v>0</v>
      </c>
      <c r="W16" s="149"/>
      <c r="X16" s="149"/>
      <c r="Y16" s="151">
        <v>0</v>
      </c>
      <c r="Z16" s="152">
        <v>0</v>
      </c>
      <c r="AA16" s="150"/>
      <c r="AB16" s="148"/>
      <c r="AC16" s="240"/>
      <c r="AD16" s="173">
        <v>0</v>
      </c>
      <c r="AE16" s="208">
        <v>0</v>
      </c>
      <c r="AF16" s="177" t="str">
        <f>"   " &amp; TEXT(AE16,"#0.00%") &amp; " "</f>
        <v xml:space="preserve">   0.00% </v>
      </c>
      <c r="AG16" s="178"/>
      <c r="AH16" s="178"/>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c r="BI16" s="178" t="str">
        <f>"" &amp; "시스템 개발" &amp; " " &amp; IF(P16="","",TEXT(P16,"M/D-")) &amp; IF(Q16="","",TEXT(Q16,"M/D")) &amp; " "</f>
        <v xml:space="preserve">시스템 개발 6/15-12/31 </v>
      </c>
      <c r="BJ16" s="178"/>
    </row>
    <row r="17" spans="1:62" ht="15.75" customHeight="1" outlineLevel="1">
      <c r="A17" s="147"/>
      <c r="B17" s="147" t="s">
        <v>1367</v>
      </c>
      <c r="C17" s="147">
        <v>2</v>
      </c>
      <c r="D17" s="174" t="s">
        <v>1530</v>
      </c>
      <c r="E17" s="148"/>
      <c r="F17" s="148" t="s">
        <v>1487</v>
      </c>
      <c r="G17" s="148"/>
      <c r="H17" s="148"/>
      <c r="I17" s="148"/>
      <c r="J17" s="148"/>
      <c r="K17" s="148"/>
      <c r="L17" s="148"/>
      <c r="M17" s="148"/>
      <c r="N17" s="148"/>
      <c r="O17" s="148"/>
      <c r="P17" s="149">
        <v>44727</v>
      </c>
      <c r="Q17" s="149">
        <v>44771</v>
      </c>
      <c r="R17" s="148"/>
      <c r="S17" s="150">
        <v>38.99</v>
      </c>
      <c r="T17" s="150">
        <v>0</v>
      </c>
      <c r="U17" s="150">
        <v>33</v>
      </c>
      <c r="V17" s="150">
        <v>0</v>
      </c>
      <c r="W17" s="149"/>
      <c r="X17" s="149"/>
      <c r="Y17" s="151">
        <v>0</v>
      </c>
      <c r="Z17" s="152">
        <v>0</v>
      </c>
      <c r="AA17" s="150"/>
      <c r="AB17" s="148"/>
      <c r="AC17" s="240"/>
      <c r="AD17" s="173">
        <v>0</v>
      </c>
      <c r="AE17" s="208">
        <v>0</v>
      </c>
      <c r="AF17" s="177" t="str">
        <f>"   " &amp; TEXT(AE17,"#0.00%") &amp; " "</f>
        <v xml:space="preserve">   0.00% </v>
      </c>
      <c r="AG17" s="178"/>
      <c r="AH17" s="178"/>
      <c r="AI17" s="178"/>
      <c r="AJ17" s="178"/>
      <c r="AK17" s="178"/>
      <c r="AL17" s="178" t="str">
        <f>"      " &amp; "분석" &amp; " " &amp; IF(P17="","",TEXT(P17,"M/D-")) &amp; IF(Q17="","",TEXT(Q17,"M/D")) &amp; " "</f>
        <v xml:space="preserve">      분석 6/15-7/29 </v>
      </c>
      <c r="AM17" s="178"/>
      <c r="AN17" s="178"/>
      <c r="AO17" s="178"/>
      <c r="AP17" s="178"/>
      <c r="AQ17" s="178"/>
      <c r="AR17" s="178"/>
      <c r="AS17" s="178"/>
      <c r="AT17" s="178"/>
      <c r="AU17" s="178"/>
      <c r="AV17" s="178"/>
      <c r="AW17" s="178"/>
      <c r="AX17" s="178"/>
      <c r="AY17" s="178"/>
      <c r="AZ17" s="178"/>
      <c r="BA17" s="178"/>
      <c r="BB17" s="178"/>
      <c r="BC17" s="178"/>
      <c r="BD17" s="178"/>
      <c r="BE17" s="178"/>
      <c r="BF17" s="178"/>
      <c r="BG17" s="178"/>
      <c r="BH17" s="178"/>
      <c r="BI17" s="178"/>
      <c r="BJ17" s="178"/>
    </row>
    <row r="18" spans="1:62" ht="15.75" customHeight="1" outlineLevel="2">
      <c r="A18" s="147"/>
      <c r="B18" s="147"/>
      <c r="C18" s="147">
        <v>3</v>
      </c>
      <c r="D18" s="174" t="s">
        <v>1531</v>
      </c>
      <c r="E18" s="148"/>
      <c r="F18" s="148"/>
      <c r="G18" s="148" t="s">
        <v>1512</v>
      </c>
      <c r="H18" s="148"/>
      <c r="I18" s="148"/>
      <c r="J18" s="148"/>
      <c r="K18" s="148"/>
      <c r="L18" s="148"/>
      <c r="M18" s="148"/>
      <c r="N18" s="148"/>
      <c r="O18" s="148"/>
      <c r="P18" s="149">
        <v>44727</v>
      </c>
      <c r="Q18" s="149">
        <v>44734</v>
      </c>
      <c r="R18" s="148"/>
      <c r="S18" s="150">
        <v>6</v>
      </c>
      <c r="T18" s="150">
        <v>0</v>
      </c>
      <c r="U18" s="150">
        <v>6</v>
      </c>
      <c r="V18" s="150">
        <v>0</v>
      </c>
      <c r="W18" s="149"/>
      <c r="X18" s="149"/>
      <c r="Y18" s="151">
        <v>0</v>
      </c>
      <c r="Z18" s="152">
        <v>0</v>
      </c>
      <c r="AA18" s="150"/>
      <c r="AB18" s="148" t="s">
        <v>1602</v>
      </c>
      <c r="AC18" s="240"/>
      <c r="AD18" s="173">
        <v>0</v>
      </c>
      <c r="AE18" s="179">
        <v>0</v>
      </c>
      <c r="AF18" s="177" t="str">
        <f>"   " &amp; TEXT(AE18,"#0.00%") &amp; " " &amp; "요구사항 정의" &amp; "(박철규매니저)" &amp; " " &amp; IF(P18="","",TEXT(P18,"M/D-")) &amp; IF(Q18="","",TEXT(Q18,"M/D")) &amp; " "</f>
        <v xml:space="preserve">   0.00% 요구사항 정의(박철규매니저) 6/15-6/22 </v>
      </c>
      <c r="AG18" s="178"/>
      <c r="AH18" s="178"/>
      <c r="AI18" s="178"/>
      <c r="AJ18" s="178"/>
      <c r="AK18" s="178"/>
      <c r="AL18" s="178"/>
      <c r="AM18" s="178"/>
      <c r="AN18" s="178"/>
      <c r="AO18" s="178"/>
      <c r="AP18" s="178"/>
      <c r="AQ18" s="178"/>
      <c r="AR18" s="178"/>
      <c r="AS18" s="178"/>
      <c r="AT18" s="178"/>
      <c r="AU18" s="178"/>
      <c r="AV18" s="178"/>
      <c r="AW18" s="178"/>
      <c r="AX18" s="178"/>
      <c r="AY18" s="178"/>
      <c r="AZ18" s="178"/>
      <c r="BA18" s="178"/>
      <c r="BB18" s="178"/>
      <c r="BC18" s="178"/>
      <c r="BD18" s="178"/>
      <c r="BE18" s="178"/>
      <c r="BF18" s="178"/>
      <c r="BG18" s="178"/>
      <c r="BH18" s="178"/>
      <c r="BI18" s="178"/>
      <c r="BJ18" s="178"/>
    </row>
    <row r="19" spans="1:62" ht="15.75" customHeight="1" outlineLevel="2">
      <c r="A19" s="147"/>
      <c r="B19" s="147" t="s">
        <v>1367</v>
      </c>
      <c r="C19" s="147">
        <v>3</v>
      </c>
      <c r="D19" s="174" t="s">
        <v>1532</v>
      </c>
      <c r="E19" s="148"/>
      <c r="F19" s="148"/>
      <c r="G19" s="148" t="s">
        <v>1515</v>
      </c>
      <c r="H19" s="148"/>
      <c r="I19" s="148"/>
      <c r="J19" s="148"/>
      <c r="K19" s="148"/>
      <c r="L19" s="148"/>
      <c r="M19" s="148"/>
      <c r="N19" s="148"/>
      <c r="O19" s="148"/>
      <c r="P19" s="149">
        <v>44727</v>
      </c>
      <c r="Q19" s="149">
        <v>44771</v>
      </c>
      <c r="R19" s="148"/>
      <c r="S19" s="150">
        <v>32.99</v>
      </c>
      <c r="T19" s="150">
        <v>0</v>
      </c>
      <c r="U19" s="150">
        <v>33</v>
      </c>
      <c r="V19" s="150">
        <v>0</v>
      </c>
      <c r="W19" s="149"/>
      <c r="X19" s="149"/>
      <c r="Y19" s="151">
        <v>0</v>
      </c>
      <c r="Z19" s="152">
        <v>0</v>
      </c>
      <c r="AA19" s="150"/>
      <c r="AB19" s="148"/>
      <c r="AC19" s="240"/>
      <c r="AD19" s="173">
        <v>0</v>
      </c>
      <c r="AE19" s="208">
        <v>0</v>
      </c>
      <c r="AF19" s="177" t="str">
        <f>"   " &amp; TEXT(AE19,"#0.00%") &amp; " "</f>
        <v xml:space="preserve">   0.00% </v>
      </c>
      <c r="AG19" s="178"/>
      <c r="AH19" s="178"/>
      <c r="AI19" s="178"/>
      <c r="AJ19" s="178"/>
      <c r="AK19" s="178"/>
      <c r="AL19" s="178" t="str">
        <f>"      " &amp; "업무별 분석" &amp; " " &amp; IF(P19="","",TEXT(P19,"M/D-")) &amp; IF(Q19="","",TEXT(Q19,"M/D")) &amp; " "</f>
        <v xml:space="preserve">      업무별 분석 6/15-7/29 </v>
      </c>
      <c r="AM19" s="178"/>
      <c r="AN19" s="178"/>
      <c r="AO19" s="178"/>
      <c r="AP19" s="178"/>
      <c r="AQ19" s="178"/>
      <c r="AR19" s="178"/>
      <c r="AS19" s="178"/>
      <c r="AT19" s="178"/>
      <c r="AU19" s="178"/>
      <c r="AV19" s="178"/>
      <c r="AW19" s="178"/>
      <c r="AX19" s="178"/>
      <c r="AY19" s="178"/>
      <c r="AZ19" s="178"/>
      <c r="BA19" s="178"/>
      <c r="BB19" s="178"/>
      <c r="BC19" s="178"/>
      <c r="BD19" s="178"/>
      <c r="BE19" s="178"/>
      <c r="BF19" s="178"/>
      <c r="BG19" s="178"/>
      <c r="BH19" s="178"/>
      <c r="BI19" s="178"/>
      <c r="BJ19" s="178"/>
    </row>
    <row r="20" spans="1:62" ht="15.75" customHeight="1" outlineLevel="3">
      <c r="A20" s="147"/>
      <c r="B20" s="147"/>
      <c r="C20" s="147">
        <v>4</v>
      </c>
      <c r="D20" s="174" t="s">
        <v>1533</v>
      </c>
      <c r="E20" s="148"/>
      <c r="F20" s="148"/>
      <c r="G20" s="148"/>
      <c r="H20" s="148" t="s">
        <v>1516</v>
      </c>
      <c r="I20" s="148"/>
      <c r="J20" s="148"/>
      <c r="K20" s="148"/>
      <c r="L20" s="148"/>
      <c r="M20" s="148"/>
      <c r="N20" s="148"/>
      <c r="O20" s="148"/>
      <c r="P20" s="149">
        <v>44727</v>
      </c>
      <c r="Q20" s="149">
        <f>P20+1</f>
        <v>44728</v>
      </c>
      <c r="R20" s="148"/>
      <c r="S20" s="150">
        <v>2</v>
      </c>
      <c r="T20" s="150">
        <v>0</v>
      </c>
      <c r="U20" s="150">
        <v>2</v>
      </c>
      <c r="V20" s="150">
        <v>0</v>
      </c>
      <c r="W20" s="149"/>
      <c r="X20" s="149"/>
      <c r="Y20" s="151">
        <v>0</v>
      </c>
      <c r="Z20" s="152">
        <v>0</v>
      </c>
      <c r="AA20" s="150"/>
      <c r="AB20" s="148" t="s">
        <v>1602</v>
      </c>
      <c r="AC20" s="240"/>
      <c r="AD20" s="173">
        <v>0</v>
      </c>
      <c r="AE20" s="179">
        <v>0</v>
      </c>
      <c r="AF20" s="177" t="str">
        <f>"   " &amp; TEXT(AE20,"#0.00%") &amp; " " &amp; "코드관리" &amp; "(박철규매니저)" &amp; " " &amp; IF(P20="","",TEXT(P20,"M/D-")) &amp; IF(Q20="","",TEXT(Q20,"M/D")) &amp; " "</f>
        <v xml:space="preserve">   0.00% 코드관리(박철규매니저) 6/15-6/16 </v>
      </c>
      <c r="AG20" s="178"/>
      <c r="AH20" s="178"/>
      <c r="AI20" s="178"/>
      <c r="AJ20" s="178"/>
      <c r="AK20" s="178"/>
      <c r="AL20" s="178"/>
      <c r="AM20" s="178"/>
      <c r="AN20" s="178"/>
      <c r="AO20" s="178"/>
      <c r="AP20" s="178"/>
      <c r="AQ20" s="178"/>
      <c r="AR20" s="178"/>
      <c r="AS20" s="178"/>
      <c r="AT20" s="178"/>
      <c r="AU20" s="178"/>
      <c r="AV20" s="178"/>
      <c r="AW20" s="178"/>
      <c r="AX20" s="178"/>
      <c r="AY20" s="178"/>
      <c r="AZ20" s="178"/>
      <c r="BA20" s="178"/>
      <c r="BB20" s="178"/>
      <c r="BC20" s="178"/>
      <c r="BD20" s="178"/>
      <c r="BE20" s="178"/>
      <c r="BF20" s="178"/>
      <c r="BG20" s="178"/>
      <c r="BH20" s="178"/>
      <c r="BI20" s="178"/>
      <c r="BJ20" s="178"/>
    </row>
    <row r="21" spans="1:62" ht="15.75" customHeight="1" outlineLevel="3">
      <c r="A21" s="147"/>
      <c r="B21" s="147"/>
      <c r="C21" s="147">
        <v>4</v>
      </c>
      <c r="D21" s="174" t="s">
        <v>1534</v>
      </c>
      <c r="E21" s="148"/>
      <c r="F21" s="148"/>
      <c r="G21" s="148"/>
      <c r="H21" s="148" t="s">
        <v>1771</v>
      </c>
      <c r="I21" s="148"/>
      <c r="J21" s="148"/>
      <c r="K21" s="148"/>
      <c r="L21" s="148"/>
      <c r="M21" s="148"/>
      <c r="N21" s="148"/>
      <c r="O21" s="148"/>
      <c r="P21" s="149">
        <f>Q20+1</f>
        <v>44729</v>
      </c>
      <c r="Q21" s="149">
        <f>P21+3</f>
        <v>44732</v>
      </c>
      <c r="R21" s="148"/>
      <c r="S21" s="150">
        <v>2</v>
      </c>
      <c r="T21" s="150">
        <v>0</v>
      </c>
      <c r="U21" s="150">
        <v>2</v>
      </c>
      <c r="V21" s="150">
        <v>0</v>
      </c>
      <c r="W21" s="149"/>
      <c r="X21" s="149"/>
      <c r="Y21" s="151">
        <v>0</v>
      </c>
      <c r="Z21" s="152">
        <v>0</v>
      </c>
      <c r="AA21" s="150"/>
      <c r="AB21" s="148" t="s">
        <v>1602</v>
      </c>
      <c r="AC21" s="240"/>
      <c r="AD21" s="173">
        <v>0</v>
      </c>
      <c r="AE21" s="179">
        <v>0</v>
      </c>
      <c r="AF21" s="177" t="str">
        <f>"     " &amp; TEXT(AE21,"#0.00%") &amp; " " &amp; "Yard Design" &amp; "(박철규매니저)" &amp; " " &amp; IF(P21="","",TEXT(P21,"M/D-")) &amp; IF(Q21="","",TEXT(Q21,"M/D")) &amp; " "</f>
        <v xml:space="preserve">     0.00% Yard Design(박철규매니저) 6/17-6/20 </v>
      </c>
      <c r="AG21" s="178"/>
      <c r="AH21" s="178"/>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c r="BI21" s="178"/>
      <c r="BJ21" s="178"/>
    </row>
    <row r="22" spans="1:62" ht="15.75" customHeight="1" outlineLevel="3">
      <c r="A22" s="147"/>
      <c r="B22" s="147"/>
      <c r="C22" s="147">
        <v>4</v>
      </c>
      <c r="D22" s="174" t="s">
        <v>1535</v>
      </c>
      <c r="E22" s="148"/>
      <c r="F22" s="148"/>
      <c r="G22" s="148"/>
      <c r="H22" s="148" t="s">
        <v>1518</v>
      </c>
      <c r="I22" s="148"/>
      <c r="J22" s="148"/>
      <c r="K22" s="148"/>
      <c r="L22" s="148"/>
      <c r="M22" s="148"/>
      <c r="N22" s="148"/>
      <c r="O22" s="148"/>
      <c r="P22" s="149">
        <f>Q21+1</f>
        <v>44733</v>
      </c>
      <c r="Q22" s="149">
        <f>P22+1</f>
        <v>44734</v>
      </c>
      <c r="R22" s="148"/>
      <c r="S22" s="150">
        <v>2</v>
      </c>
      <c r="T22" s="150">
        <v>0</v>
      </c>
      <c r="U22" s="150">
        <v>2</v>
      </c>
      <c r="V22" s="150">
        <v>0</v>
      </c>
      <c r="W22" s="149"/>
      <c r="X22" s="149"/>
      <c r="Y22" s="151">
        <v>0</v>
      </c>
      <c r="Z22" s="152">
        <v>0</v>
      </c>
      <c r="AA22" s="150"/>
      <c r="AB22" s="148" t="s">
        <v>1602</v>
      </c>
      <c r="AC22" s="240"/>
      <c r="AD22" s="173">
        <v>0</v>
      </c>
      <c r="AE22" s="179">
        <v>0</v>
      </c>
      <c r="AF22" s="177"/>
      <c r="AG22" s="178" t="str">
        <f>"  " &amp; TEXT(AE22,"#0.00%") &amp; " " &amp; "Yard Plan" &amp; "(박철규매니저)" &amp; " " &amp; IF(P22="","",TEXT(P22,"M/D-")) &amp; IF(Q22="","",TEXT(Q22,"M/D")) &amp; " "</f>
        <v xml:space="preserve">  0.00% Yard Plan(박철규매니저) 6/21-6/22 </v>
      </c>
      <c r="AH22" s="178"/>
      <c r="AI22" s="178"/>
      <c r="AJ22" s="178"/>
      <c r="AK22" s="178"/>
      <c r="AL22" s="178"/>
      <c r="AM22" s="178"/>
      <c r="AN22" s="178"/>
      <c r="AO22" s="178"/>
      <c r="AP22" s="178"/>
      <c r="AQ22" s="178"/>
      <c r="AR22" s="178"/>
      <c r="AS22" s="178"/>
      <c r="AT22" s="178"/>
      <c r="AU22" s="178"/>
      <c r="AV22" s="178"/>
      <c r="AW22" s="178"/>
      <c r="AX22" s="178"/>
      <c r="AY22" s="178"/>
      <c r="AZ22" s="178"/>
      <c r="BA22" s="178"/>
      <c r="BB22" s="178"/>
      <c r="BC22" s="178"/>
      <c r="BD22" s="178"/>
      <c r="BE22" s="178"/>
      <c r="BF22" s="178"/>
      <c r="BG22" s="178"/>
      <c r="BH22" s="178"/>
      <c r="BI22" s="178"/>
      <c r="BJ22" s="178"/>
    </row>
    <row r="23" spans="1:62" ht="15.75" customHeight="1" outlineLevel="3">
      <c r="A23" s="147"/>
      <c r="B23" s="147"/>
      <c r="C23" s="147">
        <v>4</v>
      </c>
      <c r="D23" s="174" t="s">
        <v>1536</v>
      </c>
      <c r="E23" s="148"/>
      <c r="F23" s="148"/>
      <c r="G23" s="148"/>
      <c r="H23" s="148" t="s">
        <v>1650</v>
      </c>
      <c r="I23" s="148"/>
      <c r="J23" s="148"/>
      <c r="K23" s="148"/>
      <c r="L23" s="148"/>
      <c r="M23" s="148"/>
      <c r="N23" s="148"/>
      <c r="O23" s="148"/>
      <c r="P23" s="149">
        <v>44735</v>
      </c>
      <c r="Q23" s="149">
        <f>P23+1</f>
        <v>44736</v>
      </c>
      <c r="R23" s="148"/>
      <c r="S23" s="150">
        <v>2</v>
      </c>
      <c r="T23" s="150">
        <v>0</v>
      </c>
      <c r="U23" s="150">
        <v>2</v>
      </c>
      <c r="V23" s="150">
        <v>0</v>
      </c>
      <c r="W23" s="149"/>
      <c r="X23" s="149"/>
      <c r="Y23" s="151">
        <v>0</v>
      </c>
      <c r="Z23" s="152">
        <v>0</v>
      </c>
      <c r="AA23" s="150"/>
      <c r="AB23" s="148" t="s">
        <v>1602</v>
      </c>
      <c r="AC23" s="240"/>
      <c r="AD23" s="173">
        <v>0</v>
      </c>
      <c r="AE23" s="179">
        <v>0</v>
      </c>
      <c r="AF23" s="177"/>
      <c r="AG23" s="178" t="str">
        <f>"    " &amp; TEXT(AE23,"#0.00%") &amp; " " &amp; "On-Dock (Empty Pickup)" &amp; "(박철규매니저)" &amp; " " &amp; IF(P23="","",TEXT(P23,"M/D-")) &amp; IF(Q23="","",TEXT(Q23,"M/D")) &amp; " "</f>
        <v xml:space="preserve">    0.00% On-Dock (Empty Pickup)(박철규매니저) 6/23-6/24 </v>
      </c>
      <c r="AH23" s="178"/>
      <c r="AI23" s="178"/>
      <c r="AJ23" s="178"/>
      <c r="AK23" s="178"/>
      <c r="AL23" s="178"/>
      <c r="AM23" s="178"/>
      <c r="AN23" s="178"/>
      <c r="AO23" s="178"/>
      <c r="AP23" s="178"/>
      <c r="AQ23" s="178"/>
      <c r="AR23" s="178"/>
      <c r="AS23" s="178"/>
      <c r="AT23" s="178"/>
      <c r="AU23" s="178"/>
      <c r="AV23" s="178"/>
      <c r="AW23" s="178"/>
      <c r="AX23" s="178"/>
      <c r="AY23" s="178"/>
      <c r="AZ23" s="178"/>
      <c r="BA23" s="178"/>
      <c r="BB23" s="178"/>
      <c r="BC23" s="178"/>
      <c r="BD23" s="178"/>
      <c r="BE23" s="178"/>
      <c r="BF23" s="178"/>
      <c r="BG23" s="178"/>
      <c r="BH23" s="178"/>
      <c r="BI23" s="178"/>
      <c r="BJ23" s="178"/>
    </row>
    <row r="24" spans="1:62" ht="15.75" customHeight="1" outlineLevel="3">
      <c r="A24" s="147"/>
      <c r="B24" s="147"/>
      <c r="C24" s="147">
        <v>4</v>
      </c>
      <c r="D24" s="174" t="s">
        <v>1537</v>
      </c>
      <c r="E24" s="148"/>
      <c r="F24" s="148"/>
      <c r="G24" s="148"/>
      <c r="H24" s="148" t="s">
        <v>1651</v>
      </c>
      <c r="I24" s="148"/>
      <c r="J24" s="148"/>
      <c r="K24" s="148"/>
      <c r="L24" s="148"/>
      <c r="M24" s="148"/>
      <c r="N24" s="148"/>
      <c r="O24" s="148"/>
      <c r="P24" s="149">
        <f>Q23+3</f>
        <v>44739</v>
      </c>
      <c r="Q24" s="149">
        <f>P24+1</f>
        <v>44740</v>
      </c>
      <c r="R24" s="148"/>
      <c r="S24" s="150">
        <v>2</v>
      </c>
      <c r="T24" s="150">
        <v>0</v>
      </c>
      <c r="U24" s="150">
        <v>2</v>
      </c>
      <c r="V24" s="150">
        <v>0</v>
      </c>
      <c r="W24" s="149"/>
      <c r="X24" s="149"/>
      <c r="Y24" s="151">
        <v>0</v>
      </c>
      <c r="Z24" s="152">
        <v>0</v>
      </c>
      <c r="AA24" s="150"/>
      <c r="AB24" s="148" t="s">
        <v>1602</v>
      </c>
      <c r="AC24" s="240"/>
      <c r="AD24" s="173">
        <v>0</v>
      </c>
      <c r="AE24" s="179">
        <v>0</v>
      </c>
      <c r="AF24" s="177"/>
      <c r="AG24" s="178"/>
      <c r="AH24" s="178" t="str">
        <f>" " &amp; TEXT(AE24,"#0.00%") &amp; " " &amp; "Empty In-Out" &amp; "(박철규매니저)" &amp; " " &amp; IF(P24="","",TEXT(P24,"M/D-")) &amp; IF(Q24="","",TEXT(Q24,"M/D")) &amp; " "</f>
        <v xml:space="preserve"> 0.00% Empty In-Out(박철규매니저) 6/27-6/28 </v>
      </c>
      <c r="AI24" s="178"/>
      <c r="AJ24" s="178"/>
      <c r="AK24" s="178"/>
      <c r="AL24" s="178"/>
      <c r="AM24" s="178"/>
      <c r="AN24" s="178"/>
      <c r="AO24" s="178"/>
      <c r="AP24" s="178"/>
      <c r="AQ24" s="178"/>
      <c r="AR24" s="178"/>
      <c r="AS24" s="178"/>
      <c r="AT24" s="178"/>
      <c r="AU24" s="178"/>
      <c r="AV24" s="178"/>
      <c r="AW24" s="178"/>
      <c r="AX24" s="178"/>
      <c r="AY24" s="178"/>
      <c r="AZ24" s="178"/>
      <c r="BA24" s="178"/>
      <c r="BB24" s="178"/>
      <c r="BC24" s="178"/>
      <c r="BD24" s="178"/>
      <c r="BE24" s="178"/>
      <c r="BF24" s="178"/>
      <c r="BG24" s="178"/>
      <c r="BH24" s="178"/>
      <c r="BI24" s="178"/>
      <c r="BJ24" s="178"/>
    </row>
    <row r="25" spans="1:62" ht="15.75" customHeight="1" outlineLevel="3">
      <c r="A25" s="147"/>
      <c r="B25" s="147"/>
      <c r="C25" s="147">
        <v>4</v>
      </c>
      <c r="D25" s="174" t="s">
        <v>1538</v>
      </c>
      <c r="E25" s="148"/>
      <c r="F25" s="234"/>
      <c r="G25" s="148"/>
      <c r="H25" s="148" t="s">
        <v>1656</v>
      </c>
      <c r="I25" s="148"/>
      <c r="J25" s="148"/>
      <c r="K25" s="148"/>
      <c r="L25" s="148"/>
      <c r="M25" s="148"/>
      <c r="N25" s="148"/>
      <c r="O25" s="148"/>
      <c r="P25" s="149">
        <f>Q24+1</f>
        <v>44741</v>
      </c>
      <c r="Q25" s="149">
        <f>P25+1</f>
        <v>44742</v>
      </c>
      <c r="R25" s="148"/>
      <c r="S25" s="150">
        <v>2</v>
      </c>
      <c r="T25" s="150">
        <v>0</v>
      </c>
      <c r="U25" s="150">
        <v>2</v>
      </c>
      <c r="V25" s="150">
        <v>0</v>
      </c>
      <c r="W25" s="149"/>
      <c r="X25" s="149"/>
      <c r="Y25" s="151">
        <v>0</v>
      </c>
      <c r="Z25" s="152">
        <v>0</v>
      </c>
      <c r="AA25" s="150"/>
      <c r="AB25" s="148" t="s">
        <v>1602</v>
      </c>
      <c r="AC25" s="240"/>
      <c r="AD25" s="173">
        <v>0</v>
      </c>
      <c r="AE25" s="179">
        <v>0</v>
      </c>
      <c r="AF25" s="177"/>
      <c r="AG25" s="178"/>
      <c r="AH25" s="178" t="str">
        <f>"   " &amp; TEXT(AE25,"#0.00%") &amp; " " &amp; "Gate ATM" &amp; "(박철규매니저)" &amp; " " &amp; IF(P25="","",TEXT(P25,"M/D-")) &amp; IF(Q25="","",TEXT(Q25,"M/D")) &amp; " "</f>
        <v xml:space="preserve">   0.00% Gate ATM(박철규매니저) 6/29-6/30 </v>
      </c>
      <c r="AI25" s="178"/>
      <c r="AJ25" s="178"/>
      <c r="AK25" s="178"/>
      <c r="AL25" s="178"/>
      <c r="AM25" s="178"/>
      <c r="AN25" s="178"/>
      <c r="AO25" s="178"/>
      <c r="AP25" s="178"/>
      <c r="AQ25" s="178"/>
      <c r="AR25" s="178"/>
      <c r="AS25" s="178"/>
      <c r="AT25" s="178"/>
      <c r="AU25" s="178"/>
      <c r="AV25" s="178"/>
      <c r="AW25" s="178"/>
      <c r="AX25" s="178"/>
      <c r="AY25" s="178"/>
      <c r="AZ25" s="178"/>
      <c r="BA25" s="178"/>
      <c r="BB25" s="178"/>
      <c r="BC25" s="178"/>
      <c r="BD25" s="178"/>
      <c r="BE25" s="178"/>
      <c r="BF25" s="178"/>
      <c r="BG25" s="178"/>
      <c r="BH25" s="178"/>
      <c r="BI25" s="178"/>
      <c r="BJ25" s="178"/>
    </row>
    <row r="26" spans="1:62" ht="15.75" customHeight="1" outlineLevel="3">
      <c r="A26" s="147"/>
      <c r="B26" s="147"/>
      <c r="C26" s="147">
        <v>4</v>
      </c>
      <c r="D26" s="174" t="s">
        <v>1539</v>
      </c>
      <c r="E26" s="148"/>
      <c r="F26" s="234"/>
      <c r="G26" s="234"/>
      <c r="H26" s="148" t="s">
        <v>1520</v>
      </c>
      <c r="I26" s="148"/>
      <c r="J26" s="148"/>
      <c r="K26" s="148"/>
      <c r="L26" s="148"/>
      <c r="M26" s="148"/>
      <c r="N26" s="148"/>
      <c r="O26" s="148"/>
      <c r="P26" s="149">
        <f>Q25+1</f>
        <v>44743</v>
      </c>
      <c r="Q26" s="149">
        <f>P26+3</f>
        <v>44746</v>
      </c>
      <c r="R26" s="148"/>
      <c r="S26" s="150">
        <v>2</v>
      </c>
      <c r="T26" s="150">
        <v>0</v>
      </c>
      <c r="U26" s="150">
        <v>2</v>
      </c>
      <c r="V26" s="150">
        <v>0</v>
      </c>
      <c r="W26" s="149"/>
      <c r="X26" s="149"/>
      <c r="Y26" s="151">
        <v>0</v>
      </c>
      <c r="Z26" s="152">
        <v>0</v>
      </c>
      <c r="AA26" s="150"/>
      <c r="AB26" s="148" t="s">
        <v>1602</v>
      </c>
      <c r="AC26" s="240"/>
      <c r="AD26" s="173">
        <v>0</v>
      </c>
      <c r="AE26" s="179">
        <v>0</v>
      </c>
      <c r="AF26" s="177"/>
      <c r="AG26" s="178"/>
      <c r="AH26" s="178" t="str">
        <f>"     " &amp; TEXT(AE26,"#0.00%") &amp; " " &amp; "Gate Operation" &amp; "(박철규매니저)" &amp; " " &amp; IF(P26="","",TEXT(P26,"M/D-")) &amp; IF(Q26="","",TEXT(Q26,"M/D")) &amp; " "</f>
        <v xml:space="preserve">     0.00% Gate Operation(박철규매니저) 7/1-7/4 </v>
      </c>
      <c r="AI26" s="178"/>
      <c r="AJ26" s="178"/>
      <c r="AK26" s="178"/>
      <c r="AL26" s="178"/>
      <c r="AM26" s="178"/>
      <c r="AN26" s="178"/>
      <c r="AO26" s="178"/>
      <c r="AP26" s="178"/>
      <c r="AQ26" s="178"/>
      <c r="AR26" s="178"/>
      <c r="AS26" s="178"/>
      <c r="AT26" s="178"/>
      <c r="AU26" s="178"/>
      <c r="AV26" s="178"/>
      <c r="AW26" s="178"/>
      <c r="AX26" s="178"/>
      <c r="AY26" s="178"/>
      <c r="AZ26" s="178"/>
      <c r="BA26" s="178"/>
      <c r="BB26" s="178"/>
      <c r="BC26" s="178"/>
      <c r="BD26" s="178"/>
      <c r="BE26" s="178"/>
      <c r="BF26" s="178"/>
      <c r="BG26" s="178"/>
      <c r="BH26" s="178"/>
      <c r="BI26" s="178"/>
      <c r="BJ26" s="178"/>
    </row>
    <row r="27" spans="1:62" ht="15.75" customHeight="1" outlineLevel="3">
      <c r="A27" s="147"/>
      <c r="B27" s="147"/>
      <c r="C27" s="147">
        <v>4</v>
      </c>
      <c r="D27" s="174" t="s">
        <v>1540</v>
      </c>
      <c r="E27" s="148"/>
      <c r="F27" s="234"/>
      <c r="G27" s="234"/>
      <c r="H27" s="148" t="s">
        <v>1521</v>
      </c>
      <c r="I27" s="148"/>
      <c r="J27" s="148"/>
      <c r="K27" s="148"/>
      <c r="L27" s="148"/>
      <c r="M27" s="148"/>
      <c r="N27" s="148"/>
      <c r="O27" s="148"/>
      <c r="P27" s="149">
        <f>Q26+1</f>
        <v>44747</v>
      </c>
      <c r="Q27" s="149">
        <f>P27</f>
        <v>44747</v>
      </c>
      <c r="R27" s="148"/>
      <c r="S27" s="150">
        <v>1</v>
      </c>
      <c r="T27" s="150">
        <v>0</v>
      </c>
      <c r="U27" s="150">
        <v>1</v>
      </c>
      <c r="V27" s="150">
        <v>0</v>
      </c>
      <c r="W27" s="149"/>
      <c r="X27" s="149"/>
      <c r="Y27" s="151">
        <v>0</v>
      </c>
      <c r="Z27" s="152">
        <v>0</v>
      </c>
      <c r="AA27" s="150"/>
      <c r="AB27" s="148" t="s">
        <v>1602</v>
      </c>
      <c r="AC27" s="240"/>
      <c r="AD27" s="173">
        <v>0</v>
      </c>
      <c r="AE27" s="179">
        <v>0</v>
      </c>
      <c r="AF27" s="177"/>
      <c r="AG27" s="178"/>
      <c r="AH27" s="178"/>
      <c r="AI27" s="178" t="str">
        <f>"  " &amp; TEXT(AE27,"#0.00%") &amp; " " &amp; "Yard Crane" &amp; "(박철규매니저)" &amp; " " &amp; IF(P27="","",TEXT(P27,"M/D-")) &amp; IF(Q27="","",TEXT(Q27,"M/D")) &amp; " "</f>
        <v xml:space="preserve">  0.00% Yard Crane(박철규매니저) 7/5-7/5 </v>
      </c>
      <c r="AJ27" s="178"/>
      <c r="AK27" s="178"/>
      <c r="AL27" s="178"/>
      <c r="AM27" s="178"/>
      <c r="AN27" s="178"/>
      <c r="AO27" s="178"/>
      <c r="AP27" s="178"/>
      <c r="AQ27" s="178"/>
      <c r="AR27" s="178"/>
      <c r="AS27" s="178"/>
      <c r="AT27" s="178"/>
      <c r="AU27" s="178"/>
      <c r="AV27" s="178"/>
      <c r="AW27" s="178"/>
      <c r="AX27" s="178"/>
      <c r="AY27" s="178"/>
      <c r="AZ27" s="178"/>
      <c r="BA27" s="178"/>
      <c r="BB27" s="178"/>
      <c r="BC27" s="178"/>
      <c r="BD27" s="178"/>
      <c r="BE27" s="178"/>
      <c r="BF27" s="178"/>
      <c r="BG27" s="178"/>
      <c r="BH27" s="178"/>
      <c r="BI27" s="178"/>
      <c r="BJ27" s="178"/>
    </row>
    <row r="28" spans="1:62" ht="15.75" customHeight="1" outlineLevel="3">
      <c r="A28" s="147"/>
      <c r="B28" s="147"/>
      <c r="C28" s="147">
        <v>4</v>
      </c>
      <c r="D28" s="174" t="s">
        <v>1541</v>
      </c>
      <c r="E28" s="148"/>
      <c r="F28" s="234"/>
      <c r="G28" s="234"/>
      <c r="H28" s="148" t="s">
        <v>1524</v>
      </c>
      <c r="I28" s="148"/>
      <c r="J28" s="148"/>
      <c r="K28" s="148"/>
      <c r="L28" s="148"/>
      <c r="M28" s="148"/>
      <c r="N28" s="148"/>
      <c r="O28" s="148"/>
      <c r="P28" s="149">
        <v>44748</v>
      </c>
      <c r="Q28" s="149">
        <v>44755</v>
      </c>
      <c r="R28" s="148"/>
      <c r="S28" s="150">
        <v>6</v>
      </c>
      <c r="T28" s="150">
        <v>0</v>
      </c>
      <c r="U28" s="150">
        <v>6</v>
      </c>
      <c r="V28" s="150">
        <v>0</v>
      </c>
      <c r="W28" s="149"/>
      <c r="X28" s="149"/>
      <c r="Y28" s="151">
        <v>0</v>
      </c>
      <c r="Z28" s="152">
        <v>0</v>
      </c>
      <c r="AA28" s="150"/>
      <c r="AB28" s="148" t="s">
        <v>1602</v>
      </c>
      <c r="AC28" s="240"/>
      <c r="AD28" s="173">
        <v>0</v>
      </c>
      <c r="AE28" s="179">
        <v>0</v>
      </c>
      <c r="AF28" s="177"/>
      <c r="AG28" s="178"/>
      <c r="AH28" s="178"/>
      <c r="AI28" s="178" t="str">
        <f>"   " &amp; TEXT(AE28,"#0.00%") &amp; " " &amp; "대외정보서비스(Web)" &amp; "(박철규매니저)" &amp; " " &amp; IF(P28="","",TEXT(P28,"M/D-")) &amp; IF(Q28="","",TEXT(Q28,"M/D")) &amp; " "</f>
        <v xml:space="preserve">   0.00% 대외정보서비스(Web)(박철규매니저) 7/6-7/13 </v>
      </c>
      <c r="AJ28" s="178"/>
      <c r="AK28" s="178"/>
      <c r="AL28" s="178"/>
      <c r="AM28" s="178"/>
      <c r="AN28" s="178"/>
      <c r="AO28" s="178"/>
      <c r="AP28" s="178"/>
      <c r="AQ28" s="178"/>
      <c r="AR28" s="178"/>
      <c r="AS28" s="178"/>
      <c r="AT28" s="178"/>
      <c r="AU28" s="178"/>
      <c r="AV28" s="178"/>
      <c r="AW28" s="178"/>
      <c r="AX28" s="178"/>
      <c r="AY28" s="178"/>
      <c r="AZ28" s="178"/>
      <c r="BA28" s="178"/>
      <c r="BB28" s="178"/>
      <c r="BC28" s="178"/>
      <c r="BD28" s="178"/>
      <c r="BE28" s="178"/>
      <c r="BF28" s="178"/>
      <c r="BG28" s="178"/>
      <c r="BH28" s="178"/>
      <c r="BI28" s="178"/>
      <c r="BJ28" s="178"/>
    </row>
    <row r="29" spans="1:62" ht="15.75" customHeight="1" outlineLevel="3">
      <c r="A29" s="147"/>
      <c r="B29" s="147"/>
      <c r="C29" s="147">
        <v>4</v>
      </c>
      <c r="D29" s="174" t="s">
        <v>1607</v>
      </c>
      <c r="E29" s="148"/>
      <c r="F29" s="234"/>
      <c r="G29" s="234"/>
      <c r="H29" s="148" t="s">
        <v>1522</v>
      </c>
      <c r="I29" s="148"/>
      <c r="J29" s="148"/>
      <c r="K29" s="148"/>
      <c r="L29" s="148"/>
      <c r="M29" s="148"/>
      <c r="N29" s="148"/>
      <c r="O29" s="269" t="s">
        <v>1779</v>
      </c>
      <c r="P29" s="149">
        <v>44756</v>
      </c>
      <c r="Q29" s="149">
        <v>44756</v>
      </c>
      <c r="R29" s="148"/>
      <c r="S29" s="150">
        <v>0.33</v>
      </c>
      <c r="T29" s="150">
        <v>0</v>
      </c>
      <c r="U29" s="150">
        <v>1</v>
      </c>
      <c r="V29" s="150">
        <v>0</v>
      </c>
      <c r="W29" s="149"/>
      <c r="X29" s="149"/>
      <c r="Y29" s="151">
        <v>0</v>
      </c>
      <c r="Z29" s="152">
        <v>0</v>
      </c>
      <c r="AA29" s="150"/>
      <c r="AB29" s="148" t="s">
        <v>1778</v>
      </c>
      <c r="AC29" s="240"/>
      <c r="AD29" s="173">
        <v>0</v>
      </c>
      <c r="AE29" s="179">
        <v>0</v>
      </c>
      <c r="AF29" s="177"/>
      <c r="AG29" s="178"/>
      <c r="AH29" s="178"/>
      <c r="AI29" s="178"/>
      <c r="AJ29" s="178" t="str">
        <f>"    " &amp; TEXT(AE29,"#0.00%") &amp; " " &amp; "Monitoring" &amp; "(박철규매니저[33%])" &amp; " " &amp; IF(P29="","",TEXT(P29,"M/D-")) &amp; IF(Q29="","",TEXT(Q29,"M/D")) &amp; " "</f>
        <v xml:space="preserve">    0.00% Monitoring(박철규매니저[33%]) 7/14-7/14 </v>
      </c>
      <c r="AK29" s="178"/>
      <c r="AL29" s="178"/>
      <c r="AM29" s="178"/>
      <c r="AN29" s="178"/>
      <c r="AO29" s="178"/>
      <c r="AP29" s="178"/>
      <c r="AQ29" s="178"/>
      <c r="AR29" s="178"/>
      <c r="AS29" s="178"/>
      <c r="AT29" s="178"/>
      <c r="AU29" s="178"/>
      <c r="AV29" s="178"/>
      <c r="AW29" s="178"/>
      <c r="AX29" s="178"/>
      <c r="AY29" s="178"/>
      <c r="AZ29" s="178"/>
      <c r="BA29" s="178"/>
      <c r="BB29" s="178"/>
      <c r="BC29" s="178"/>
      <c r="BD29" s="178"/>
      <c r="BE29" s="178"/>
      <c r="BF29" s="178"/>
      <c r="BG29" s="178"/>
      <c r="BH29" s="178"/>
      <c r="BI29" s="178"/>
      <c r="BJ29" s="178"/>
    </row>
    <row r="30" spans="1:62" ht="15.75" customHeight="1" outlineLevel="3">
      <c r="A30" s="147"/>
      <c r="B30" s="147"/>
      <c r="C30" s="147">
        <v>4</v>
      </c>
      <c r="D30" s="174" t="s">
        <v>1773</v>
      </c>
      <c r="E30" s="148"/>
      <c r="F30" s="234"/>
      <c r="G30" s="234"/>
      <c r="H30" s="148" t="s">
        <v>1663</v>
      </c>
      <c r="I30" s="148"/>
      <c r="J30" s="148"/>
      <c r="K30" s="148"/>
      <c r="L30" s="148"/>
      <c r="M30" s="148"/>
      <c r="N30" s="148"/>
      <c r="O30" s="269"/>
      <c r="P30" s="149">
        <v>44756</v>
      </c>
      <c r="Q30" s="149">
        <v>44756</v>
      </c>
      <c r="R30" s="148"/>
      <c r="S30" s="150">
        <v>0.33</v>
      </c>
      <c r="T30" s="150">
        <v>0</v>
      </c>
      <c r="U30" s="150">
        <v>1</v>
      </c>
      <c r="V30" s="150">
        <v>0</v>
      </c>
      <c r="W30" s="149"/>
      <c r="X30" s="149"/>
      <c r="Y30" s="151">
        <v>0</v>
      </c>
      <c r="Z30" s="152">
        <v>0</v>
      </c>
      <c r="AA30" s="150"/>
      <c r="AB30" s="148" t="s">
        <v>1778</v>
      </c>
      <c r="AC30" s="240"/>
      <c r="AD30" s="173">
        <v>0</v>
      </c>
      <c r="AE30" s="179">
        <v>0</v>
      </c>
      <c r="AF30" s="177"/>
      <c r="AG30" s="178"/>
      <c r="AH30" s="178"/>
      <c r="AI30" s="178"/>
      <c r="AJ30" s="178" t="str">
        <f>"    " &amp; TEXT(AE30,"#0.00%") &amp; " " &amp; "Container" &amp; "(박철규매니저[33%])" &amp; " " &amp; IF(P30="","",TEXT(P30,"M/D-")) &amp; IF(Q30="","",TEXT(Q30,"M/D")) &amp; " "</f>
        <v xml:space="preserve">    0.00% Container(박철규매니저[33%]) 7/14-7/14 </v>
      </c>
      <c r="AK30" s="178"/>
      <c r="AL30" s="178"/>
      <c r="AM30" s="178"/>
      <c r="AN30" s="178"/>
      <c r="AO30" s="178"/>
      <c r="AP30" s="178"/>
      <c r="AQ30" s="178"/>
      <c r="AR30" s="178"/>
      <c r="AS30" s="178"/>
      <c r="AT30" s="178"/>
      <c r="AU30" s="178"/>
      <c r="AV30" s="178"/>
      <c r="AW30" s="178"/>
      <c r="AX30" s="178"/>
      <c r="AY30" s="178"/>
      <c r="AZ30" s="178"/>
      <c r="BA30" s="178"/>
      <c r="BB30" s="178"/>
      <c r="BC30" s="178"/>
      <c r="BD30" s="178"/>
      <c r="BE30" s="178"/>
      <c r="BF30" s="178"/>
      <c r="BG30" s="178"/>
      <c r="BH30" s="178"/>
      <c r="BI30" s="178"/>
      <c r="BJ30" s="178"/>
    </row>
    <row r="31" spans="1:62" ht="15.75" customHeight="1" outlineLevel="3">
      <c r="A31" s="147"/>
      <c r="B31" s="147"/>
      <c r="C31" s="147">
        <v>4</v>
      </c>
      <c r="D31" s="174" t="s">
        <v>1774</v>
      </c>
      <c r="E31" s="148"/>
      <c r="F31" s="234"/>
      <c r="G31" s="234"/>
      <c r="H31" s="148" t="s">
        <v>1523</v>
      </c>
      <c r="I31" s="148"/>
      <c r="J31" s="148"/>
      <c r="K31" s="148"/>
      <c r="L31" s="148"/>
      <c r="M31" s="148"/>
      <c r="N31" s="148"/>
      <c r="O31" s="269"/>
      <c r="P31" s="149">
        <v>44756</v>
      </c>
      <c r="Q31" s="149">
        <v>44756</v>
      </c>
      <c r="R31" s="148"/>
      <c r="S31" s="150">
        <v>0.33</v>
      </c>
      <c r="T31" s="150">
        <v>0</v>
      </c>
      <c r="U31" s="150">
        <v>1</v>
      </c>
      <c r="V31" s="150">
        <v>0</v>
      </c>
      <c r="W31" s="149"/>
      <c r="X31" s="149"/>
      <c r="Y31" s="151">
        <v>0</v>
      </c>
      <c r="Z31" s="152">
        <v>0</v>
      </c>
      <c r="AA31" s="150"/>
      <c r="AB31" s="148" t="s">
        <v>1778</v>
      </c>
      <c r="AC31" s="240"/>
      <c r="AD31" s="173">
        <v>0</v>
      </c>
      <c r="AE31" s="179">
        <v>0</v>
      </c>
      <c r="AF31" s="177"/>
      <c r="AG31" s="178"/>
      <c r="AH31" s="178"/>
      <c r="AI31" s="178"/>
      <c r="AJ31" s="178" t="str">
        <f>"    " &amp; TEXT(AE31,"#0.00%") &amp; " " &amp; "Administartion" &amp; "(박철규매니저[33%])" &amp; " " &amp; IF(P31="","",TEXT(P31,"M/D-")) &amp; IF(Q31="","",TEXT(Q31,"M/D")) &amp; " "</f>
        <v xml:space="preserve">    0.00% Administartion(박철규매니저[33%]) 7/14-7/14 </v>
      </c>
      <c r="AK31" s="178"/>
      <c r="AL31" s="178"/>
      <c r="AM31" s="178"/>
      <c r="AN31" s="178"/>
      <c r="AO31" s="178"/>
      <c r="AP31" s="178"/>
      <c r="AQ31" s="178"/>
      <c r="AR31" s="178"/>
      <c r="AS31" s="178"/>
      <c r="AT31" s="178"/>
      <c r="AU31" s="178"/>
      <c r="AV31" s="178"/>
      <c r="AW31" s="178"/>
      <c r="AX31" s="178"/>
      <c r="AY31" s="178"/>
      <c r="AZ31" s="178"/>
      <c r="BA31" s="178"/>
      <c r="BB31" s="178"/>
      <c r="BC31" s="178"/>
      <c r="BD31" s="178"/>
      <c r="BE31" s="178"/>
      <c r="BF31" s="178"/>
      <c r="BG31" s="178"/>
      <c r="BH31" s="178"/>
      <c r="BI31" s="178"/>
      <c r="BJ31" s="178"/>
    </row>
    <row r="32" spans="1:62" ht="15.75" customHeight="1" outlineLevel="3">
      <c r="A32" s="147"/>
      <c r="B32" s="147"/>
      <c r="C32" s="147">
        <v>4</v>
      </c>
      <c r="D32" s="174" t="s">
        <v>1775</v>
      </c>
      <c r="E32" s="148"/>
      <c r="F32" s="234"/>
      <c r="G32" s="234"/>
      <c r="H32" s="148" t="s">
        <v>1669</v>
      </c>
      <c r="I32" s="148"/>
      <c r="J32" s="148"/>
      <c r="K32" s="148"/>
      <c r="L32" s="148"/>
      <c r="M32" s="148"/>
      <c r="N32" s="148"/>
      <c r="O32" s="269"/>
      <c r="P32" s="149">
        <v>44757</v>
      </c>
      <c r="Q32" s="149">
        <v>44757</v>
      </c>
      <c r="R32" s="148"/>
      <c r="S32" s="150">
        <v>0.5</v>
      </c>
      <c r="T32" s="150">
        <v>0</v>
      </c>
      <c r="U32" s="150">
        <v>1</v>
      </c>
      <c r="V32" s="150">
        <v>0</v>
      </c>
      <c r="W32" s="149"/>
      <c r="X32" s="149"/>
      <c r="Y32" s="151">
        <v>0</v>
      </c>
      <c r="Z32" s="152">
        <v>0</v>
      </c>
      <c r="AA32" s="150"/>
      <c r="AB32" s="148" t="s">
        <v>1610</v>
      </c>
      <c r="AC32" s="240"/>
      <c r="AD32" s="173">
        <v>0</v>
      </c>
      <c r="AE32" s="179">
        <v>0</v>
      </c>
      <c r="AF32" s="177"/>
      <c r="AG32" s="178"/>
      <c r="AH32" s="178"/>
      <c r="AI32" s="178"/>
      <c r="AJ32" s="178" t="str">
        <f>"     " &amp; TEXT(AE32,"#0.00%") &amp; " " &amp; "System" &amp; "(박철규매니저[50%])" &amp; " " &amp; IF(P32="","",TEXT(P32,"M/D-")) &amp; IF(Q32="","",TEXT(Q32,"M/D")) &amp; " "</f>
        <v xml:space="preserve">     0.00% System(박철규매니저[50%]) 7/15-7/15 </v>
      </c>
      <c r="AK32" s="178"/>
      <c r="AL32" s="178"/>
      <c r="AM32" s="178"/>
      <c r="AN32" s="178"/>
      <c r="AO32" s="178"/>
      <c r="AP32" s="178"/>
      <c r="AQ32" s="178"/>
      <c r="AR32" s="178"/>
      <c r="AS32" s="178"/>
      <c r="AT32" s="178"/>
      <c r="AU32" s="178"/>
      <c r="AV32" s="178"/>
      <c r="AW32" s="178"/>
      <c r="AX32" s="178"/>
      <c r="AY32" s="178"/>
      <c r="AZ32" s="178"/>
      <c r="BA32" s="178"/>
      <c r="BB32" s="178"/>
      <c r="BC32" s="178"/>
      <c r="BD32" s="178"/>
      <c r="BE32" s="178"/>
      <c r="BF32" s="178"/>
      <c r="BG32" s="178"/>
      <c r="BH32" s="178"/>
      <c r="BI32" s="178"/>
      <c r="BJ32" s="178"/>
    </row>
    <row r="33" spans="1:62" ht="15.75" customHeight="1" outlineLevel="3">
      <c r="A33" s="147"/>
      <c r="B33" s="147"/>
      <c r="C33" s="147">
        <v>4</v>
      </c>
      <c r="D33" s="174" t="s">
        <v>1776</v>
      </c>
      <c r="E33" s="148"/>
      <c r="F33" s="234"/>
      <c r="G33" s="234"/>
      <c r="H33" s="148" t="s">
        <v>1665</v>
      </c>
      <c r="I33" s="148"/>
      <c r="J33" s="148"/>
      <c r="K33" s="148"/>
      <c r="L33" s="148"/>
      <c r="M33" s="148"/>
      <c r="N33" s="148"/>
      <c r="O33" s="269"/>
      <c r="P33" s="149">
        <v>44757</v>
      </c>
      <c r="Q33" s="149">
        <v>44757</v>
      </c>
      <c r="R33" s="148"/>
      <c r="S33" s="150">
        <v>0.5</v>
      </c>
      <c r="T33" s="150">
        <v>0</v>
      </c>
      <c r="U33" s="150">
        <v>1</v>
      </c>
      <c r="V33" s="150">
        <v>0</v>
      </c>
      <c r="W33" s="149"/>
      <c r="X33" s="149"/>
      <c r="Y33" s="151">
        <v>0</v>
      </c>
      <c r="Z33" s="152">
        <v>0</v>
      </c>
      <c r="AA33" s="150"/>
      <c r="AB33" s="148" t="s">
        <v>1610</v>
      </c>
      <c r="AC33" s="240"/>
      <c r="AD33" s="173">
        <v>0</v>
      </c>
      <c r="AE33" s="179">
        <v>0</v>
      </c>
      <c r="AF33" s="177"/>
      <c r="AG33" s="178"/>
      <c r="AH33" s="178"/>
      <c r="AI33" s="178"/>
      <c r="AJ33" s="178" t="str">
        <f>"     " &amp; TEXT(AE33,"#0.00%") &amp; " " &amp; "Engine" &amp; "(박철규매니저[50%])" &amp; " " &amp; IF(P33="","",TEXT(P33,"M/D-")) &amp; IF(Q33="","",TEXT(Q33,"M/D")) &amp; " "</f>
        <v xml:space="preserve">     0.00% Engine(박철규매니저[50%]) 7/15-7/15 </v>
      </c>
      <c r="AK33" s="178"/>
      <c r="AL33" s="178"/>
      <c r="AM33" s="178"/>
      <c r="AN33" s="178"/>
      <c r="AO33" s="178"/>
      <c r="AP33" s="178"/>
      <c r="AQ33" s="178"/>
      <c r="AR33" s="178"/>
      <c r="AS33" s="178"/>
      <c r="AT33" s="178"/>
      <c r="AU33" s="178"/>
      <c r="AV33" s="178"/>
      <c r="AW33" s="178"/>
      <c r="AX33" s="178"/>
      <c r="AY33" s="178"/>
      <c r="AZ33" s="178"/>
      <c r="BA33" s="178"/>
      <c r="BB33" s="178"/>
      <c r="BC33" s="178"/>
      <c r="BD33" s="178"/>
      <c r="BE33" s="178"/>
      <c r="BF33" s="178"/>
      <c r="BG33" s="178"/>
      <c r="BH33" s="178"/>
      <c r="BI33" s="178"/>
      <c r="BJ33" s="178"/>
    </row>
    <row r="34" spans="1:62" ht="48" outlineLevel="3">
      <c r="A34" s="147"/>
      <c r="B34" s="147"/>
      <c r="C34" s="147">
        <v>4</v>
      </c>
      <c r="D34" s="174" t="s">
        <v>1777</v>
      </c>
      <c r="E34" s="148"/>
      <c r="F34" s="234"/>
      <c r="G34" s="234"/>
      <c r="H34" s="234" t="s">
        <v>1606</v>
      </c>
      <c r="I34" s="148"/>
      <c r="J34" s="148"/>
      <c r="K34" s="148"/>
      <c r="L34" s="148"/>
      <c r="M34" s="148"/>
      <c r="N34" s="148"/>
      <c r="O34" s="148"/>
      <c r="P34" s="149">
        <v>44760</v>
      </c>
      <c r="Q34" s="149">
        <v>44771</v>
      </c>
      <c r="R34" s="148"/>
      <c r="S34" s="150">
        <v>10</v>
      </c>
      <c r="T34" s="150">
        <v>0</v>
      </c>
      <c r="U34" s="150">
        <v>10</v>
      </c>
      <c r="V34" s="150">
        <v>0</v>
      </c>
      <c r="W34" s="149"/>
      <c r="X34" s="149"/>
      <c r="Y34" s="151">
        <v>0</v>
      </c>
      <c r="Z34" s="152">
        <v>0</v>
      </c>
      <c r="AA34" s="150"/>
      <c r="AB34" s="148" t="s">
        <v>1602</v>
      </c>
      <c r="AC34" s="239" t="s">
        <v>1780</v>
      </c>
      <c r="AD34" s="173">
        <v>0</v>
      </c>
      <c r="AE34" s="179">
        <v>0</v>
      </c>
      <c r="AF34" s="177"/>
      <c r="AG34" s="178"/>
      <c r="AH34" s="178"/>
      <c r="AI34" s="178"/>
      <c r="AJ34" s="178"/>
      <c r="AK34" s="178" t="str">
        <f>" " &amp; TEXT(AE34,"#0.00%") &amp; " " &amp; "분석 정리 및 확인" &amp; "(박철규매니저)" &amp; " " &amp; IF(P34="","",TEXT(P34,"M/D-")) &amp; IF(Q34="","",TEXT(Q34,"M/D")) &amp; " "</f>
        <v xml:space="preserve"> 0.00% 분석 정리 및 확인(박철규매니저) 7/18-7/29 </v>
      </c>
      <c r="AL34" s="178"/>
      <c r="AM34" s="178"/>
      <c r="AN34" s="178"/>
      <c r="AO34" s="178"/>
      <c r="AP34" s="178"/>
      <c r="AQ34" s="178"/>
      <c r="AR34" s="178"/>
      <c r="AS34" s="178"/>
      <c r="AT34" s="178"/>
      <c r="AU34" s="178"/>
      <c r="AV34" s="178"/>
      <c r="AW34" s="178"/>
      <c r="AX34" s="178"/>
      <c r="AY34" s="178"/>
      <c r="AZ34" s="178"/>
      <c r="BA34" s="178"/>
      <c r="BB34" s="178"/>
      <c r="BC34" s="178"/>
      <c r="BD34" s="178"/>
      <c r="BE34" s="178"/>
      <c r="BF34" s="178"/>
      <c r="BG34" s="178"/>
      <c r="BH34" s="178"/>
      <c r="BI34" s="178"/>
      <c r="BJ34" s="178"/>
    </row>
    <row r="35" spans="1:62" ht="15.75" customHeight="1" outlineLevel="1">
      <c r="A35" s="147"/>
      <c r="B35" s="147" t="s">
        <v>1367</v>
      </c>
      <c r="C35" s="147">
        <v>2</v>
      </c>
      <c r="D35" s="174" t="s">
        <v>1542</v>
      </c>
      <c r="E35" s="148"/>
      <c r="F35" s="148" t="s">
        <v>1488</v>
      </c>
      <c r="G35" s="234"/>
      <c r="H35" s="148"/>
      <c r="I35" s="148"/>
      <c r="J35" s="148"/>
      <c r="K35" s="148"/>
      <c r="L35" s="148"/>
      <c r="M35" s="148"/>
      <c r="N35" s="148"/>
      <c r="O35" s="148"/>
      <c r="P35" s="149">
        <v>44743</v>
      </c>
      <c r="Q35" s="149">
        <v>44773</v>
      </c>
      <c r="R35" s="148"/>
      <c r="S35" s="150">
        <v>21</v>
      </c>
      <c r="T35" s="150">
        <v>0</v>
      </c>
      <c r="U35" s="150">
        <v>21</v>
      </c>
      <c r="V35" s="150">
        <v>0</v>
      </c>
      <c r="W35" s="149"/>
      <c r="X35" s="149"/>
      <c r="Y35" s="151">
        <v>0</v>
      </c>
      <c r="Z35" s="152">
        <v>0</v>
      </c>
      <c r="AA35" s="150"/>
      <c r="AB35" s="148"/>
      <c r="AC35" s="240"/>
      <c r="AD35" s="173">
        <v>0</v>
      </c>
      <c r="AE35" s="208">
        <v>0</v>
      </c>
      <c r="AF35" s="177"/>
      <c r="AG35" s="178"/>
      <c r="AH35" s="178" t="str">
        <f>"     " &amp; TEXT(AE35,"#0.00%") &amp; " "</f>
        <v xml:space="preserve">     0.00% </v>
      </c>
      <c r="AI35" s="178"/>
      <c r="AJ35" s="178"/>
      <c r="AK35" s="178"/>
      <c r="AL35" s="178"/>
      <c r="AM35" s="178" t="str">
        <f>" " &amp; "설계" &amp; " " &amp; IF(P35="","",TEXT(P35,"M/D-")) &amp; IF(Q35="","",TEXT(Q35,"M/D")) &amp; " "</f>
        <v xml:space="preserve"> 설계 7/1-7/31 </v>
      </c>
      <c r="AN35" s="178"/>
      <c r="AO35" s="178"/>
      <c r="AP35" s="178"/>
      <c r="AQ35" s="178"/>
      <c r="AR35" s="178"/>
      <c r="AS35" s="178"/>
      <c r="AT35" s="178"/>
      <c r="AU35" s="178"/>
      <c r="AV35" s="178"/>
      <c r="AW35" s="178"/>
      <c r="AX35" s="178"/>
      <c r="AY35" s="178"/>
      <c r="AZ35" s="178"/>
      <c r="BA35" s="178"/>
      <c r="BB35" s="178"/>
      <c r="BC35" s="178"/>
      <c r="BD35" s="178"/>
      <c r="BE35" s="178"/>
      <c r="BF35" s="178"/>
      <c r="BG35" s="178"/>
      <c r="BH35" s="178"/>
      <c r="BI35" s="178"/>
      <c r="BJ35" s="178"/>
    </row>
    <row r="36" spans="1:62" ht="15.75" customHeight="1" outlineLevel="2">
      <c r="A36" s="147"/>
      <c r="B36" s="147"/>
      <c r="C36" s="147">
        <v>3</v>
      </c>
      <c r="D36" s="174" t="s">
        <v>1543</v>
      </c>
      <c r="E36" s="148"/>
      <c r="F36" s="148"/>
      <c r="G36" s="148" t="s">
        <v>1608</v>
      </c>
      <c r="H36" s="148"/>
      <c r="I36" s="148"/>
      <c r="J36" s="148"/>
      <c r="K36" s="148"/>
      <c r="L36" s="148"/>
      <c r="M36" s="148"/>
      <c r="N36" s="148"/>
      <c r="O36" s="148"/>
      <c r="P36" s="149">
        <v>44743</v>
      </c>
      <c r="Q36" s="149">
        <v>44757</v>
      </c>
      <c r="R36" s="148"/>
      <c r="S36" s="150">
        <v>5.5</v>
      </c>
      <c r="T36" s="150">
        <v>0</v>
      </c>
      <c r="U36" s="150">
        <v>11</v>
      </c>
      <c r="V36" s="150">
        <v>0</v>
      </c>
      <c r="W36" s="149"/>
      <c r="X36" s="149"/>
      <c r="Y36" s="151">
        <v>0</v>
      </c>
      <c r="Z36" s="152">
        <v>0</v>
      </c>
      <c r="AA36" s="150"/>
      <c r="AB36" s="148" t="s">
        <v>1610</v>
      </c>
      <c r="AC36" s="270" t="s">
        <v>1611</v>
      </c>
      <c r="AD36" s="173">
        <v>0</v>
      </c>
      <c r="AE36" s="179">
        <v>0</v>
      </c>
      <c r="AF36" s="177"/>
      <c r="AG36" s="178"/>
      <c r="AH36" s="178" t="str">
        <f>"     " &amp; TEXT(AE36,"#0.00%") &amp; " " &amp; "Database 연계 디자인 및 설계" &amp; "(박철규매니저[50%])" &amp; " " &amp; IF(P36="","",TEXT(P36,"M/D-")) &amp; IF(Q36="","",TEXT(Q36,"M/D")) &amp; " "</f>
        <v xml:space="preserve">     0.00% Database 연계 디자인 및 설계(박철규매니저[50%]) 7/1-7/15 </v>
      </c>
      <c r="AI36" s="178"/>
      <c r="AJ36" s="178"/>
      <c r="AK36" s="178"/>
      <c r="AL36" s="178"/>
      <c r="AM36" s="178"/>
      <c r="AN36" s="178"/>
      <c r="AO36" s="178"/>
      <c r="AP36" s="178"/>
      <c r="AQ36" s="178"/>
      <c r="AR36" s="178"/>
      <c r="AS36" s="178"/>
      <c r="AT36" s="178"/>
      <c r="AU36" s="178"/>
      <c r="AV36" s="178"/>
      <c r="AW36" s="178"/>
      <c r="AX36" s="178"/>
      <c r="AY36" s="178"/>
      <c r="AZ36" s="178"/>
      <c r="BA36" s="178"/>
      <c r="BB36" s="178"/>
      <c r="BC36" s="178"/>
      <c r="BD36" s="178"/>
      <c r="BE36" s="178"/>
      <c r="BF36" s="178"/>
      <c r="BG36" s="178"/>
      <c r="BH36" s="178"/>
      <c r="BI36" s="178"/>
      <c r="BJ36" s="178"/>
    </row>
    <row r="37" spans="1:62" ht="15.75" customHeight="1" outlineLevel="2">
      <c r="A37" s="147"/>
      <c r="B37" s="147"/>
      <c r="C37" s="147">
        <v>3</v>
      </c>
      <c r="D37" s="174" t="s">
        <v>1544</v>
      </c>
      <c r="E37" s="148"/>
      <c r="F37" s="148"/>
      <c r="G37" s="148" t="s">
        <v>1609</v>
      </c>
      <c r="H37" s="148"/>
      <c r="I37" s="148"/>
      <c r="J37" s="148"/>
      <c r="K37" s="148"/>
      <c r="L37" s="148"/>
      <c r="M37" s="148"/>
      <c r="N37" s="148"/>
      <c r="O37" s="148"/>
      <c r="P37" s="149">
        <v>44743</v>
      </c>
      <c r="Q37" s="149">
        <v>44757</v>
      </c>
      <c r="R37" s="148"/>
      <c r="S37" s="150">
        <v>5.5</v>
      </c>
      <c r="T37" s="150">
        <v>0</v>
      </c>
      <c r="U37" s="150">
        <v>11</v>
      </c>
      <c r="V37" s="150">
        <v>0</v>
      </c>
      <c r="W37" s="149"/>
      <c r="X37" s="149"/>
      <c r="Y37" s="151">
        <v>0</v>
      </c>
      <c r="Z37" s="152">
        <v>0</v>
      </c>
      <c r="AA37" s="150"/>
      <c r="AB37" s="148" t="s">
        <v>1610</v>
      </c>
      <c r="AC37" s="271"/>
      <c r="AD37" s="173">
        <v>0</v>
      </c>
      <c r="AE37" s="179">
        <v>0</v>
      </c>
      <c r="AF37" s="177"/>
      <c r="AG37" s="178"/>
      <c r="AH37" s="178" t="str">
        <f>"     " &amp; TEXT(AE37,"#0.00%") &amp; " " &amp; "UI 분석" &amp; "(박철규매니저[50%])" &amp; " " &amp; IF(P37="","",TEXT(P37,"M/D-")) &amp; IF(Q37="","",TEXT(Q37,"M/D")) &amp; " "</f>
        <v xml:space="preserve">     0.00% UI 분석(박철규매니저[50%]) 7/1-7/15 </v>
      </c>
      <c r="AI37" s="178"/>
      <c r="AJ37" s="178"/>
      <c r="AK37" s="178"/>
      <c r="AL37" s="178"/>
      <c r="AM37" s="178"/>
      <c r="AN37" s="178"/>
      <c r="AO37" s="178"/>
      <c r="AP37" s="178"/>
      <c r="AQ37" s="178"/>
      <c r="AR37" s="178"/>
      <c r="AS37" s="178"/>
      <c r="AT37" s="178"/>
      <c r="AU37" s="178"/>
      <c r="AV37" s="178"/>
      <c r="AW37" s="178"/>
      <c r="AX37" s="178"/>
      <c r="AY37" s="178"/>
      <c r="AZ37" s="178"/>
      <c r="BA37" s="178"/>
      <c r="BB37" s="178"/>
      <c r="BC37" s="178"/>
      <c r="BD37" s="178"/>
      <c r="BE37" s="178"/>
      <c r="BF37" s="178"/>
      <c r="BG37" s="178"/>
      <c r="BH37" s="178"/>
      <c r="BI37" s="178"/>
      <c r="BJ37" s="178"/>
    </row>
    <row r="38" spans="1:62" ht="15.75" customHeight="1" outlineLevel="2">
      <c r="A38" s="147"/>
      <c r="B38" s="147"/>
      <c r="C38" s="147">
        <v>3</v>
      </c>
      <c r="D38" s="174" t="s">
        <v>1545</v>
      </c>
      <c r="E38" s="148"/>
      <c r="F38" s="148"/>
      <c r="G38" s="148" t="s">
        <v>1514</v>
      </c>
      <c r="H38" s="148"/>
      <c r="I38" s="148"/>
      <c r="J38" s="148"/>
      <c r="K38" s="148"/>
      <c r="L38" s="148"/>
      <c r="M38" s="148"/>
      <c r="N38" s="148"/>
      <c r="O38" s="148"/>
      <c r="P38" s="149">
        <v>44760</v>
      </c>
      <c r="Q38" s="149">
        <v>44773</v>
      </c>
      <c r="R38" s="148"/>
      <c r="S38" s="150">
        <v>10</v>
      </c>
      <c r="T38" s="150">
        <v>0</v>
      </c>
      <c r="U38" s="150">
        <v>10</v>
      </c>
      <c r="V38" s="150">
        <v>0</v>
      </c>
      <c r="W38" s="149"/>
      <c r="X38" s="149"/>
      <c r="Y38" s="151">
        <v>0</v>
      </c>
      <c r="Z38" s="152">
        <v>0</v>
      </c>
      <c r="AA38" s="150"/>
      <c r="AB38" s="148" t="s">
        <v>1602</v>
      </c>
      <c r="AC38" s="271"/>
      <c r="AD38" s="173">
        <v>0</v>
      </c>
      <c r="AE38" s="179">
        <v>0</v>
      </c>
      <c r="AF38" s="177"/>
      <c r="AG38" s="178"/>
      <c r="AH38" s="178"/>
      <c r="AI38" s="178"/>
      <c r="AJ38" s="178"/>
      <c r="AK38" s="178" t="str">
        <f>" " &amp; TEXT(AE38,"#0.00%") &amp; " " &amp; "프로그램 설계" &amp; "(박철규매니저)" &amp; " " &amp; IF(P38="","",TEXT(P38,"M/D-")) &amp; IF(Q38="","",TEXT(Q38,"M/D")) &amp; " "</f>
        <v xml:space="preserve"> 0.00% 프로그램 설계(박철규매니저) 7/18-7/31 </v>
      </c>
      <c r="AL38" s="178"/>
      <c r="AM38" s="178"/>
      <c r="AN38" s="178"/>
      <c r="AO38" s="178"/>
      <c r="AP38" s="178"/>
      <c r="AQ38" s="178"/>
      <c r="AR38" s="178"/>
      <c r="AS38" s="178"/>
      <c r="AT38" s="178"/>
      <c r="AU38" s="178"/>
      <c r="AV38" s="178"/>
      <c r="AW38" s="178"/>
      <c r="AX38" s="178"/>
      <c r="AY38" s="178"/>
      <c r="AZ38" s="178"/>
      <c r="BA38" s="178"/>
      <c r="BB38" s="178"/>
      <c r="BC38" s="178"/>
      <c r="BD38" s="178"/>
      <c r="BE38" s="178"/>
      <c r="BF38" s="178"/>
      <c r="BG38" s="178"/>
      <c r="BH38" s="178"/>
      <c r="BI38" s="178"/>
      <c r="BJ38" s="178"/>
    </row>
    <row r="39" spans="1:62" ht="15.75" customHeight="1" outlineLevel="1">
      <c r="A39" s="147"/>
      <c r="B39" s="147" t="s">
        <v>1367</v>
      </c>
      <c r="C39" s="147">
        <v>2</v>
      </c>
      <c r="D39" s="174" t="s">
        <v>1546</v>
      </c>
      <c r="E39" s="148"/>
      <c r="F39" s="148" t="s">
        <v>1510</v>
      </c>
      <c r="G39" s="148"/>
      <c r="H39" s="148"/>
      <c r="I39" s="148"/>
      <c r="J39" s="148"/>
      <c r="K39" s="148"/>
      <c r="L39" s="148"/>
      <c r="M39" s="148"/>
      <c r="N39" s="148"/>
      <c r="O39" s="148"/>
      <c r="P39" s="149">
        <v>44851</v>
      </c>
      <c r="Q39" s="149">
        <v>44880</v>
      </c>
      <c r="R39" s="148"/>
      <c r="S39" s="150">
        <v>21</v>
      </c>
      <c r="T39" s="150">
        <v>0</v>
      </c>
      <c r="U39" s="150">
        <v>22</v>
      </c>
      <c r="V39" s="150">
        <v>0</v>
      </c>
      <c r="W39" s="149"/>
      <c r="X39" s="149"/>
      <c r="Y39" s="151">
        <v>0</v>
      </c>
      <c r="Z39" s="152">
        <v>0</v>
      </c>
      <c r="AA39" s="150"/>
      <c r="AB39" s="148"/>
      <c r="AC39" s="240"/>
      <c r="AD39" s="173">
        <v>0</v>
      </c>
      <c r="AE39" s="208">
        <v>0</v>
      </c>
      <c r="AF39" s="177"/>
      <c r="AG39" s="178"/>
      <c r="AH39" s="178"/>
      <c r="AI39" s="178"/>
      <c r="AJ39" s="178"/>
      <c r="AK39" s="178"/>
      <c r="AL39" s="178"/>
      <c r="AM39" s="178"/>
      <c r="AN39" s="178"/>
      <c r="AO39" s="178"/>
      <c r="AP39" s="178"/>
      <c r="AQ39" s="178"/>
      <c r="AR39" s="178"/>
      <c r="AS39" s="178"/>
      <c r="AT39" s="178"/>
      <c r="AU39" s="178"/>
      <c r="AV39" s="178"/>
      <c r="AW39" s="178"/>
      <c r="AX39" s="178" t="str">
        <f>" " &amp; TEXT(AE39,"#0.00%") &amp; " "</f>
        <v xml:space="preserve"> 0.00% </v>
      </c>
      <c r="AY39" s="178"/>
      <c r="AZ39" s="178"/>
      <c r="BA39" s="178"/>
      <c r="BB39" s="178" t="str">
        <f>"   " &amp; "개발" &amp; " " &amp; IF(P39="","",TEXT(P39,"M/D-")) &amp; IF(Q39="","",TEXT(Q39,"M/D")) &amp; " "</f>
        <v xml:space="preserve">   개발 10/17-11/15 </v>
      </c>
      <c r="BC39" s="178"/>
      <c r="BD39" s="178"/>
      <c r="BE39" s="178"/>
      <c r="BF39" s="178"/>
      <c r="BG39" s="178"/>
      <c r="BH39" s="178"/>
      <c r="BI39" s="178"/>
      <c r="BJ39" s="178"/>
    </row>
    <row r="40" spans="1:62" ht="15.75" customHeight="1" outlineLevel="2">
      <c r="A40" s="147"/>
      <c r="B40" s="147" t="s">
        <v>1367</v>
      </c>
      <c r="C40" s="147">
        <v>3</v>
      </c>
      <c r="D40" s="174" t="s">
        <v>1547</v>
      </c>
      <c r="E40" s="148"/>
      <c r="F40" s="148"/>
      <c r="G40" s="148" t="s">
        <v>1525</v>
      </c>
      <c r="H40" s="148"/>
      <c r="I40" s="148"/>
      <c r="J40" s="148"/>
      <c r="K40" s="148"/>
      <c r="L40" s="148"/>
      <c r="M40" s="148"/>
      <c r="N40" s="148"/>
      <c r="O40" s="148"/>
      <c r="P40" s="149"/>
      <c r="Q40" s="149"/>
      <c r="R40" s="148"/>
      <c r="S40" s="150">
        <v>0</v>
      </c>
      <c r="T40" s="150">
        <v>0</v>
      </c>
      <c r="U40" s="150">
        <v>0</v>
      </c>
      <c r="V40" s="150">
        <v>0</v>
      </c>
      <c r="W40" s="149"/>
      <c r="X40" s="149"/>
      <c r="Y40" s="151">
        <v>0</v>
      </c>
      <c r="Z40" s="152">
        <v>0</v>
      </c>
      <c r="AA40" s="150"/>
      <c r="AB40" s="148"/>
      <c r="AC40" s="240"/>
      <c r="AD40" s="173">
        <v>0</v>
      </c>
      <c r="AE40" s="218">
        <v>0</v>
      </c>
      <c r="AF40" s="177"/>
      <c r="AG40" s="178"/>
      <c r="AH40" s="178"/>
      <c r="AI40" s="178"/>
      <c r="AJ40" s="178"/>
      <c r="AK40" s="178"/>
      <c r="AL40" s="178"/>
      <c r="AM40" s="178"/>
      <c r="AN40" s="178"/>
      <c r="AO40" s="178"/>
      <c r="AP40" s="178"/>
      <c r="AQ40" s="178"/>
      <c r="AR40" s="178"/>
      <c r="AS40" s="178"/>
      <c r="AT40" s="178"/>
      <c r="AU40" s="178"/>
      <c r="AV40" s="178"/>
      <c r="AW40" s="178"/>
      <c r="AX40" s="178"/>
      <c r="AY40" s="178"/>
      <c r="AZ40" s="178"/>
      <c r="BA40" s="178"/>
      <c r="BB40" s="178"/>
      <c r="BC40" s="178"/>
      <c r="BD40" s="178"/>
      <c r="BE40" s="178"/>
      <c r="BF40" s="178"/>
      <c r="BG40" s="178"/>
      <c r="BH40" s="178"/>
      <c r="BI40" s="178"/>
      <c r="BJ40" s="178"/>
    </row>
    <row r="41" spans="1:62" ht="15.75" customHeight="1" outlineLevel="3">
      <c r="A41" s="147"/>
      <c r="B41" s="147" t="s">
        <v>1367</v>
      </c>
      <c r="C41" s="147">
        <v>4</v>
      </c>
      <c r="D41" s="174" t="s">
        <v>1548</v>
      </c>
      <c r="E41" s="148"/>
      <c r="F41" s="148"/>
      <c r="G41" s="148"/>
      <c r="H41" s="148" t="s">
        <v>1516</v>
      </c>
      <c r="I41" s="148"/>
      <c r="J41" s="148"/>
      <c r="K41" s="148"/>
      <c r="L41" s="148"/>
      <c r="M41" s="148"/>
      <c r="N41" s="148"/>
      <c r="O41" s="148"/>
      <c r="P41" s="149"/>
      <c r="Q41" s="149"/>
      <c r="R41" s="148"/>
      <c r="S41" s="150">
        <v>0</v>
      </c>
      <c r="T41" s="150">
        <v>0</v>
      </c>
      <c r="U41" s="150">
        <v>0</v>
      </c>
      <c r="V41" s="150">
        <v>0</v>
      </c>
      <c r="W41" s="149"/>
      <c r="X41" s="149"/>
      <c r="Y41" s="151">
        <v>0</v>
      </c>
      <c r="Z41" s="152">
        <v>0</v>
      </c>
      <c r="AA41" s="150"/>
      <c r="AB41" s="148"/>
      <c r="AC41" s="241"/>
      <c r="AD41" s="173">
        <v>0</v>
      </c>
      <c r="AE41" s="218">
        <v>0</v>
      </c>
      <c r="AF41" s="177"/>
      <c r="AG41" s="178"/>
      <c r="AH41" s="178"/>
      <c r="AI41" s="178"/>
      <c r="AJ41" s="178"/>
      <c r="AK41" s="178"/>
      <c r="AL41" s="178"/>
      <c r="AM41" s="178"/>
      <c r="AN41" s="178"/>
      <c r="AO41" s="178"/>
      <c r="AP41" s="178"/>
      <c r="AQ41" s="178"/>
      <c r="AR41" s="178"/>
      <c r="AS41" s="178"/>
      <c r="AT41" s="178"/>
      <c r="AU41" s="178"/>
      <c r="AV41" s="178"/>
      <c r="AW41" s="178"/>
      <c r="AX41" s="178"/>
      <c r="AY41" s="178"/>
      <c r="AZ41" s="178"/>
      <c r="BA41" s="178"/>
      <c r="BB41" s="178"/>
      <c r="BC41" s="178"/>
      <c r="BD41" s="178"/>
      <c r="BE41" s="178"/>
      <c r="BF41" s="178"/>
      <c r="BG41" s="178"/>
      <c r="BH41" s="178"/>
      <c r="BI41" s="178"/>
      <c r="BJ41" s="178"/>
    </row>
    <row r="42" spans="1:62" ht="15.75" customHeight="1" outlineLevel="4">
      <c r="A42" s="147"/>
      <c r="B42" s="147"/>
      <c r="C42" s="147">
        <v>5</v>
      </c>
      <c r="D42" s="174" t="s">
        <v>1679</v>
      </c>
      <c r="E42" s="148"/>
      <c r="F42" s="148"/>
      <c r="G42" s="148"/>
      <c r="H42" s="148"/>
      <c r="I42" s="148" t="s">
        <v>1618</v>
      </c>
      <c r="J42" s="148"/>
      <c r="K42" s="148"/>
      <c r="L42" s="148"/>
      <c r="M42" s="148"/>
      <c r="N42" s="148"/>
      <c r="O42" s="148"/>
      <c r="P42" s="149"/>
      <c r="Q42" s="149"/>
      <c r="R42" s="148"/>
      <c r="S42" s="150">
        <v>0</v>
      </c>
      <c r="T42" s="150">
        <v>0</v>
      </c>
      <c r="U42" s="150">
        <v>0</v>
      </c>
      <c r="V42" s="150">
        <v>0</v>
      </c>
      <c r="W42" s="149"/>
      <c r="X42" s="149"/>
      <c r="Y42" s="151">
        <v>0</v>
      </c>
      <c r="Z42" s="152">
        <v>0</v>
      </c>
      <c r="AA42" s="150"/>
      <c r="AB42" s="148" t="s">
        <v>1772</v>
      </c>
      <c r="AC42" s="241"/>
      <c r="AD42" s="173">
        <v>0</v>
      </c>
      <c r="AE42" s="218">
        <v>0</v>
      </c>
      <c r="AF42" s="177"/>
      <c r="AG42" s="178"/>
      <c r="AH42" s="178"/>
      <c r="AI42" s="178"/>
      <c r="AJ42" s="178"/>
      <c r="AK42" s="178"/>
      <c r="AL42" s="178"/>
      <c r="AM42" s="178"/>
      <c r="AN42" s="178"/>
      <c r="AO42" s="178"/>
      <c r="AP42" s="178"/>
      <c r="AQ42" s="178"/>
      <c r="AR42" s="178"/>
      <c r="AS42" s="178"/>
      <c r="AT42" s="178"/>
      <c r="AU42" s="178"/>
      <c r="AV42" s="178"/>
      <c r="AW42" s="178"/>
      <c r="AX42" s="178"/>
      <c r="AY42" s="178"/>
      <c r="AZ42" s="178"/>
      <c r="BA42" s="178"/>
      <c r="BB42" s="178"/>
      <c r="BC42" s="178"/>
      <c r="BD42" s="178"/>
      <c r="BE42" s="178"/>
      <c r="BF42" s="178"/>
      <c r="BG42" s="178"/>
      <c r="BH42" s="178"/>
      <c r="BI42" s="178"/>
      <c r="BJ42" s="178"/>
    </row>
    <row r="43" spans="1:62" ht="15.75" customHeight="1" outlineLevel="4">
      <c r="A43" s="147"/>
      <c r="B43" s="147"/>
      <c r="C43" s="147">
        <v>5</v>
      </c>
      <c r="D43" s="174" t="s">
        <v>1680</v>
      </c>
      <c r="E43" s="148"/>
      <c r="F43" s="148"/>
      <c r="G43" s="148"/>
      <c r="H43" s="148"/>
      <c r="I43" s="148" t="s">
        <v>1619</v>
      </c>
      <c r="J43" s="148"/>
      <c r="K43" s="148"/>
      <c r="L43" s="148"/>
      <c r="M43" s="148"/>
      <c r="N43" s="148"/>
      <c r="O43" s="148"/>
      <c r="P43" s="149"/>
      <c r="Q43" s="149"/>
      <c r="R43" s="148"/>
      <c r="S43" s="150">
        <v>0</v>
      </c>
      <c r="T43" s="150">
        <v>0</v>
      </c>
      <c r="U43" s="150">
        <v>0</v>
      </c>
      <c r="V43" s="150">
        <v>0</v>
      </c>
      <c r="W43" s="149"/>
      <c r="X43" s="149"/>
      <c r="Y43" s="151">
        <v>0</v>
      </c>
      <c r="Z43" s="152">
        <v>0</v>
      </c>
      <c r="AA43" s="150"/>
      <c r="AB43" s="148" t="s">
        <v>1772</v>
      </c>
      <c r="AC43" s="241"/>
      <c r="AD43" s="173">
        <v>0</v>
      </c>
      <c r="AE43" s="218">
        <v>0</v>
      </c>
      <c r="AF43" s="177"/>
      <c r="AG43" s="178"/>
      <c r="AH43" s="178"/>
      <c r="AI43" s="178"/>
      <c r="AJ43" s="178"/>
      <c r="AK43" s="178"/>
      <c r="AL43" s="178"/>
      <c r="AM43" s="178"/>
      <c r="AN43" s="178"/>
      <c r="AO43" s="178"/>
      <c r="AP43" s="178"/>
      <c r="AQ43" s="178"/>
      <c r="AR43" s="178"/>
      <c r="AS43" s="178"/>
      <c r="AT43" s="178"/>
      <c r="AU43" s="178"/>
      <c r="AV43" s="178"/>
      <c r="AW43" s="178"/>
      <c r="AX43" s="178"/>
      <c r="AY43" s="178"/>
      <c r="AZ43" s="178"/>
      <c r="BA43" s="178"/>
      <c r="BB43" s="178"/>
      <c r="BC43" s="178"/>
      <c r="BD43" s="178"/>
      <c r="BE43" s="178"/>
      <c r="BF43" s="178"/>
      <c r="BG43" s="178"/>
      <c r="BH43" s="178"/>
      <c r="BI43" s="178"/>
      <c r="BJ43" s="178"/>
    </row>
    <row r="44" spans="1:62" ht="15.75" customHeight="1" outlineLevel="4">
      <c r="A44" s="147"/>
      <c r="B44" s="147"/>
      <c r="C44" s="147">
        <v>5</v>
      </c>
      <c r="D44" s="174" t="s">
        <v>1681</v>
      </c>
      <c r="E44" s="148"/>
      <c r="F44" s="148"/>
      <c r="G44" s="148"/>
      <c r="H44" s="148"/>
      <c r="I44" s="148" t="s">
        <v>1620</v>
      </c>
      <c r="J44" s="148"/>
      <c r="K44" s="148"/>
      <c r="L44" s="148"/>
      <c r="M44" s="148"/>
      <c r="N44" s="148"/>
      <c r="O44" s="148"/>
      <c r="P44" s="149"/>
      <c r="Q44" s="149"/>
      <c r="R44" s="148"/>
      <c r="S44" s="150">
        <v>0</v>
      </c>
      <c r="T44" s="150">
        <v>0</v>
      </c>
      <c r="U44" s="150">
        <v>0</v>
      </c>
      <c r="V44" s="150">
        <v>0</v>
      </c>
      <c r="W44" s="149"/>
      <c r="X44" s="149"/>
      <c r="Y44" s="151">
        <v>0</v>
      </c>
      <c r="Z44" s="152">
        <v>0</v>
      </c>
      <c r="AA44" s="150"/>
      <c r="AB44" s="148" t="s">
        <v>1772</v>
      </c>
      <c r="AC44" s="241"/>
      <c r="AD44" s="173">
        <v>0</v>
      </c>
      <c r="AE44" s="218">
        <v>0</v>
      </c>
      <c r="AF44" s="177"/>
      <c r="AG44" s="178"/>
      <c r="AH44" s="178"/>
      <c r="AI44" s="178"/>
      <c r="AJ44" s="178"/>
      <c r="AK44" s="178"/>
      <c r="AL44" s="178"/>
      <c r="AM44" s="178"/>
      <c r="AN44" s="178"/>
      <c r="AO44" s="178"/>
      <c r="AP44" s="178"/>
      <c r="AQ44" s="178"/>
      <c r="AR44" s="178"/>
      <c r="AS44" s="178"/>
      <c r="AT44" s="178"/>
      <c r="AU44" s="178"/>
      <c r="AV44" s="178"/>
      <c r="AW44" s="178"/>
      <c r="AX44" s="178"/>
      <c r="AY44" s="178"/>
      <c r="AZ44" s="178"/>
      <c r="BA44" s="178"/>
      <c r="BB44" s="178"/>
      <c r="BC44" s="178"/>
      <c r="BD44" s="178"/>
      <c r="BE44" s="178"/>
      <c r="BF44" s="178"/>
      <c r="BG44" s="178"/>
      <c r="BH44" s="178"/>
      <c r="BI44" s="178"/>
      <c r="BJ44" s="178"/>
    </row>
    <row r="45" spans="1:62" ht="15.75" customHeight="1" outlineLevel="4">
      <c r="A45" s="147"/>
      <c r="B45" s="147"/>
      <c r="C45" s="147">
        <v>5</v>
      </c>
      <c r="D45" s="174" t="s">
        <v>1682</v>
      </c>
      <c r="E45" s="148"/>
      <c r="F45" s="148"/>
      <c r="G45" s="148"/>
      <c r="H45" s="148"/>
      <c r="I45" s="148" t="s">
        <v>1621</v>
      </c>
      <c r="J45" s="148"/>
      <c r="K45" s="148"/>
      <c r="L45" s="148"/>
      <c r="M45" s="148"/>
      <c r="N45" s="148"/>
      <c r="O45" s="148"/>
      <c r="P45" s="149"/>
      <c r="Q45" s="149"/>
      <c r="R45" s="148"/>
      <c r="S45" s="150">
        <v>0</v>
      </c>
      <c r="T45" s="150">
        <v>0</v>
      </c>
      <c r="U45" s="150">
        <v>0</v>
      </c>
      <c r="V45" s="150">
        <v>0</v>
      </c>
      <c r="W45" s="149"/>
      <c r="X45" s="149"/>
      <c r="Y45" s="151">
        <v>0</v>
      </c>
      <c r="Z45" s="152">
        <v>0</v>
      </c>
      <c r="AA45" s="150"/>
      <c r="AB45" s="148" t="s">
        <v>1772</v>
      </c>
      <c r="AC45" s="241"/>
      <c r="AD45" s="173">
        <v>0</v>
      </c>
      <c r="AE45" s="218">
        <v>0</v>
      </c>
      <c r="AF45" s="177"/>
      <c r="AG45" s="178"/>
      <c r="AH45" s="178"/>
      <c r="AI45" s="178"/>
      <c r="AJ45" s="178"/>
      <c r="AK45" s="178"/>
      <c r="AL45" s="178"/>
      <c r="AM45" s="178"/>
      <c r="AN45" s="178"/>
      <c r="AO45" s="178"/>
      <c r="AP45" s="178"/>
      <c r="AQ45" s="178"/>
      <c r="AR45" s="178"/>
      <c r="AS45" s="178"/>
      <c r="AT45" s="178"/>
      <c r="AU45" s="178"/>
      <c r="AV45" s="178"/>
      <c r="AW45" s="178"/>
      <c r="AX45" s="178"/>
      <c r="AY45" s="178"/>
      <c r="AZ45" s="178"/>
      <c r="BA45" s="178"/>
      <c r="BB45" s="178"/>
      <c r="BC45" s="178"/>
      <c r="BD45" s="178"/>
      <c r="BE45" s="178"/>
      <c r="BF45" s="178"/>
      <c r="BG45" s="178"/>
      <c r="BH45" s="178"/>
      <c r="BI45" s="178"/>
      <c r="BJ45" s="178"/>
    </row>
    <row r="46" spans="1:62" ht="15.75" customHeight="1" outlineLevel="4">
      <c r="A46" s="147"/>
      <c r="B46" s="147"/>
      <c r="C46" s="147">
        <v>5</v>
      </c>
      <c r="D46" s="174" t="s">
        <v>1683</v>
      </c>
      <c r="E46" s="148"/>
      <c r="F46" s="148"/>
      <c r="G46" s="148"/>
      <c r="H46" s="148"/>
      <c r="I46" s="148" t="s">
        <v>1622</v>
      </c>
      <c r="J46" s="148"/>
      <c r="K46" s="148"/>
      <c r="L46" s="148"/>
      <c r="M46" s="148"/>
      <c r="N46" s="148"/>
      <c r="O46" s="148"/>
      <c r="P46" s="149"/>
      <c r="Q46" s="149"/>
      <c r="R46" s="148"/>
      <c r="S46" s="150">
        <v>0</v>
      </c>
      <c r="T46" s="150">
        <v>0</v>
      </c>
      <c r="U46" s="150">
        <v>0</v>
      </c>
      <c r="V46" s="150">
        <v>0</v>
      </c>
      <c r="W46" s="149"/>
      <c r="X46" s="149"/>
      <c r="Y46" s="151">
        <v>0</v>
      </c>
      <c r="Z46" s="152">
        <v>0</v>
      </c>
      <c r="AA46" s="150"/>
      <c r="AB46" s="148" t="s">
        <v>1772</v>
      </c>
      <c r="AC46" s="241"/>
      <c r="AD46" s="173">
        <v>0</v>
      </c>
      <c r="AE46" s="218">
        <v>0</v>
      </c>
      <c r="AF46" s="177"/>
      <c r="AG46" s="178"/>
      <c r="AH46" s="178"/>
      <c r="AI46" s="178"/>
      <c r="AJ46" s="178"/>
      <c r="AK46" s="178"/>
      <c r="AL46" s="178"/>
      <c r="AM46" s="178"/>
      <c r="AN46" s="178"/>
      <c r="AO46" s="178"/>
      <c r="AP46" s="178"/>
      <c r="AQ46" s="178"/>
      <c r="AR46" s="178"/>
      <c r="AS46" s="178"/>
      <c r="AT46" s="178"/>
      <c r="AU46" s="178"/>
      <c r="AV46" s="178"/>
      <c r="AW46" s="178"/>
      <c r="AX46" s="178"/>
      <c r="AY46" s="178"/>
      <c r="AZ46" s="178"/>
      <c r="BA46" s="178"/>
      <c r="BB46" s="178"/>
      <c r="BC46" s="178"/>
      <c r="BD46" s="178"/>
      <c r="BE46" s="178"/>
      <c r="BF46" s="178"/>
      <c r="BG46" s="178"/>
      <c r="BH46" s="178"/>
      <c r="BI46" s="178"/>
      <c r="BJ46" s="178"/>
    </row>
    <row r="47" spans="1:62" ht="15.75" customHeight="1" outlineLevel="4">
      <c r="A47" s="147"/>
      <c r="B47" s="147"/>
      <c r="C47" s="147">
        <v>5</v>
      </c>
      <c r="D47" s="174" t="s">
        <v>1684</v>
      </c>
      <c r="E47" s="148"/>
      <c r="F47" s="148"/>
      <c r="G47" s="148"/>
      <c r="H47" s="148"/>
      <c r="I47" s="148" t="s">
        <v>1623</v>
      </c>
      <c r="J47" s="148"/>
      <c r="K47" s="148"/>
      <c r="L47" s="148"/>
      <c r="M47" s="148"/>
      <c r="N47" s="148"/>
      <c r="O47" s="148"/>
      <c r="P47" s="149"/>
      <c r="Q47" s="149"/>
      <c r="R47" s="148"/>
      <c r="S47" s="150">
        <v>0</v>
      </c>
      <c r="T47" s="150">
        <v>0</v>
      </c>
      <c r="U47" s="150">
        <v>0</v>
      </c>
      <c r="V47" s="150">
        <v>0</v>
      </c>
      <c r="W47" s="149"/>
      <c r="X47" s="149"/>
      <c r="Y47" s="151">
        <v>0</v>
      </c>
      <c r="Z47" s="152">
        <v>0</v>
      </c>
      <c r="AA47" s="150"/>
      <c r="AB47" s="148" t="s">
        <v>1772</v>
      </c>
      <c r="AC47" s="241"/>
      <c r="AD47" s="173">
        <v>0</v>
      </c>
      <c r="AE47" s="218">
        <v>0</v>
      </c>
      <c r="AF47" s="177"/>
      <c r="AG47" s="178"/>
      <c r="AH47" s="178"/>
      <c r="AI47" s="178"/>
      <c r="AJ47" s="178"/>
      <c r="AK47" s="178"/>
      <c r="AL47" s="178"/>
      <c r="AM47" s="178"/>
      <c r="AN47" s="178"/>
      <c r="AO47" s="178"/>
      <c r="AP47" s="178"/>
      <c r="AQ47" s="178"/>
      <c r="AR47" s="178"/>
      <c r="AS47" s="178"/>
      <c r="AT47" s="178"/>
      <c r="AU47" s="178"/>
      <c r="AV47" s="178"/>
      <c r="AW47" s="178"/>
      <c r="AX47" s="178"/>
      <c r="AY47" s="178"/>
      <c r="AZ47" s="178"/>
      <c r="BA47" s="178"/>
      <c r="BB47" s="178"/>
      <c r="BC47" s="178"/>
      <c r="BD47" s="178"/>
      <c r="BE47" s="178"/>
      <c r="BF47" s="178"/>
      <c r="BG47" s="178"/>
      <c r="BH47" s="178"/>
      <c r="BI47" s="178"/>
      <c r="BJ47" s="178"/>
    </row>
    <row r="48" spans="1:62" ht="15.75" customHeight="1" outlineLevel="4">
      <c r="A48" s="147"/>
      <c r="B48" s="147"/>
      <c r="C48" s="147">
        <v>5</v>
      </c>
      <c r="D48" s="174" t="s">
        <v>1685</v>
      </c>
      <c r="E48" s="148"/>
      <c r="F48" s="148"/>
      <c r="G48" s="148"/>
      <c r="H48" s="148"/>
      <c r="I48" s="148" t="s">
        <v>1624</v>
      </c>
      <c r="J48" s="148"/>
      <c r="K48" s="148"/>
      <c r="L48" s="148"/>
      <c r="M48" s="148"/>
      <c r="N48" s="148"/>
      <c r="O48" s="148"/>
      <c r="P48" s="149"/>
      <c r="Q48" s="149"/>
      <c r="R48" s="148"/>
      <c r="S48" s="150">
        <v>0</v>
      </c>
      <c r="T48" s="150">
        <v>0</v>
      </c>
      <c r="U48" s="150">
        <v>0</v>
      </c>
      <c r="V48" s="150">
        <v>0</v>
      </c>
      <c r="W48" s="149"/>
      <c r="X48" s="149"/>
      <c r="Y48" s="151">
        <v>0</v>
      </c>
      <c r="Z48" s="152">
        <v>0</v>
      </c>
      <c r="AA48" s="150"/>
      <c r="AB48" s="148" t="s">
        <v>1772</v>
      </c>
      <c r="AC48" s="241"/>
      <c r="AD48" s="173">
        <v>0</v>
      </c>
      <c r="AE48" s="218">
        <v>0</v>
      </c>
      <c r="AF48" s="177"/>
      <c r="AG48" s="178"/>
      <c r="AH48" s="178"/>
      <c r="AI48" s="178"/>
      <c r="AJ48" s="178"/>
      <c r="AK48" s="178"/>
      <c r="AL48" s="178"/>
      <c r="AM48" s="178"/>
      <c r="AN48" s="178"/>
      <c r="AO48" s="178"/>
      <c r="AP48" s="178"/>
      <c r="AQ48" s="178"/>
      <c r="AR48" s="178"/>
      <c r="AS48" s="178"/>
      <c r="AT48" s="178"/>
      <c r="AU48" s="178"/>
      <c r="AV48" s="178"/>
      <c r="AW48" s="178"/>
      <c r="AX48" s="178"/>
      <c r="AY48" s="178"/>
      <c r="AZ48" s="178"/>
      <c r="BA48" s="178"/>
      <c r="BB48" s="178"/>
      <c r="BC48" s="178"/>
      <c r="BD48" s="178"/>
      <c r="BE48" s="178"/>
      <c r="BF48" s="178"/>
      <c r="BG48" s="178"/>
      <c r="BH48" s="178"/>
      <c r="BI48" s="178"/>
      <c r="BJ48" s="178"/>
    </row>
    <row r="49" spans="1:62" ht="15.75" customHeight="1" outlineLevel="4">
      <c r="A49" s="147"/>
      <c r="B49" s="147"/>
      <c r="C49" s="147">
        <v>5</v>
      </c>
      <c r="D49" s="174" t="s">
        <v>1686</v>
      </c>
      <c r="E49" s="148"/>
      <c r="F49" s="148"/>
      <c r="G49" s="148"/>
      <c r="H49" s="148"/>
      <c r="I49" s="148" t="s">
        <v>1625</v>
      </c>
      <c r="J49" s="148"/>
      <c r="K49" s="148"/>
      <c r="L49" s="148"/>
      <c r="M49" s="148"/>
      <c r="N49" s="148"/>
      <c r="O49" s="148"/>
      <c r="P49" s="149"/>
      <c r="Q49" s="149"/>
      <c r="R49" s="148"/>
      <c r="S49" s="150">
        <v>0</v>
      </c>
      <c r="T49" s="150">
        <v>0</v>
      </c>
      <c r="U49" s="150">
        <v>0</v>
      </c>
      <c r="V49" s="150">
        <v>0</v>
      </c>
      <c r="W49" s="149"/>
      <c r="X49" s="149"/>
      <c r="Y49" s="151">
        <v>0</v>
      </c>
      <c r="Z49" s="152">
        <v>0</v>
      </c>
      <c r="AA49" s="150"/>
      <c r="AB49" s="148" t="s">
        <v>1772</v>
      </c>
      <c r="AC49" s="241"/>
      <c r="AD49" s="173">
        <v>0</v>
      </c>
      <c r="AE49" s="218">
        <v>0</v>
      </c>
      <c r="AF49" s="177"/>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178"/>
      <c r="BI49" s="178"/>
      <c r="BJ49" s="178"/>
    </row>
    <row r="50" spans="1:62" ht="15.75" customHeight="1" outlineLevel="4">
      <c r="A50" s="147"/>
      <c r="B50" s="147"/>
      <c r="C50" s="147">
        <v>5</v>
      </c>
      <c r="D50" s="174" t="s">
        <v>1687</v>
      </c>
      <c r="E50" s="148"/>
      <c r="F50" s="148"/>
      <c r="G50" s="148"/>
      <c r="H50" s="148"/>
      <c r="I50" s="148" t="s">
        <v>1626</v>
      </c>
      <c r="J50" s="148"/>
      <c r="K50" s="148"/>
      <c r="L50" s="148"/>
      <c r="M50" s="148"/>
      <c r="N50" s="148"/>
      <c r="O50" s="148"/>
      <c r="P50" s="149"/>
      <c r="Q50" s="149"/>
      <c r="R50" s="148"/>
      <c r="S50" s="150">
        <v>0</v>
      </c>
      <c r="T50" s="150">
        <v>0</v>
      </c>
      <c r="U50" s="150">
        <v>0</v>
      </c>
      <c r="V50" s="150">
        <v>0</v>
      </c>
      <c r="W50" s="149"/>
      <c r="X50" s="149"/>
      <c r="Y50" s="151">
        <v>0</v>
      </c>
      <c r="Z50" s="152">
        <v>0</v>
      </c>
      <c r="AA50" s="150"/>
      <c r="AB50" s="148" t="s">
        <v>1772</v>
      </c>
      <c r="AC50" s="241"/>
      <c r="AD50" s="173">
        <v>0</v>
      </c>
      <c r="AE50" s="218">
        <v>0</v>
      </c>
      <c r="AF50" s="177"/>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row>
    <row r="51" spans="1:62" ht="15.75" customHeight="1" outlineLevel="4">
      <c r="A51" s="147"/>
      <c r="B51" s="147"/>
      <c r="C51" s="147">
        <v>5</v>
      </c>
      <c r="D51" s="174" t="s">
        <v>1688</v>
      </c>
      <c r="E51" s="148"/>
      <c r="F51" s="148"/>
      <c r="G51" s="148"/>
      <c r="H51" s="148"/>
      <c r="I51" s="148" t="s">
        <v>1627</v>
      </c>
      <c r="J51" s="148"/>
      <c r="K51" s="148"/>
      <c r="L51" s="148"/>
      <c r="M51" s="148"/>
      <c r="N51" s="148"/>
      <c r="O51" s="148"/>
      <c r="P51" s="149"/>
      <c r="Q51" s="149"/>
      <c r="R51" s="148"/>
      <c r="S51" s="150">
        <v>0</v>
      </c>
      <c r="T51" s="150">
        <v>0</v>
      </c>
      <c r="U51" s="150">
        <v>0</v>
      </c>
      <c r="V51" s="150">
        <v>0</v>
      </c>
      <c r="W51" s="149"/>
      <c r="X51" s="149"/>
      <c r="Y51" s="151">
        <v>0</v>
      </c>
      <c r="Z51" s="152">
        <v>0</v>
      </c>
      <c r="AA51" s="150"/>
      <c r="AB51" s="148" t="s">
        <v>1772</v>
      </c>
      <c r="AC51" s="241"/>
      <c r="AD51" s="173">
        <v>0</v>
      </c>
      <c r="AE51" s="218">
        <v>0</v>
      </c>
      <c r="AF51" s="177"/>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178"/>
      <c r="BI51" s="178"/>
      <c r="BJ51" s="178"/>
    </row>
    <row r="52" spans="1:62" ht="15.75" customHeight="1" outlineLevel="4">
      <c r="A52" s="147"/>
      <c r="B52" s="147"/>
      <c r="C52" s="147">
        <v>5</v>
      </c>
      <c r="D52" s="174" t="s">
        <v>1689</v>
      </c>
      <c r="E52" s="148"/>
      <c r="F52" s="148"/>
      <c r="G52" s="148"/>
      <c r="H52" s="148"/>
      <c r="I52" s="148" t="s">
        <v>1628</v>
      </c>
      <c r="J52" s="148"/>
      <c r="K52" s="148"/>
      <c r="L52" s="148"/>
      <c r="M52" s="148"/>
      <c r="N52" s="148"/>
      <c r="O52" s="148"/>
      <c r="P52" s="149"/>
      <c r="Q52" s="149"/>
      <c r="R52" s="148"/>
      <c r="S52" s="150">
        <v>0</v>
      </c>
      <c r="T52" s="150">
        <v>0</v>
      </c>
      <c r="U52" s="150">
        <v>0</v>
      </c>
      <c r="V52" s="150">
        <v>0</v>
      </c>
      <c r="W52" s="149"/>
      <c r="X52" s="149"/>
      <c r="Y52" s="151">
        <v>0</v>
      </c>
      <c r="Z52" s="152">
        <v>0</v>
      </c>
      <c r="AA52" s="150"/>
      <c r="AB52" s="148" t="s">
        <v>1772</v>
      </c>
      <c r="AC52" s="241"/>
      <c r="AD52" s="173">
        <v>0</v>
      </c>
      <c r="AE52" s="218">
        <v>0</v>
      </c>
      <c r="AF52" s="177"/>
      <c r="AG52" s="178"/>
      <c r="AH52" s="178"/>
      <c r="AI52" s="178"/>
      <c r="AJ52" s="178"/>
      <c r="AK52" s="178"/>
      <c r="AL52" s="178"/>
      <c r="AM52" s="178"/>
      <c r="AN52" s="178"/>
      <c r="AO52" s="178"/>
      <c r="AP52" s="178"/>
      <c r="AQ52" s="178"/>
      <c r="AR52" s="178"/>
      <c r="AS52" s="178"/>
      <c r="AT52" s="178"/>
      <c r="AU52" s="178"/>
      <c r="AV52" s="178"/>
      <c r="AW52" s="178"/>
      <c r="AX52" s="178"/>
      <c r="AY52" s="178"/>
      <c r="AZ52" s="178"/>
      <c r="BA52" s="178"/>
      <c r="BB52" s="178"/>
      <c r="BC52" s="178"/>
      <c r="BD52" s="178"/>
      <c r="BE52" s="178"/>
      <c r="BF52" s="178"/>
      <c r="BG52" s="178"/>
      <c r="BH52" s="178"/>
      <c r="BI52" s="178"/>
      <c r="BJ52" s="178"/>
    </row>
    <row r="53" spans="1:62" ht="15.75" customHeight="1" outlineLevel="4">
      <c r="A53" s="147"/>
      <c r="B53" s="147"/>
      <c r="C53" s="147">
        <v>5</v>
      </c>
      <c r="D53" s="174" t="s">
        <v>1690</v>
      </c>
      <c r="E53" s="148"/>
      <c r="F53" s="148"/>
      <c r="G53" s="148"/>
      <c r="H53" s="148"/>
      <c r="I53" s="148" t="s">
        <v>1629</v>
      </c>
      <c r="J53" s="148"/>
      <c r="K53" s="148"/>
      <c r="L53" s="148"/>
      <c r="M53" s="148"/>
      <c r="N53" s="148"/>
      <c r="O53" s="148"/>
      <c r="P53" s="149"/>
      <c r="Q53" s="149"/>
      <c r="R53" s="148"/>
      <c r="S53" s="150">
        <v>0</v>
      </c>
      <c r="T53" s="150">
        <v>0</v>
      </c>
      <c r="U53" s="150">
        <v>0</v>
      </c>
      <c r="V53" s="150">
        <v>0</v>
      </c>
      <c r="W53" s="149"/>
      <c r="X53" s="149"/>
      <c r="Y53" s="151">
        <v>0</v>
      </c>
      <c r="Z53" s="152">
        <v>0</v>
      </c>
      <c r="AA53" s="150"/>
      <c r="AB53" s="148" t="s">
        <v>1772</v>
      </c>
      <c r="AC53" s="241"/>
      <c r="AD53" s="173">
        <v>0</v>
      </c>
      <c r="AE53" s="218">
        <v>0</v>
      </c>
      <c r="AF53" s="177"/>
      <c r="AG53" s="178"/>
      <c r="AH53" s="178"/>
      <c r="AI53" s="178"/>
      <c r="AJ53" s="178"/>
      <c r="AK53" s="178"/>
      <c r="AL53" s="178"/>
      <c r="AM53" s="178"/>
      <c r="AN53" s="178"/>
      <c r="AO53" s="178"/>
      <c r="AP53" s="178"/>
      <c r="AQ53" s="178"/>
      <c r="AR53" s="178"/>
      <c r="AS53" s="178"/>
      <c r="AT53" s="178"/>
      <c r="AU53" s="178"/>
      <c r="AV53" s="178"/>
      <c r="AW53" s="178"/>
      <c r="AX53" s="178"/>
      <c r="AY53" s="178"/>
      <c r="AZ53" s="178"/>
      <c r="BA53" s="178"/>
      <c r="BB53" s="178"/>
      <c r="BC53" s="178"/>
      <c r="BD53" s="178"/>
      <c r="BE53" s="178"/>
      <c r="BF53" s="178"/>
      <c r="BG53" s="178"/>
      <c r="BH53" s="178"/>
      <c r="BI53" s="178"/>
      <c r="BJ53" s="178"/>
    </row>
    <row r="54" spans="1:62" ht="15.75" customHeight="1" outlineLevel="3">
      <c r="A54" s="147"/>
      <c r="B54" s="147" t="s">
        <v>1367</v>
      </c>
      <c r="C54" s="147">
        <v>4</v>
      </c>
      <c r="D54" s="174" t="s">
        <v>1576</v>
      </c>
      <c r="E54" s="148"/>
      <c r="F54" s="148"/>
      <c r="G54" s="148"/>
      <c r="H54" s="148" t="s">
        <v>1771</v>
      </c>
      <c r="I54" s="148"/>
      <c r="J54" s="148"/>
      <c r="K54" s="148"/>
      <c r="L54" s="148"/>
      <c r="M54" s="148"/>
      <c r="N54" s="148"/>
      <c r="O54" s="148"/>
      <c r="P54" s="149"/>
      <c r="Q54" s="149"/>
      <c r="R54" s="148"/>
      <c r="S54" s="150">
        <v>0</v>
      </c>
      <c r="T54" s="150">
        <v>0</v>
      </c>
      <c r="U54" s="150">
        <v>0</v>
      </c>
      <c r="V54" s="150">
        <v>0</v>
      </c>
      <c r="W54" s="149"/>
      <c r="X54" s="149"/>
      <c r="Y54" s="151">
        <v>0</v>
      </c>
      <c r="Z54" s="152">
        <v>0</v>
      </c>
      <c r="AA54" s="150"/>
      <c r="AB54" s="148"/>
      <c r="AC54" s="242"/>
      <c r="AD54" s="173">
        <v>0</v>
      </c>
      <c r="AE54" s="218">
        <v>0</v>
      </c>
      <c r="AF54" s="177"/>
      <c r="AG54" s="178"/>
      <c r="AH54" s="178"/>
      <c r="AI54" s="178"/>
      <c r="AJ54" s="178"/>
      <c r="AK54" s="178"/>
      <c r="AL54" s="178"/>
      <c r="AM54" s="178"/>
      <c r="AN54" s="178"/>
      <c r="AO54" s="178"/>
      <c r="AP54" s="178"/>
      <c r="AQ54" s="178"/>
      <c r="AR54" s="178"/>
      <c r="AS54" s="178"/>
      <c r="AT54" s="178"/>
      <c r="AU54" s="178"/>
      <c r="AV54" s="178"/>
      <c r="AW54" s="178"/>
      <c r="AX54" s="178"/>
      <c r="AY54" s="178"/>
      <c r="AZ54" s="178"/>
      <c r="BA54" s="178"/>
      <c r="BB54" s="178"/>
      <c r="BC54" s="178"/>
      <c r="BD54" s="178"/>
      <c r="BE54" s="178"/>
      <c r="BF54" s="178"/>
      <c r="BG54" s="178"/>
      <c r="BH54" s="178"/>
      <c r="BI54" s="178"/>
      <c r="BJ54" s="178"/>
    </row>
    <row r="55" spans="1:62" ht="15.75" customHeight="1" outlineLevel="4">
      <c r="A55" s="147"/>
      <c r="B55" s="147"/>
      <c r="C55" s="147">
        <v>5</v>
      </c>
      <c r="D55" s="174" t="s">
        <v>1691</v>
      </c>
      <c r="E55" s="148"/>
      <c r="F55" s="148"/>
      <c r="G55" s="148"/>
      <c r="H55" s="148"/>
      <c r="I55" s="148" t="s">
        <v>1630</v>
      </c>
      <c r="J55" s="148"/>
      <c r="K55" s="148"/>
      <c r="L55" s="148"/>
      <c r="M55" s="148"/>
      <c r="N55" s="148"/>
      <c r="O55" s="148"/>
      <c r="P55" s="149"/>
      <c r="Q55" s="149"/>
      <c r="R55" s="148"/>
      <c r="S55" s="150">
        <v>0</v>
      </c>
      <c r="T55" s="150">
        <v>0</v>
      </c>
      <c r="U55" s="150">
        <v>0</v>
      </c>
      <c r="V55" s="150">
        <v>0</v>
      </c>
      <c r="W55" s="149"/>
      <c r="X55" s="149"/>
      <c r="Y55" s="151">
        <v>0</v>
      </c>
      <c r="Z55" s="152">
        <v>0</v>
      </c>
      <c r="AA55" s="150"/>
      <c r="AB55" s="148" t="s">
        <v>1603</v>
      </c>
      <c r="AC55" s="242"/>
      <c r="AD55" s="173">
        <v>0</v>
      </c>
      <c r="AE55" s="218">
        <v>0</v>
      </c>
      <c r="AF55" s="177"/>
      <c r="AG55" s="178"/>
      <c r="AH55" s="178"/>
      <c r="AI55" s="178"/>
      <c r="AJ55" s="178"/>
      <c r="AK55" s="178"/>
      <c r="AL55" s="178"/>
      <c r="AM55" s="178"/>
      <c r="AN55" s="178"/>
      <c r="AO55" s="178"/>
      <c r="AP55" s="178"/>
      <c r="AQ55" s="178"/>
      <c r="AR55" s="178"/>
      <c r="AS55" s="178"/>
      <c r="AT55" s="178"/>
      <c r="AU55" s="178"/>
      <c r="AV55" s="178"/>
      <c r="AW55" s="178"/>
      <c r="AX55" s="178"/>
      <c r="AY55" s="178"/>
      <c r="AZ55" s="178"/>
      <c r="BA55" s="178"/>
      <c r="BB55" s="178"/>
      <c r="BC55" s="178"/>
      <c r="BD55" s="178"/>
      <c r="BE55" s="178"/>
      <c r="BF55" s="178"/>
      <c r="BG55" s="178"/>
      <c r="BH55" s="178"/>
      <c r="BI55" s="178"/>
      <c r="BJ55" s="178"/>
    </row>
    <row r="56" spans="1:62" ht="15.75" customHeight="1" outlineLevel="4">
      <c r="A56" s="147"/>
      <c r="B56" s="147"/>
      <c r="C56" s="147">
        <v>5</v>
      </c>
      <c r="D56" s="174" t="s">
        <v>1692</v>
      </c>
      <c r="E56" s="148"/>
      <c r="F56" s="148"/>
      <c r="G56" s="148"/>
      <c r="H56" s="148"/>
      <c r="I56" s="148" t="s">
        <v>1631</v>
      </c>
      <c r="J56" s="148"/>
      <c r="K56" s="148"/>
      <c r="L56" s="148"/>
      <c r="M56" s="148"/>
      <c r="N56" s="148"/>
      <c r="O56" s="148"/>
      <c r="P56" s="149"/>
      <c r="Q56" s="149"/>
      <c r="R56" s="148"/>
      <c r="S56" s="150">
        <v>0</v>
      </c>
      <c r="T56" s="150">
        <v>0</v>
      </c>
      <c r="U56" s="150">
        <v>0</v>
      </c>
      <c r="V56" s="150">
        <v>0</v>
      </c>
      <c r="W56" s="149"/>
      <c r="X56" s="149"/>
      <c r="Y56" s="151">
        <v>0</v>
      </c>
      <c r="Z56" s="152">
        <v>0</v>
      </c>
      <c r="AA56" s="150"/>
      <c r="AB56" s="148" t="s">
        <v>1603</v>
      </c>
      <c r="AC56" s="242"/>
      <c r="AD56" s="173">
        <v>0</v>
      </c>
      <c r="AE56" s="218">
        <v>0</v>
      </c>
      <c r="AF56" s="177"/>
      <c r="AG56" s="178"/>
      <c r="AH56" s="178"/>
      <c r="AI56" s="178"/>
      <c r="AJ56" s="178"/>
      <c r="AK56" s="178"/>
      <c r="AL56" s="178"/>
      <c r="AM56" s="178"/>
      <c r="AN56" s="178"/>
      <c r="AO56" s="178"/>
      <c r="AP56" s="178"/>
      <c r="AQ56" s="178"/>
      <c r="AR56" s="178"/>
      <c r="AS56" s="178"/>
      <c r="AT56" s="178"/>
      <c r="AU56" s="178"/>
      <c r="AV56" s="178"/>
      <c r="AW56" s="178"/>
      <c r="AX56" s="178"/>
      <c r="AY56" s="178"/>
      <c r="AZ56" s="178"/>
      <c r="BA56" s="178"/>
      <c r="BB56" s="178"/>
      <c r="BC56" s="178"/>
      <c r="BD56" s="178"/>
      <c r="BE56" s="178"/>
      <c r="BF56" s="178"/>
      <c r="BG56" s="178"/>
      <c r="BH56" s="178"/>
      <c r="BI56" s="178"/>
      <c r="BJ56" s="178"/>
    </row>
    <row r="57" spans="1:62" ht="15.75" customHeight="1" outlineLevel="4">
      <c r="A57" s="147"/>
      <c r="B57" s="147"/>
      <c r="C57" s="147">
        <v>5</v>
      </c>
      <c r="D57" s="174" t="s">
        <v>1693</v>
      </c>
      <c r="E57" s="148"/>
      <c r="F57" s="148"/>
      <c r="G57" s="148"/>
      <c r="H57" s="148"/>
      <c r="I57" s="148" t="s">
        <v>1632</v>
      </c>
      <c r="J57" s="148"/>
      <c r="K57" s="148"/>
      <c r="L57" s="148"/>
      <c r="M57" s="148"/>
      <c r="N57" s="148"/>
      <c r="O57" s="148"/>
      <c r="P57" s="149"/>
      <c r="Q57" s="149"/>
      <c r="R57" s="148"/>
      <c r="S57" s="150">
        <v>0</v>
      </c>
      <c r="T57" s="150">
        <v>0</v>
      </c>
      <c r="U57" s="150">
        <v>0</v>
      </c>
      <c r="V57" s="150">
        <v>0</v>
      </c>
      <c r="W57" s="149"/>
      <c r="X57" s="149"/>
      <c r="Y57" s="151">
        <v>0</v>
      </c>
      <c r="Z57" s="152">
        <v>0</v>
      </c>
      <c r="AA57" s="150"/>
      <c r="AB57" s="148" t="s">
        <v>1603</v>
      </c>
      <c r="AC57" s="242"/>
      <c r="AD57" s="173">
        <v>0</v>
      </c>
      <c r="AE57" s="218">
        <v>0</v>
      </c>
      <c r="AF57" s="177"/>
      <c r="AG57" s="178"/>
      <c r="AH57" s="178"/>
      <c r="AI57" s="178"/>
      <c r="AJ57" s="178"/>
      <c r="AK57" s="178"/>
      <c r="AL57" s="178"/>
      <c r="AM57" s="178"/>
      <c r="AN57" s="178"/>
      <c r="AO57" s="178"/>
      <c r="AP57" s="178"/>
      <c r="AQ57" s="178"/>
      <c r="AR57" s="178"/>
      <c r="AS57" s="178"/>
      <c r="AT57" s="178"/>
      <c r="AU57" s="178"/>
      <c r="AV57" s="178"/>
      <c r="AW57" s="178"/>
      <c r="AX57" s="178"/>
      <c r="AY57" s="178"/>
      <c r="AZ57" s="178"/>
      <c r="BA57" s="178"/>
      <c r="BB57" s="178"/>
      <c r="BC57" s="178"/>
      <c r="BD57" s="178"/>
      <c r="BE57" s="178"/>
      <c r="BF57" s="178"/>
      <c r="BG57" s="178"/>
      <c r="BH57" s="178"/>
      <c r="BI57" s="178"/>
      <c r="BJ57" s="178"/>
    </row>
    <row r="58" spans="1:62" ht="15.75" customHeight="1" outlineLevel="3">
      <c r="A58" s="147"/>
      <c r="B58" s="147" t="s">
        <v>1367</v>
      </c>
      <c r="C58" s="147">
        <v>4</v>
      </c>
      <c r="D58" s="174" t="s">
        <v>1577</v>
      </c>
      <c r="E58" s="148"/>
      <c r="F58" s="234"/>
      <c r="G58" s="148"/>
      <c r="H58" s="148" t="s">
        <v>1521</v>
      </c>
      <c r="I58" s="148"/>
      <c r="J58" s="148"/>
      <c r="K58" s="148"/>
      <c r="L58" s="148"/>
      <c r="M58" s="148"/>
      <c r="N58" s="148"/>
      <c r="O58" s="148"/>
      <c r="P58" s="149"/>
      <c r="Q58" s="149"/>
      <c r="R58" s="148"/>
      <c r="S58" s="150">
        <v>0</v>
      </c>
      <c r="T58" s="150">
        <v>0</v>
      </c>
      <c r="U58" s="150">
        <v>0</v>
      </c>
      <c r="V58" s="150">
        <v>0</v>
      </c>
      <c r="W58" s="149"/>
      <c r="X58" s="149"/>
      <c r="Y58" s="151">
        <v>0</v>
      </c>
      <c r="Z58" s="152">
        <v>0</v>
      </c>
      <c r="AA58" s="150"/>
      <c r="AB58" s="148"/>
      <c r="AC58" s="242"/>
      <c r="AD58" s="173">
        <v>0</v>
      </c>
      <c r="AE58" s="218">
        <v>0</v>
      </c>
      <c r="AF58" s="177"/>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8"/>
      <c r="BJ58" s="178"/>
    </row>
    <row r="59" spans="1:62" ht="15.75" customHeight="1" outlineLevel="4">
      <c r="A59" s="147"/>
      <c r="B59" s="147"/>
      <c r="C59" s="147">
        <v>5</v>
      </c>
      <c r="D59" s="174" t="s">
        <v>1694</v>
      </c>
      <c r="E59" s="148"/>
      <c r="F59" s="234"/>
      <c r="G59" s="148"/>
      <c r="H59" s="148"/>
      <c r="I59" s="148" t="s">
        <v>1634</v>
      </c>
      <c r="J59" s="148"/>
      <c r="K59" s="148"/>
      <c r="L59" s="148"/>
      <c r="M59" s="148"/>
      <c r="N59" s="148"/>
      <c r="O59" s="148"/>
      <c r="P59" s="149"/>
      <c r="Q59" s="149"/>
      <c r="R59" s="148"/>
      <c r="S59" s="150">
        <v>0</v>
      </c>
      <c r="T59" s="150">
        <v>0</v>
      </c>
      <c r="U59" s="150">
        <v>0</v>
      </c>
      <c r="V59" s="150">
        <v>0</v>
      </c>
      <c r="W59" s="149"/>
      <c r="X59" s="149"/>
      <c r="Y59" s="151">
        <v>0</v>
      </c>
      <c r="Z59" s="152">
        <v>0</v>
      </c>
      <c r="AA59" s="150"/>
      <c r="AB59" s="148" t="s">
        <v>1603</v>
      </c>
      <c r="AC59" s="242"/>
      <c r="AD59" s="173">
        <v>0</v>
      </c>
      <c r="AE59" s="218">
        <v>0</v>
      </c>
      <c r="AF59" s="177"/>
      <c r="AG59" s="178"/>
      <c r="AH59" s="178"/>
      <c r="AI59" s="178"/>
      <c r="AJ59" s="178"/>
      <c r="AK59" s="178"/>
      <c r="AL59" s="178"/>
      <c r="AM59" s="178"/>
      <c r="AN59" s="178"/>
      <c r="AO59" s="178"/>
      <c r="AP59" s="178"/>
      <c r="AQ59" s="178"/>
      <c r="AR59" s="178"/>
      <c r="AS59" s="178"/>
      <c r="AT59" s="178"/>
      <c r="AU59" s="178"/>
      <c r="AV59" s="178"/>
      <c r="AW59" s="178"/>
      <c r="AX59" s="178"/>
      <c r="AY59" s="178"/>
      <c r="AZ59" s="178"/>
      <c r="BA59" s="178"/>
      <c r="BB59" s="178"/>
      <c r="BC59" s="178"/>
      <c r="BD59" s="178"/>
      <c r="BE59" s="178"/>
      <c r="BF59" s="178"/>
      <c r="BG59" s="178"/>
      <c r="BH59" s="178"/>
      <c r="BI59" s="178"/>
      <c r="BJ59" s="178"/>
    </row>
    <row r="60" spans="1:62" ht="15.75" customHeight="1" outlineLevel="4">
      <c r="A60" s="147"/>
      <c r="B60" s="147"/>
      <c r="C60" s="147">
        <v>5</v>
      </c>
      <c r="D60" s="174" t="s">
        <v>1695</v>
      </c>
      <c r="E60" s="148"/>
      <c r="F60" s="234"/>
      <c r="G60" s="148"/>
      <c r="H60" s="148"/>
      <c r="I60" s="148" t="s">
        <v>1635</v>
      </c>
      <c r="J60" s="148"/>
      <c r="K60" s="148"/>
      <c r="L60" s="148"/>
      <c r="M60" s="148"/>
      <c r="N60" s="148"/>
      <c r="O60" s="148"/>
      <c r="P60" s="149"/>
      <c r="Q60" s="149"/>
      <c r="R60" s="148"/>
      <c r="S60" s="150">
        <v>0</v>
      </c>
      <c r="T60" s="150">
        <v>0</v>
      </c>
      <c r="U60" s="150">
        <v>0</v>
      </c>
      <c r="V60" s="150">
        <v>0</v>
      </c>
      <c r="W60" s="149"/>
      <c r="X60" s="149"/>
      <c r="Y60" s="151">
        <v>0</v>
      </c>
      <c r="Z60" s="152">
        <v>0</v>
      </c>
      <c r="AA60" s="150"/>
      <c r="AB60" s="148" t="s">
        <v>1603</v>
      </c>
      <c r="AC60" s="242"/>
      <c r="AD60" s="173">
        <v>0</v>
      </c>
      <c r="AE60" s="218">
        <v>0</v>
      </c>
      <c r="AF60" s="177"/>
      <c r="AG60" s="178"/>
      <c r="AH60" s="178"/>
      <c r="AI60" s="178"/>
      <c r="AJ60" s="178"/>
      <c r="AK60" s="178"/>
      <c r="AL60" s="178"/>
      <c r="AM60" s="178"/>
      <c r="AN60" s="178"/>
      <c r="AO60" s="178"/>
      <c r="AP60" s="178"/>
      <c r="AQ60" s="178"/>
      <c r="AR60" s="178"/>
      <c r="AS60" s="178"/>
      <c r="AT60" s="178"/>
      <c r="AU60" s="178"/>
      <c r="AV60" s="178"/>
      <c r="AW60" s="178"/>
      <c r="AX60" s="178"/>
      <c r="AY60" s="178"/>
      <c r="AZ60" s="178"/>
      <c r="BA60" s="178"/>
      <c r="BB60" s="178"/>
      <c r="BC60" s="178"/>
      <c r="BD60" s="178"/>
      <c r="BE60" s="178"/>
      <c r="BF60" s="178"/>
      <c r="BG60" s="178"/>
      <c r="BH60" s="178"/>
      <c r="BI60" s="178"/>
      <c r="BJ60" s="178"/>
    </row>
    <row r="61" spans="1:62" ht="15.75" customHeight="1" outlineLevel="4">
      <c r="A61" s="147"/>
      <c r="B61" s="147"/>
      <c r="C61" s="147">
        <v>5</v>
      </c>
      <c r="D61" s="174" t="s">
        <v>1696</v>
      </c>
      <c r="E61" s="148"/>
      <c r="F61" s="234"/>
      <c r="G61" s="148"/>
      <c r="H61" s="148"/>
      <c r="I61" s="148" t="s">
        <v>1636</v>
      </c>
      <c r="J61" s="148"/>
      <c r="K61" s="148"/>
      <c r="L61" s="148"/>
      <c r="M61" s="148"/>
      <c r="N61" s="148"/>
      <c r="O61" s="148"/>
      <c r="P61" s="149"/>
      <c r="Q61" s="149"/>
      <c r="R61" s="148"/>
      <c r="S61" s="150">
        <v>0</v>
      </c>
      <c r="T61" s="150">
        <v>0</v>
      </c>
      <c r="U61" s="150">
        <v>0</v>
      </c>
      <c r="V61" s="150">
        <v>0</v>
      </c>
      <c r="W61" s="149"/>
      <c r="X61" s="149"/>
      <c r="Y61" s="151">
        <v>0</v>
      </c>
      <c r="Z61" s="152">
        <v>0</v>
      </c>
      <c r="AA61" s="150"/>
      <c r="AB61" s="148" t="s">
        <v>1603</v>
      </c>
      <c r="AC61" s="242"/>
      <c r="AD61" s="173">
        <v>0</v>
      </c>
      <c r="AE61" s="218">
        <v>0</v>
      </c>
      <c r="AF61" s="177"/>
      <c r="AG61" s="178"/>
      <c r="AH61" s="178"/>
      <c r="AI61" s="178"/>
      <c r="AJ61" s="178"/>
      <c r="AK61" s="178"/>
      <c r="AL61" s="178"/>
      <c r="AM61" s="178"/>
      <c r="AN61" s="178"/>
      <c r="AO61" s="178"/>
      <c r="AP61" s="178"/>
      <c r="AQ61" s="178"/>
      <c r="AR61" s="178"/>
      <c r="AS61" s="178"/>
      <c r="AT61" s="178"/>
      <c r="AU61" s="178"/>
      <c r="AV61" s="178"/>
      <c r="AW61" s="178"/>
      <c r="AX61" s="178"/>
      <c r="AY61" s="178"/>
      <c r="AZ61" s="178"/>
      <c r="BA61" s="178"/>
      <c r="BB61" s="178"/>
      <c r="BC61" s="178"/>
      <c r="BD61" s="178"/>
      <c r="BE61" s="178"/>
      <c r="BF61" s="178"/>
      <c r="BG61" s="178"/>
      <c r="BH61" s="178"/>
      <c r="BI61" s="178"/>
      <c r="BJ61" s="178"/>
    </row>
    <row r="62" spans="1:62" ht="15.75" customHeight="1" outlineLevel="4">
      <c r="A62" s="147"/>
      <c r="B62" s="147"/>
      <c r="C62" s="147">
        <v>5</v>
      </c>
      <c r="D62" s="174" t="s">
        <v>1697</v>
      </c>
      <c r="E62" s="148"/>
      <c r="F62" s="234"/>
      <c r="G62" s="148"/>
      <c r="H62" s="148"/>
      <c r="I62" s="148" t="s">
        <v>1637</v>
      </c>
      <c r="J62" s="148"/>
      <c r="K62" s="148"/>
      <c r="L62" s="148"/>
      <c r="M62" s="148"/>
      <c r="N62" s="148"/>
      <c r="O62" s="148"/>
      <c r="P62" s="149"/>
      <c r="Q62" s="149"/>
      <c r="R62" s="148"/>
      <c r="S62" s="150">
        <v>0</v>
      </c>
      <c r="T62" s="150">
        <v>0</v>
      </c>
      <c r="U62" s="150">
        <v>0</v>
      </c>
      <c r="V62" s="150">
        <v>0</v>
      </c>
      <c r="W62" s="149"/>
      <c r="X62" s="149"/>
      <c r="Y62" s="151">
        <v>0</v>
      </c>
      <c r="Z62" s="152">
        <v>0</v>
      </c>
      <c r="AA62" s="150"/>
      <c r="AB62" s="148" t="s">
        <v>1603</v>
      </c>
      <c r="AC62" s="242"/>
      <c r="AD62" s="173">
        <v>0</v>
      </c>
      <c r="AE62" s="218">
        <v>0</v>
      </c>
      <c r="AF62" s="177"/>
      <c r="AG62" s="178"/>
      <c r="AH62" s="178"/>
      <c r="AI62" s="178"/>
      <c r="AJ62" s="178"/>
      <c r="AK62" s="178"/>
      <c r="AL62" s="178"/>
      <c r="AM62" s="178"/>
      <c r="AN62" s="178"/>
      <c r="AO62" s="178"/>
      <c r="AP62" s="178"/>
      <c r="AQ62" s="178"/>
      <c r="AR62" s="178"/>
      <c r="AS62" s="178"/>
      <c r="AT62" s="178"/>
      <c r="AU62" s="178"/>
      <c r="AV62" s="178"/>
      <c r="AW62" s="178"/>
      <c r="AX62" s="178"/>
      <c r="AY62" s="178"/>
      <c r="AZ62" s="178"/>
      <c r="BA62" s="178"/>
      <c r="BB62" s="178"/>
      <c r="BC62" s="178"/>
      <c r="BD62" s="178"/>
      <c r="BE62" s="178"/>
      <c r="BF62" s="178"/>
      <c r="BG62" s="178"/>
      <c r="BH62" s="178"/>
      <c r="BI62" s="178"/>
      <c r="BJ62" s="178"/>
    </row>
    <row r="63" spans="1:62" ht="15.75" customHeight="1" outlineLevel="4">
      <c r="A63" s="147"/>
      <c r="B63" s="147"/>
      <c r="C63" s="147">
        <v>5</v>
      </c>
      <c r="D63" s="174" t="s">
        <v>1698</v>
      </c>
      <c r="E63" s="148"/>
      <c r="F63" s="234"/>
      <c r="G63" s="148"/>
      <c r="H63" s="148"/>
      <c r="I63" s="148" t="s">
        <v>1638</v>
      </c>
      <c r="J63" s="148"/>
      <c r="K63" s="148"/>
      <c r="L63" s="148"/>
      <c r="M63" s="148"/>
      <c r="N63" s="148"/>
      <c r="O63" s="148"/>
      <c r="P63" s="149"/>
      <c r="Q63" s="149"/>
      <c r="R63" s="148"/>
      <c r="S63" s="150">
        <v>0</v>
      </c>
      <c r="T63" s="150">
        <v>0</v>
      </c>
      <c r="U63" s="150">
        <v>0</v>
      </c>
      <c r="V63" s="150">
        <v>0</v>
      </c>
      <c r="W63" s="149"/>
      <c r="X63" s="149"/>
      <c r="Y63" s="151">
        <v>0</v>
      </c>
      <c r="Z63" s="152">
        <v>0</v>
      </c>
      <c r="AA63" s="150"/>
      <c r="AB63" s="148" t="s">
        <v>1603</v>
      </c>
      <c r="AC63" s="242"/>
      <c r="AD63" s="173">
        <v>0</v>
      </c>
      <c r="AE63" s="218">
        <v>0</v>
      </c>
      <c r="AF63" s="177"/>
      <c r="AG63" s="178"/>
      <c r="AH63" s="178"/>
      <c r="AI63" s="178"/>
      <c r="AJ63" s="178"/>
      <c r="AK63" s="178"/>
      <c r="AL63" s="178"/>
      <c r="AM63" s="178"/>
      <c r="AN63" s="178"/>
      <c r="AO63" s="178"/>
      <c r="AP63" s="178"/>
      <c r="AQ63" s="178"/>
      <c r="AR63" s="178"/>
      <c r="AS63" s="178"/>
      <c r="AT63" s="178"/>
      <c r="AU63" s="178"/>
      <c r="AV63" s="178"/>
      <c r="AW63" s="178"/>
      <c r="AX63" s="178"/>
      <c r="AY63" s="178"/>
      <c r="AZ63" s="178"/>
      <c r="BA63" s="178"/>
      <c r="BB63" s="178"/>
      <c r="BC63" s="178"/>
      <c r="BD63" s="178"/>
      <c r="BE63" s="178"/>
      <c r="BF63" s="178"/>
      <c r="BG63" s="178"/>
      <c r="BH63" s="178"/>
      <c r="BI63" s="178"/>
      <c r="BJ63" s="178"/>
    </row>
    <row r="64" spans="1:62" ht="15.75" customHeight="1" outlineLevel="4">
      <c r="A64" s="147"/>
      <c r="B64" s="147"/>
      <c r="C64" s="147">
        <v>5</v>
      </c>
      <c r="D64" s="174" t="s">
        <v>1699</v>
      </c>
      <c r="E64" s="148"/>
      <c r="F64" s="148"/>
      <c r="G64" s="148"/>
      <c r="H64" s="148"/>
      <c r="I64" s="148" t="s">
        <v>1633</v>
      </c>
      <c r="J64" s="148"/>
      <c r="K64" s="148"/>
      <c r="L64" s="148"/>
      <c r="M64" s="148"/>
      <c r="N64" s="148"/>
      <c r="O64" s="148"/>
      <c r="P64" s="149"/>
      <c r="Q64" s="149"/>
      <c r="R64" s="148"/>
      <c r="S64" s="150">
        <v>0</v>
      </c>
      <c r="T64" s="150">
        <v>0</v>
      </c>
      <c r="U64" s="150">
        <v>0</v>
      </c>
      <c r="V64" s="150">
        <v>0</v>
      </c>
      <c r="W64" s="149"/>
      <c r="X64" s="149"/>
      <c r="Y64" s="151">
        <v>0</v>
      </c>
      <c r="Z64" s="152">
        <v>0</v>
      </c>
      <c r="AA64" s="150"/>
      <c r="AB64" s="148" t="s">
        <v>1603</v>
      </c>
      <c r="AC64" s="242"/>
      <c r="AD64" s="173">
        <v>0</v>
      </c>
      <c r="AE64" s="218">
        <v>0</v>
      </c>
      <c r="AF64" s="177"/>
      <c r="AG64" s="178"/>
      <c r="AH64" s="178"/>
      <c r="AI64" s="178"/>
      <c r="AJ64" s="178"/>
      <c r="AK64" s="178"/>
      <c r="AL64" s="178"/>
      <c r="AM64" s="178"/>
      <c r="AN64" s="178"/>
      <c r="AO64" s="178"/>
      <c r="AP64" s="178"/>
      <c r="AQ64" s="178"/>
      <c r="AR64" s="178"/>
      <c r="AS64" s="178"/>
      <c r="AT64" s="178"/>
      <c r="AU64" s="178"/>
      <c r="AV64" s="178"/>
      <c r="AW64" s="178"/>
      <c r="AX64" s="178"/>
      <c r="AY64" s="178"/>
      <c r="AZ64" s="178"/>
      <c r="BA64" s="178"/>
      <c r="BB64" s="178"/>
      <c r="BC64" s="178"/>
      <c r="BD64" s="178"/>
      <c r="BE64" s="178"/>
      <c r="BF64" s="178"/>
      <c r="BG64" s="178"/>
      <c r="BH64" s="178"/>
      <c r="BI64" s="178"/>
      <c r="BJ64" s="178"/>
    </row>
    <row r="65" spans="1:62" ht="15.75" customHeight="1" outlineLevel="3">
      <c r="A65" s="147"/>
      <c r="B65" s="147" t="s">
        <v>1367</v>
      </c>
      <c r="C65" s="147">
        <v>4</v>
      </c>
      <c r="D65" s="174" t="s">
        <v>1578</v>
      </c>
      <c r="E65" s="148"/>
      <c r="F65" s="148"/>
      <c r="G65" s="148"/>
      <c r="H65" s="148" t="s">
        <v>1656</v>
      </c>
      <c r="I65" s="148"/>
      <c r="J65" s="148"/>
      <c r="K65" s="148"/>
      <c r="L65" s="148"/>
      <c r="M65" s="148"/>
      <c r="N65" s="148"/>
      <c r="O65" s="148"/>
      <c r="P65" s="149"/>
      <c r="Q65" s="149"/>
      <c r="R65" s="148"/>
      <c r="S65" s="150">
        <v>0</v>
      </c>
      <c r="T65" s="150">
        <v>0</v>
      </c>
      <c r="U65" s="150">
        <v>0</v>
      </c>
      <c r="V65" s="150">
        <v>0</v>
      </c>
      <c r="W65" s="149"/>
      <c r="X65" s="149"/>
      <c r="Y65" s="151">
        <v>0</v>
      </c>
      <c r="Z65" s="152">
        <v>0</v>
      </c>
      <c r="AA65" s="150"/>
      <c r="AB65" s="148"/>
      <c r="AC65" s="242"/>
      <c r="AD65" s="173">
        <v>0</v>
      </c>
      <c r="AE65" s="218">
        <v>0</v>
      </c>
      <c r="AF65" s="177"/>
      <c r="AG65" s="178"/>
      <c r="AH65" s="178"/>
      <c r="AI65" s="178"/>
      <c r="AJ65" s="178"/>
      <c r="AK65" s="178"/>
      <c r="AL65" s="178"/>
      <c r="AM65" s="178"/>
      <c r="AN65" s="178"/>
      <c r="AO65" s="178"/>
      <c r="AP65" s="178"/>
      <c r="AQ65" s="178"/>
      <c r="AR65" s="178"/>
      <c r="AS65" s="178"/>
      <c r="AT65" s="178"/>
      <c r="AU65" s="178"/>
      <c r="AV65" s="178"/>
      <c r="AW65" s="178"/>
      <c r="AX65" s="178"/>
      <c r="AY65" s="178"/>
      <c r="AZ65" s="178"/>
      <c r="BA65" s="178"/>
      <c r="BB65" s="178"/>
      <c r="BC65" s="178"/>
      <c r="BD65" s="178"/>
      <c r="BE65" s="178"/>
      <c r="BF65" s="178"/>
      <c r="BG65" s="178"/>
      <c r="BH65" s="178"/>
      <c r="BI65" s="178"/>
      <c r="BJ65" s="178"/>
    </row>
    <row r="66" spans="1:62" ht="15.75" customHeight="1" outlineLevel="4">
      <c r="A66" s="147"/>
      <c r="B66" s="147"/>
      <c r="C66" s="147">
        <v>5</v>
      </c>
      <c r="D66" s="174" t="s">
        <v>1700</v>
      </c>
      <c r="E66" s="148"/>
      <c r="F66" s="148"/>
      <c r="G66" s="148"/>
      <c r="H66" s="148"/>
      <c r="I66" s="148" t="s">
        <v>1657</v>
      </c>
      <c r="J66" s="148"/>
      <c r="K66" s="148"/>
      <c r="L66" s="148"/>
      <c r="M66" s="148"/>
      <c r="N66" s="148"/>
      <c r="O66" s="148"/>
      <c r="P66" s="149"/>
      <c r="Q66" s="149"/>
      <c r="R66" s="148"/>
      <c r="S66" s="150">
        <v>0</v>
      </c>
      <c r="T66" s="150">
        <v>0</v>
      </c>
      <c r="U66" s="150">
        <v>0</v>
      </c>
      <c r="V66" s="150">
        <v>0</v>
      </c>
      <c r="W66" s="149"/>
      <c r="X66" s="149"/>
      <c r="Y66" s="151">
        <v>0</v>
      </c>
      <c r="Z66" s="152">
        <v>0</v>
      </c>
      <c r="AA66" s="150"/>
      <c r="AB66" s="148" t="s">
        <v>1603</v>
      </c>
      <c r="AC66" s="242"/>
      <c r="AD66" s="173">
        <v>0</v>
      </c>
      <c r="AE66" s="218">
        <v>0</v>
      </c>
      <c r="AF66" s="177"/>
      <c r="AG66" s="178"/>
      <c r="AH66" s="178"/>
      <c r="AI66" s="178"/>
      <c r="AJ66" s="178"/>
      <c r="AK66" s="178"/>
      <c r="AL66" s="178"/>
      <c r="AM66" s="178"/>
      <c r="AN66" s="178"/>
      <c r="AO66" s="178"/>
      <c r="AP66" s="178"/>
      <c r="AQ66" s="178"/>
      <c r="AR66" s="178"/>
      <c r="AS66" s="178"/>
      <c r="AT66" s="178"/>
      <c r="AU66" s="178"/>
      <c r="AV66" s="178"/>
      <c r="AW66" s="178"/>
      <c r="AX66" s="178"/>
      <c r="AY66" s="178"/>
      <c r="AZ66" s="178"/>
      <c r="BA66" s="178"/>
      <c r="BB66" s="178"/>
      <c r="BC66" s="178"/>
      <c r="BD66" s="178"/>
      <c r="BE66" s="178"/>
      <c r="BF66" s="178"/>
      <c r="BG66" s="178"/>
      <c r="BH66" s="178"/>
      <c r="BI66" s="178"/>
      <c r="BJ66" s="178"/>
    </row>
    <row r="67" spans="1:62" ht="15.75" customHeight="1" outlineLevel="4">
      <c r="A67" s="147"/>
      <c r="B67" s="147"/>
      <c r="C67" s="147">
        <v>5</v>
      </c>
      <c r="D67" s="174" t="s">
        <v>1701</v>
      </c>
      <c r="E67" s="148"/>
      <c r="F67" s="148"/>
      <c r="G67" s="148"/>
      <c r="H67" s="148"/>
      <c r="I67" s="148" t="s">
        <v>1658</v>
      </c>
      <c r="J67" s="148"/>
      <c r="K67" s="148"/>
      <c r="L67" s="148"/>
      <c r="M67" s="148"/>
      <c r="N67" s="148"/>
      <c r="O67" s="148"/>
      <c r="P67" s="149"/>
      <c r="Q67" s="149"/>
      <c r="R67" s="148"/>
      <c r="S67" s="150">
        <v>0</v>
      </c>
      <c r="T67" s="150">
        <v>0</v>
      </c>
      <c r="U67" s="150">
        <v>0</v>
      </c>
      <c r="V67" s="150">
        <v>0</v>
      </c>
      <c r="W67" s="149"/>
      <c r="X67" s="149"/>
      <c r="Y67" s="151">
        <v>0</v>
      </c>
      <c r="Z67" s="152">
        <v>0</v>
      </c>
      <c r="AA67" s="150"/>
      <c r="AB67" s="148" t="s">
        <v>1603</v>
      </c>
      <c r="AC67" s="242"/>
      <c r="AD67" s="173">
        <v>0</v>
      </c>
      <c r="AE67" s="218">
        <v>0</v>
      </c>
      <c r="AF67" s="177"/>
      <c r="AG67" s="178"/>
      <c r="AH67" s="178"/>
      <c r="AI67" s="178"/>
      <c r="AJ67" s="178"/>
      <c r="AK67" s="178"/>
      <c r="AL67" s="178"/>
      <c r="AM67" s="178"/>
      <c r="AN67" s="178"/>
      <c r="AO67" s="178"/>
      <c r="AP67" s="178"/>
      <c r="AQ67" s="178"/>
      <c r="AR67" s="178"/>
      <c r="AS67" s="178"/>
      <c r="AT67" s="178"/>
      <c r="AU67" s="178"/>
      <c r="AV67" s="178"/>
      <c r="AW67" s="178"/>
      <c r="AX67" s="178"/>
      <c r="AY67" s="178"/>
      <c r="AZ67" s="178"/>
      <c r="BA67" s="178"/>
      <c r="BB67" s="178"/>
      <c r="BC67" s="178"/>
      <c r="BD67" s="178"/>
      <c r="BE67" s="178"/>
      <c r="BF67" s="178"/>
      <c r="BG67" s="178"/>
      <c r="BH67" s="178"/>
      <c r="BI67" s="178"/>
      <c r="BJ67" s="178"/>
    </row>
    <row r="68" spans="1:62" ht="15.75" customHeight="1" outlineLevel="4">
      <c r="A68" s="147"/>
      <c r="B68" s="147"/>
      <c r="C68" s="147">
        <v>5</v>
      </c>
      <c r="D68" s="174" t="s">
        <v>1702</v>
      </c>
      <c r="E68" s="148"/>
      <c r="F68" s="148"/>
      <c r="G68" s="148"/>
      <c r="H68" s="148"/>
      <c r="I68" s="148" t="s">
        <v>1659</v>
      </c>
      <c r="J68" s="148"/>
      <c r="K68" s="148"/>
      <c r="L68" s="148"/>
      <c r="M68" s="148"/>
      <c r="N68" s="148"/>
      <c r="O68" s="148"/>
      <c r="P68" s="149"/>
      <c r="Q68" s="149"/>
      <c r="R68" s="148"/>
      <c r="S68" s="150">
        <v>0</v>
      </c>
      <c r="T68" s="150">
        <v>0</v>
      </c>
      <c r="U68" s="150">
        <v>0</v>
      </c>
      <c r="V68" s="150">
        <v>0</v>
      </c>
      <c r="W68" s="149"/>
      <c r="X68" s="149"/>
      <c r="Y68" s="151">
        <v>0</v>
      </c>
      <c r="Z68" s="152">
        <v>0</v>
      </c>
      <c r="AA68" s="150"/>
      <c r="AB68" s="148" t="s">
        <v>1603</v>
      </c>
      <c r="AC68" s="242"/>
      <c r="AD68" s="173">
        <v>0</v>
      </c>
      <c r="AE68" s="218">
        <v>0</v>
      </c>
      <c r="AF68" s="177"/>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row>
    <row r="69" spans="1:62" ht="15.75" customHeight="1" outlineLevel="3">
      <c r="A69" s="147"/>
      <c r="B69" s="147" t="s">
        <v>1367</v>
      </c>
      <c r="C69" s="147">
        <v>4</v>
      </c>
      <c r="D69" s="174" t="s">
        <v>1579</v>
      </c>
      <c r="E69" s="148"/>
      <c r="F69" s="148"/>
      <c r="G69" s="148"/>
      <c r="H69" s="148" t="s">
        <v>1518</v>
      </c>
      <c r="I69" s="148"/>
      <c r="J69" s="148"/>
      <c r="K69" s="148"/>
      <c r="L69" s="148"/>
      <c r="M69" s="148"/>
      <c r="N69" s="148"/>
      <c r="O69" s="148"/>
      <c r="P69" s="149"/>
      <c r="Q69" s="149"/>
      <c r="R69" s="148"/>
      <c r="S69" s="150">
        <v>0</v>
      </c>
      <c r="T69" s="150">
        <v>0</v>
      </c>
      <c r="U69" s="150">
        <v>0</v>
      </c>
      <c r="V69" s="150">
        <v>0</v>
      </c>
      <c r="W69" s="149"/>
      <c r="X69" s="149"/>
      <c r="Y69" s="151">
        <v>0</v>
      </c>
      <c r="Z69" s="152">
        <v>0</v>
      </c>
      <c r="AA69" s="150"/>
      <c r="AB69" s="148"/>
      <c r="AC69" s="242"/>
      <c r="AD69" s="173">
        <v>0</v>
      </c>
      <c r="AE69" s="218">
        <v>0</v>
      </c>
      <c r="AF69" s="177"/>
      <c r="AG69" s="178"/>
      <c r="AH69" s="178"/>
      <c r="AI69" s="178"/>
      <c r="AJ69" s="178"/>
      <c r="AK69" s="178"/>
      <c r="AL69" s="178"/>
      <c r="AM69" s="178"/>
      <c r="AN69" s="178"/>
      <c r="AO69" s="178"/>
      <c r="AP69" s="178"/>
      <c r="AQ69" s="178"/>
      <c r="AR69" s="178"/>
      <c r="AS69" s="178"/>
      <c r="AT69" s="178"/>
      <c r="AU69" s="178"/>
      <c r="AV69" s="178"/>
      <c r="AW69" s="178"/>
      <c r="AX69" s="178"/>
      <c r="AY69" s="178"/>
      <c r="AZ69" s="178"/>
      <c r="BA69" s="178"/>
      <c r="BB69" s="178"/>
      <c r="BC69" s="178"/>
      <c r="BD69" s="178"/>
      <c r="BE69" s="178"/>
      <c r="BF69" s="178"/>
      <c r="BG69" s="178"/>
      <c r="BH69" s="178"/>
      <c r="BI69" s="178"/>
      <c r="BJ69" s="178"/>
    </row>
    <row r="70" spans="1:62" ht="15.75" customHeight="1" outlineLevel="4">
      <c r="A70" s="147"/>
      <c r="B70" s="147"/>
      <c r="C70" s="147">
        <v>5</v>
      </c>
      <c r="D70" s="174" t="s">
        <v>1703</v>
      </c>
      <c r="E70" s="148"/>
      <c r="F70" s="148"/>
      <c r="G70" s="148"/>
      <c r="H70" s="148"/>
      <c r="I70" s="148" t="s">
        <v>1639</v>
      </c>
      <c r="J70" s="148"/>
      <c r="K70" s="148"/>
      <c r="L70" s="148"/>
      <c r="M70" s="148"/>
      <c r="N70" s="148"/>
      <c r="O70" s="148"/>
      <c r="P70" s="149"/>
      <c r="Q70" s="149"/>
      <c r="R70" s="148"/>
      <c r="S70" s="150">
        <v>0</v>
      </c>
      <c r="T70" s="150">
        <v>0</v>
      </c>
      <c r="U70" s="150">
        <v>0</v>
      </c>
      <c r="V70" s="150">
        <v>0</v>
      </c>
      <c r="W70" s="149"/>
      <c r="X70" s="149"/>
      <c r="Y70" s="151">
        <v>0</v>
      </c>
      <c r="Z70" s="152">
        <v>0</v>
      </c>
      <c r="AA70" s="150"/>
      <c r="AB70" s="148" t="s">
        <v>1603</v>
      </c>
      <c r="AC70" s="242"/>
      <c r="AD70" s="173">
        <v>0</v>
      </c>
      <c r="AE70" s="218">
        <v>0</v>
      </c>
      <c r="AF70" s="177"/>
      <c r="AG70" s="178"/>
      <c r="AH70" s="178"/>
      <c r="AI70" s="178"/>
      <c r="AJ70" s="178"/>
      <c r="AK70" s="178"/>
      <c r="AL70" s="178"/>
      <c r="AM70" s="178"/>
      <c r="AN70" s="178"/>
      <c r="AO70" s="178"/>
      <c r="AP70" s="178"/>
      <c r="AQ70" s="178"/>
      <c r="AR70" s="178"/>
      <c r="AS70" s="178"/>
      <c r="AT70" s="178"/>
      <c r="AU70" s="178"/>
      <c r="AV70" s="178"/>
      <c r="AW70" s="178"/>
      <c r="AX70" s="178"/>
      <c r="AY70" s="178"/>
      <c r="AZ70" s="178"/>
      <c r="BA70" s="178"/>
      <c r="BB70" s="178"/>
      <c r="BC70" s="178"/>
      <c r="BD70" s="178"/>
      <c r="BE70" s="178"/>
      <c r="BF70" s="178"/>
      <c r="BG70" s="178"/>
      <c r="BH70" s="178"/>
      <c r="BI70" s="178"/>
      <c r="BJ70" s="178"/>
    </row>
    <row r="71" spans="1:62" ht="15.75" customHeight="1" outlineLevel="4">
      <c r="A71" s="147"/>
      <c r="B71" s="147"/>
      <c r="C71" s="147">
        <v>5</v>
      </c>
      <c r="D71" s="174" t="s">
        <v>1704</v>
      </c>
      <c r="E71" s="148"/>
      <c r="F71" s="148"/>
      <c r="G71" s="148"/>
      <c r="H71" s="148"/>
      <c r="I71" s="148" t="s">
        <v>1640</v>
      </c>
      <c r="J71" s="148"/>
      <c r="K71" s="148"/>
      <c r="L71" s="148"/>
      <c r="M71" s="148"/>
      <c r="N71" s="148"/>
      <c r="O71" s="148"/>
      <c r="P71" s="149"/>
      <c r="Q71" s="149"/>
      <c r="R71" s="148"/>
      <c r="S71" s="150">
        <v>0</v>
      </c>
      <c r="T71" s="150">
        <v>0</v>
      </c>
      <c r="U71" s="150">
        <v>0</v>
      </c>
      <c r="V71" s="150">
        <v>0</v>
      </c>
      <c r="W71" s="149"/>
      <c r="X71" s="149"/>
      <c r="Y71" s="151">
        <v>0</v>
      </c>
      <c r="Z71" s="152">
        <v>0</v>
      </c>
      <c r="AA71" s="150"/>
      <c r="AB71" s="148" t="s">
        <v>1603</v>
      </c>
      <c r="AC71" s="242"/>
      <c r="AD71" s="173">
        <v>0</v>
      </c>
      <c r="AE71" s="218">
        <v>0</v>
      </c>
      <c r="AF71" s="177"/>
      <c r="AG71" s="178"/>
      <c r="AH71" s="178"/>
      <c r="AI71" s="178"/>
      <c r="AJ71" s="178"/>
      <c r="AK71" s="178"/>
      <c r="AL71" s="178"/>
      <c r="AM71" s="178"/>
      <c r="AN71" s="178"/>
      <c r="AO71" s="178"/>
      <c r="AP71" s="178"/>
      <c r="AQ71" s="178"/>
      <c r="AR71" s="178"/>
      <c r="AS71" s="178"/>
      <c r="AT71" s="178"/>
      <c r="AU71" s="178"/>
      <c r="AV71" s="178"/>
      <c r="AW71" s="178"/>
      <c r="AX71" s="178"/>
      <c r="AY71" s="178"/>
      <c r="AZ71" s="178"/>
      <c r="BA71" s="178"/>
      <c r="BB71" s="178"/>
      <c r="BC71" s="178"/>
      <c r="BD71" s="178"/>
      <c r="BE71" s="178"/>
      <c r="BF71" s="178"/>
      <c r="BG71" s="178"/>
      <c r="BH71" s="178"/>
      <c r="BI71" s="178"/>
      <c r="BJ71" s="178"/>
    </row>
    <row r="72" spans="1:62" ht="15.75" customHeight="1" outlineLevel="3">
      <c r="A72" s="147"/>
      <c r="B72" s="147" t="s">
        <v>1367</v>
      </c>
      <c r="C72" s="147">
        <v>4</v>
      </c>
      <c r="D72" s="174" t="s">
        <v>1580</v>
      </c>
      <c r="E72" s="148"/>
      <c r="F72" s="148"/>
      <c r="G72" s="148"/>
      <c r="H72" s="148" t="s">
        <v>1650</v>
      </c>
      <c r="I72" s="148"/>
      <c r="J72" s="148"/>
      <c r="K72" s="148"/>
      <c r="L72" s="148"/>
      <c r="M72" s="148"/>
      <c r="N72" s="148"/>
      <c r="O72" s="148"/>
      <c r="P72" s="149"/>
      <c r="Q72" s="149"/>
      <c r="R72" s="148"/>
      <c r="S72" s="150">
        <v>0</v>
      </c>
      <c r="T72" s="150">
        <v>0</v>
      </c>
      <c r="U72" s="150">
        <v>0</v>
      </c>
      <c r="V72" s="150">
        <v>0</v>
      </c>
      <c r="W72" s="149"/>
      <c r="X72" s="149"/>
      <c r="Y72" s="151">
        <v>0</v>
      </c>
      <c r="Z72" s="152">
        <v>0</v>
      </c>
      <c r="AA72" s="150"/>
      <c r="AB72" s="148"/>
      <c r="AC72" s="242"/>
      <c r="AD72" s="173">
        <v>0</v>
      </c>
      <c r="AE72" s="218">
        <v>0</v>
      </c>
      <c r="AF72" s="177"/>
      <c r="AG72" s="178"/>
      <c r="AH72" s="178"/>
      <c r="AI72" s="178"/>
      <c r="AJ72" s="178"/>
      <c r="AK72" s="178"/>
      <c r="AL72" s="178"/>
      <c r="AM72" s="178"/>
      <c r="AN72" s="178"/>
      <c r="AO72" s="178"/>
      <c r="AP72" s="178"/>
      <c r="AQ72" s="178"/>
      <c r="AR72" s="178"/>
      <c r="AS72" s="178"/>
      <c r="AT72" s="178"/>
      <c r="AU72" s="178"/>
      <c r="AV72" s="178"/>
      <c r="AW72" s="178"/>
      <c r="AX72" s="178"/>
      <c r="AY72" s="178"/>
      <c r="AZ72" s="178"/>
      <c r="BA72" s="178"/>
      <c r="BB72" s="178"/>
      <c r="BC72" s="178"/>
      <c r="BD72" s="178"/>
      <c r="BE72" s="178"/>
      <c r="BF72" s="178"/>
      <c r="BG72" s="178"/>
      <c r="BH72" s="178"/>
      <c r="BI72" s="178"/>
      <c r="BJ72" s="178"/>
    </row>
    <row r="73" spans="1:62" ht="15.75" customHeight="1" outlineLevel="4">
      <c r="A73" s="147"/>
      <c r="B73" s="147"/>
      <c r="C73" s="147">
        <v>5</v>
      </c>
      <c r="D73" s="174" t="s">
        <v>1705</v>
      </c>
      <c r="E73" s="148"/>
      <c r="F73" s="148"/>
      <c r="G73" s="148"/>
      <c r="H73" s="148"/>
      <c r="I73" s="148" t="s">
        <v>1645</v>
      </c>
      <c r="J73" s="148"/>
      <c r="K73" s="148"/>
      <c r="L73" s="148"/>
      <c r="M73" s="148"/>
      <c r="N73" s="148"/>
      <c r="O73" s="148"/>
      <c r="P73" s="149"/>
      <c r="Q73" s="149"/>
      <c r="R73" s="148"/>
      <c r="S73" s="150">
        <v>0</v>
      </c>
      <c r="T73" s="150">
        <v>0</v>
      </c>
      <c r="U73" s="150">
        <v>0</v>
      </c>
      <c r="V73" s="150">
        <v>0</v>
      </c>
      <c r="W73" s="149"/>
      <c r="X73" s="149"/>
      <c r="Y73" s="151">
        <v>0</v>
      </c>
      <c r="Z73" s="152">
        <v>0</v>
      </c>
      <c r="AA73" s="150"/>
      <c r="AB73" s="148" t="s">
        <v>1603</v>
      </c>
      <c r="AC73" s="242"/>
      <c r="AD73" s="173">
        <v>0</v>
      </c>
      <c r="AE73" s="218">
        <v>0</v>
      </c>
      <c r="AF73" s="177"/>
      <c r="AG73" s="178"/>
      <c r="AH73" s="178"/>
      <c r="AI73" s="178"/>
      <c r="AJ73" s="178"/>
      <c r="AK73" s="178"/>
      <c r="AL73" s="178"/>
      <c r="AM73" s="178"/>
      <c r="AN73" s="178"/>
      <c r="AO73" s="178"/>
      <c r="AP73" s="178"/>
      <c r="AQ73" s="178"/>
      <c r="AR73" s="178"/>
      <c r="AS73" s="178"/>
      <c r="AT73" s="178"/>
      <c r="AU73" s="178"/>
      <c r="AV73" s="178"/>
      <c r="AW73" s="178"/>
      <c r="AX73" s="178"/>
      <c r="AY73" s="178"/>
      <c r="AZ73" s="178"/>
      <c r="BA73" s="178"/>
      <c r="BB73" s="178"/>
      <c r="BC73" s="178"/>
      <c r="BD73" s="178"/>
      <c r="BE73" s="178"/>
      <c r="BF73" s="178"/>
      <c r="BG73" s="178"/>
      <c r="BH73" s="178"/>
      <c r="BI73" s="178"/>
      <c r="BJ73" s="178"/>
    </row>
    <row r="74" spans="1:62" ht="15.75" customHeight="1" outlineLevel="4">
      <c r="A74" s="147"/>
      <c r="B74" s="147"/>
      <c r="C74" s="147">
        <v>5</v>
      </c>
      <c r="D74" s="174" t="s">
        <v>1706</v>
      </c>
      <c r="E74" s="148"/>
      <c r="F74" s="148"/>
      <c r="G74" s="148"/>
      <c r="H74" s="148"/>
      <c r="I74" s="148" t="s">
        <v>1646</v>
      </c>
      <c r="J74" s="148"/>
      <c r="K74" s="148"/>
      <c r="L74" s="148"/>
      <c r="M74" s="148"/>
      <c r="N74" s="148"/>
      <c r="O74" s="148"/>
      <c r="P74" s="149"/>
      <c r="Q74" s="149"/>
      <c r="R74" s="148"/>
      <c r="S74" s="150">
        <v>0</v>
      </c>
      <c r="T74" s="150">
        <v>0</v>
      </c>
      <c r="U74" s="150">
        <v>0</v>
      </c>
      <c r="V74" s="150">
        <v>0</v>
      </c>
      <c r="W74" s="149"/>
      <c r="X74" s="149"/>
      <c r="Y74" s="151">
        <v>0</v>
      </c>
      <c r="Z74" s="152">
        <v>0</v>
      </c>
      <c r="AA74" s="150"/>
      <c r="AB74" s="148" t="s">
        <v>1603</v>
      </c>
      <c r="AC74" s="242"/>
      <c r="AD74" s="173">
        <v>0</v>
      </c>
      <c r="AE74" s="218">
        <v>0</v>
      </c>
      <c r="AF74" s="177"/>
      <c r="AG74" s="178"/>
      <c r="AH74" s="178"/>
      <c r="AI74" s="178"/>
      <c r="AJ74" s="178"/>
      <c r="AK74" s="178"/>
      <c r="AL74" s="178"/>
      <c r="AM74" s="178"/>
      <c r="AN74" s="178"/>
      <c r="AO74" s="178"/>
      <c r="AP74" s="178"/>
      <c r="AQ74" s="178"/>
      <c r="AR74" s="178"/>
      <c r="AS74" s="178"/>
      <c r="AT74" s="178"/>
      <c r="AU74" s="178"/>
      <c r="AV74" s="178"/>
      <c r="AW74" s="178"/>
      <c r="AX74" s="178"/>
      <c r="AY74" s="178"/>
      <c r="AZ74" s="178"/>
      <c r="BA74" s="178"/>
      <c r="BB74" s="178"/>
      <c r="BC74" s="178"/>
      <c r="BD74" s="178"/>
      <c r="BE74" s="178"/>
      <c r="BF74" s="178"/>
      <c r="BG74" s="178"/>
      <c r="BH74" s="178"/>
      <c r="BI74" s="178"/>
      <c r="BJ74" s="178"/>
    </row>
    <row r="75" spans="1:62" ht="15.75" customHeight="1" outlineLevel="4">
      <c r="A75" s="147"/>
      <c r="B75" s="147"/>
      <c r="C75" s="147">
        <v>5</v>
      </c>
      <c r="D75" s="174" t="s">
        <v>1707</v>
      </c>
      <c r="E75" s="148"/>
      <c r="F75" s="148"/>
      <c r="G75" s="148"/>
      <c r="H75" s="148"/>
      <c r="I75" s="148" t="s">
        <v>1647</v>
      </c>
      <c r="J75" s="148"/>
      <c r="K75" s="148"/>
      <c r="L75" s="148"/>
      <c r="M75" s="148"/>
      <c r="N75" s="148"/>
      <c r="O75" s="148"/>
      <c r="P75" s="149"/>
      <c r="Q75" s="149"/>
      <c r="R75" s="148"/>
      <c r="S75" s="150">
        <v>0</v>
      </c>
      <c r="T75" s="150">
        <v>0</v>
      </c>
      <c r="U75" s="150">
        <v>0</v>
      </c>
      <c r="V75" s="150">
        <v>0</v>
      </c>
      <c r="W75" s="149"/>
      <c r="X75" s="149"/>
      <c r="Y75" s="151">
        <v>0</v>
      </c>
      <c r="Z75" s="152">
        <v>0</v>
      </c>
      <c r="AA75" s="150"/>
      <c r="AB75" s="148" t="s">
        <v>1603</v>
      </c>
      <c r="AC75" s="242"/>
      <c r="AD75" s="173">
        <v>0</v>
      </c>
      <c r="AE75" s="218">
        <v>0</v>
      </c>
      <c r="AF75" s="177"/>
      <c r="AG75" s="178"/>
      <c r="AH75" s="178"/>
      <c r="AI75" s="178"/>
      <c r="AJ75" s="178"/>
      <c r="AK75" s="178"/>
      <c r="AL75" s="178"/>
      <c r="AM75" s="178"/>
      <c r="AN75" s="178"/>
      <c r="AO75" s="178"/>
      <c r="AP75" s="178"/>
      <c r="AQ75" s="178"/>
      <c r="AR75" s="178"/>
      <c r="AS75" s="178"/>
      <c r="AT75" s="178"/>
      <c r="AU75" s="178"/>
      <c r="AV75" s="178"/>
      <c r="AW75" s="178"/>
      <c r="AX75" s="178"/>
      <c r="AY75" s="178"/>
      <c r="AZ75" s="178"/>
      <c r="BA75" s="178"/>
      <c r="BB75" s="178"/>
      <c r="BC75" s="178"/>
      <c r="BD75" s="178"/>
      <c r="BE75" s="178"/>
      <c r="BF75" s="178"/>
      <c r="BG75" s="178"/>
      <c r="BH75" s="178"/>
      <c r="BI75" s="178"/>
      <c r="BJ75" s="178"/>
    </row>
    <row r="76" spans="1:62" ht="15.75" customHeight="1" outlineLevel="4">
      <c r="A76" s="147"/>
      <c r="B76" s="147"/>
      <c r="C76" s="147">
        <v>5</v>
      </c>
      <c r="D76" s="174" t="s">
        <v>1708</v>
      </c>
      <c r="E76" s="148"/>
      <c r="F76" s="148"/>
      <c r="G76" s="148"/>
      <c r="H76" s="148"/>
      <c r="I76" s="148" t="s">
        <v>1648</v>
      </c>
      <c r="J76" s="148"/>
      <c r="K76" s="148"/>
      <c r="L76" s="148"/>
      <c r="M76" s="148"/>
      <c r="N76" s="148"/>
      <c r="O76" s="148"/>
      <c r="P76" s="149"/>
      <c r="Q76" s="149"/>
      <c r="R76" s="148"/>
      <c r="S76" s="150">
        <v>0</v>
      </c>
      <c r="T76" s="150">
        <v>0</v>
      </c>
      <c r="U76" s="150">
        <v>0</v>
      </c>
      <c r="V76" s="150">
        <v>0</v>
      </c>
      <c r="W76" s="149"/>
      <c r="X76" s="149"/>
      <c r="Y76" s="151">
        <v>0</v>
      </c>
      <c r="Z76" s="152">
        <v>0</v>
      </c>
      <c r="AA76" s="150"/>
      <c r="AB76" s="148" t="s">
        <v>1603</v>
      </c>
      <c r="AC76" s="242"/>
      <c r="AD76" s="173">
        <v>0</v>
      </c>
      <c r="AE76" s="218">
        <v>0</v>
      </c>
      <c r="AF76" s="177"/>
      <c r="AG76" s="178"/>
      <c r="AH76" s="178"/>
      <c r="AI76" s="178"/>
      <c r="AJ76" s="178"/>
      <c r="AK76" s="178"/>
      <c r="AL76" s="178"/>
      <c r="AM76" s="178"/>
      <c r="AN76" s="178"/>
      <c r="AO76" s="178"/>
      <c r="AP76" s="178"/>
      <c r="AQ76" s="178"/>
      <c r="AR76" s="178"/>
      <c r="AS76" s="178"/>
      <c r="AT76" s="178"/>
      <c r="AU76" s="178"/>
      <c r="AV76" s="178"/>
      <c r="AW76" s="178"/>
      <c r="AX76" s="178"/>
      <c r="AY76" s="178"/>
      <c r="AZ76" s="178"/>
      <c r="BA76" s="178"/>
      <c r="BB76" s="178"/>
      <c r="BC76" s="178"/>
      <c r="BD76" s="178"/>
      <c r="BE76" s="178"/>
      <c r="BF76" s="178"/>
      <c r="BG76" s="178"/>
      <c r="BH76" s="178"/>
      <c r="BI76" s="178"/>
      <c r="BJ76" s="178"/>
    </row>
    <row r="77" spans="1:62" ht="15.75" customHeight="1" outlineLevel="4">
      <c r="A77" s="147"/>
      <c r="B77" s="147"/>
      <c r="C77" s="147">
        <v>5</v>
      </c>
      <c r="D77" s="174" t="s">
        <v>1709</v>
      </c>
      <c r="E77" s="148"/>
      <c r="F77" s="148"/>
      <c r="G77" s="148"/>
      <c r="H77" s="148"/>
      <c r="I77" s="148" t="s">
        <v>1649</v>
      </c>
      <c r="J77" s="148"/>
      <c r="K77" s="148"/>
      <c r="L77" s="148"/>
      <c r="M77" s="148"/>
      <c r="N77" s="148"/>
      <c r="O77" s="148"/>
      <c r="P77" s="149"/>
      <c r="Q77" s="149"/>
      <c r="R77" s="148"/>
      <c r="S77" s="150">
        <v>0</v>
      </c>
      <c r="T77" s="150">
        <v>0</v>
      </c>
      <c r="U77" s="150">
        <v>0</v>
      </c>
      <c r="V77" s="150">
        <v>0</v>
      </c>
      <c r="W77" s="149"/>
      <c r="X77" s="149"/>
      <c r="Y77" s="151">
        <v>0</v>
      </c>
      <c r="Z77" s="152">
        <v>0</v>
      </c>
      <c r="AA77" s="150"/>
      <c r="AB77" s="148" t="s">
        <v>1603</v>
      </c>
      <c r="AC77" s="242"/>
      <c r="AD77" s="173">
        <v>0</v>
      </c>
      <c r="AE77" s="218">
        <v>0</v>
      </c>
      <c r="AF77" s="177"/>
      <c r="AG77" s="178"/>
      <c r="AH77" s="178"/>
      <c r="AI77" s="178"/>
      <c r="AJ77" s="178"/>
      <c r="AK77" s="178"/>
      <c r="AL77" s="178"/>
      <c r="AM77" s="178"/>
      <c r="AN77" s="178"/>
      <c r="AO77" s="178"/>
      <c r="AP77" s="178"/>
      <c r="AQ77" s="178"/>
      <c r="AR77" s="178"/>
      <c r="AS77" s="178"/>
      <c r="AT77" s="178"/>
      <c r="AU77" s="178"/>
      <c r="AV77" s="178"/>
      <c r="AW77" s="178"/>
      <c r="AX77" s="178"/>
      <c r="AY77" s="178"/>
      <c r="AZ77" s="178"/>
      <c r="BA77" s="178"/>
      <c r="BB77" s="178"/>
      <c r="BC77" s="178"/>
      <c r="BD77" s="178"/>
      <c r="BE77" s="178"/>
      <c r="BF77" s="178"/>
      <c r="BG77" s="178"/>
      <c r="BH77" s="178"/>
      <c r="BI77" s="178"/>
      <c r="BJ77" s="178"/>
    </row>
    <row r="78" spans="1:62" ht="15.75" customHeight="1" outlineLevel="3">
      <c r="A78" s="147"/>
      <c r="B78" s="147" t="s">
        <v>1367</v>
      </c>
      <c r="C78" s="147">
        <v>4</v>
      </c>
      <c r="D78" s="174" t="s">
        <v>1581</v>
      </c>
      <c r="E78" s="148"/>
      <c r="F78" s="148"/>
      <c r="G78" s="148"/>
      <c r="H78" s="148" t="s">
        <v>1651</v>
      </c>
      <c r="I78" s="148"/>
      <c r="J78" s="148"/>
      <c r="K78" s="148"/>
      <c r="L78" s="148"/>
      <c r="M78" s="148"/>
      <c r="N78" s="148"/>
      <c r="O78" s="148"/>
      <c r="P78" s="149"/>
      <c r="Q78" s="149"/>
      <c r="R78" s="148"/>
      <c r="S78" s="150">
        <v>0</v>
      </c>
      <c r="T78" s="150">
        <v>0</v>
      </c>
      <c r="U78" s="150">
        <v>0</v>
      </c>
      <c r="V78" s="150">
        <v>0</v>
      </c>
      <c r="W78" s="149"/>
      <c r="X78" s="149"/>
      <c r="Y78" s="151">
        <v>0</v>
      </c>
      <c r="Z78" s="152">
        <v>0</v>
      </c>
      <c r="AA78" s="150"/>
      <c r="AB78" s="148"/>
      <c r="AC78" s="242"/>
      <c r="AD78" s="173">
        <v>0</v>
      </c>
      <c r="AE78" s="218">
        <v>0</v>
      </c>
      <c r="AF78" s="177"/>
      <c r="AG78" s="178"/>
      <c r="AH78" s="178"/>
      <c r="AI78" s="178"/>
      <c r="AJ78" s="178"/>
      <c r="AK78" s="178"/>
      <c r="AL78" s="178"/>
      <c r="AM78" s="178"/>
      <c r="AN78" s="178"/>
      <c r="AO78" s="178"/>
      <c r="AP78" s="178"/>
      <c r="AQ78" s="178"/>
      <c r="AR78" s="178"/>
      <c r="AS78" s="178"/>
      <c r="AT78" s="178"/>
      <c r="AU78" s="178"/>
      <c r="AV78" s="178"/>
      <c r="AW78" s="178"/>
      <c r="AX78" s="178"/>
      <c r="AY78" s="178"/>
      <c r="AZ78" s="178"/>
      <c r="BA78" s="178"/>
      <c r="BB78" s="178"/>
      <c r="BC78" s="178"/>
      <c r="BD78" s="178"/>
      <c r="BE78" s="178"/>
      <c r="BF78" s="178"/>
      <c r="BG78" s="178"/>
      <c r="BH78" s="178"/>
      <c r="BI78" s="178"/>
      <c r="BJ78" s="178"/>
    </row>
    <row r="79" spans="1:62" ht="15.75" customHeight="1" outlineLevel="4">
      <c r="A79" s="147"/>
      <c r="B79" s="147"/>
      <c r="C79" s="147">
        <v>5</v>
      </c>
      <c r="D79" s="174" t="s">
        <v>1710</v>
      </c>
      <c r="E79" s="148"/>
      <c r="F79" s="148"/>
      <c r="G79" s="148"/>
      <c r="H79" s="148"/>
      <c r="I79" s="148" t="s">
        <v>1652</v>
      </c>
      <c r="J79" s="148"/>
      <c r="K79" s="148"/>
      <c r="L79" s="148"/>
      <c r="M79" s="148"/>
      <c r="N79" s="148"/>
      <c r="O79" s="148"/>
      <c r="P79" s="149"/>
      <c r="Q79" s="149"/>
      <c r="R79" s="148"/>
      <c r="S79" s="150">
        <v>0</v>
      </c>
      <c r="T79" s="150">
        <v>0</v>
      </c>
      <c r="U79" s="150">
        <v>0</v>
      </c>
      <c r="V79" s="150">
        <v>0</v>
      </c>
      <c r="W79" s="149"/>
      <c r="X79" s="149"/>
      <c r="Y79" s="151">
        <v>0</v>
      </c>
      <c r="Z79" s="152">
        <v>0</v>
      </c>
      <c r="AA79" s="150"/>
      <c r="AB79" s="148" t="s">
        <v>1603</v>
      </c>
      <c r="AC79" s="242"/>
      <c r="AD79" s="173">
        <v>0</v>
      </c>
      <c r="AE79" s="218">
        <v>0</v>
      </c>
      <c r="AF79" s="177"/>
      <c r="AG79" s="178"/>
      <c r="AH79" s="178"/>
      <c r="AI79" s="178"/>
      <c r="AJ79" s="178"/>
      <c r="AK79" s="178"/>
      <c r="AL79" s="178"/>
      <c r="AM79" s="178"/>
      <c r="AN79" s="178"/>
      <c r="AO79" s="178"/>
      <c r="AP79" s="178"/>
      <c r="AQ79" s="178"/>
      <c r="AR79" s="178"/>
      <c r="AS79" s="178"/>
      <c r="AT79" s="178"/>
      <c r="AU79" s="178"/>
      <c r="AV79" s="178"/>
      <c r="AW79" s="178"/>
      <c r="AX79" s="178"/>
      <c r="AY79" s="178"/>
      <c r="AZ79" s="178"/>
      <c r="BA79" s="178"/>
      <c r="BB79" s="178"/>
      <c r="BC79" s="178"/>
      <c r="BD79" s="178"/>
      <c r="BE79" s="178"/>
      <c r="BF79" s="178"/>
      <c r="BG79" s="178"/>
      <c r="BH79" s="178"/>
      <c r="BI79" s="178"/>
      <c r="BJ79" s="178"/>
    </row>
    <row r="80" spans="1:62" ht="15.75" customHeight="1" outlineLevel="4">
      <c r="A80" s="147"/>
      <c r="B80" s="147"/>
      <c r="C80" s="147">
        <v>5</v>
      </c>
      <c r="D80" s="174" t="s">
        <v>1711</v>
      </c>
      <c r="E80" s="148"/>
      <c r="F80" s="148"/>
      <c r="G80" s="148"/>
      <c r="H80" s="148"/>
      <c r="I80" s="148" t="s">
        <v>1653</v>
      </c>
      <c r="J80" s="148"/>
      <c r="K80" s="148"/>
      <c r="L80" s="148"/>
      <c r="M80" s="148"/>
      <c r="N80" s="148"/>
      <c r="O80" s="148"/>
      <c r="P80" s="149"/>
      <c r="Q80" s="149"/>
      <c r="R80" s="148"/>
      <c r="S80" s="150">
        <v>0</v>
      </c>
      <c r="T80" s="150">
        <v>0</v>
      </c>
      <c r="U80" s="150">
        <v>0</v>
      </c>
      <c r="V80" s="150">
        <v>0</v>
      </c>
      <c r="W80" s="149"/>
      <c r="X80" s="149"/>
      <c r="Y80" s="151">
        <v>0</v>
      </c>
      <c r="Z80" s="152">
        <v>0</v>
      </c>
      <c r="AA80" s="150"/>
      <c r="AB80" s="148" t="s">
        <v>1603</v>
      </c>
      <c r="AC80" s="242"/>
      <c r="AD80" s="173">
        <v>0</v>
      </c>
      <c r="AE80" s="218">
        <v>0</v>
      </c>
      <c r="AF80" s="177"/>
      <c r="AG80" s="178"/>
      <c r="AH80" s="178"/>
      <c r="AI80" s="178"/>
      <c r="AJ80" s="178"/>
      <c r="AK80" s="178"/>
      <c r="AL80" s="178"/>
      <c r="AM80" s="178"/>
      <c r="AN80" s="178"/>
      <c r="AO80" s="178"/>
      <c r="AP80" s="178"/>
      <c r="AQ80" s="178"/>
      <c r="AR80" s="178"/>
      <c r="AS80" s="178"/>
      <c r="AT80" s="178"/>
      <c r="AU80" s="178"/>
      <c r="AV80" s="178"/>
      <c r="AW80" s="178"/>
      <c r="AX80" s="178"/>
      <c r="AY80" s="178"/>
      <c r="AZ80" s="178"/>
      <c r="BA80" s="178"/>
      <c r="BB80" s="178"/>
      <c r="BC80" s="178"/>
      <c r="BD80" s="178"/>
      <c r="BE80" s="178"/>
      <c r="BF80" s="178"/>
      <c r="BG80" s="178"/>
      <c r="BH80" s="178"/>
      <c r="BI80" s="178"/>
      <c r="BJ80" s="178"/>
    </row>
    <row r="81" spans="1:62" ht="15.75" customHeight="1" outlineLevel="4">
      <c r="A81" s="147"/>
      <c r="B81" s="147"/>
      <c r="C81" s="147">
        <v>5</v>
      </c>
      <c r="D81" s="174" t="s">
        <v>1712</v>
      </c>
      <c r="E81" s="148"/>
      <c r="F81" s="148"/>
      <c r="G81" s="148"/>
      <c r="H81" s="148"/>
      <c r="I81" s="148" t="s">
        <v>1654</v>
      </c>
      <c r="J81" s="148"/>
      <c r="K81" s="148"/>
      <c r="L81" s="148"/>
      <c r="M81" s="148"/>
      <c r="N81" s="148"/>
      <c r="O81" s="148"/>
      <c r="P81" s="149"/>
      <c r="Q81" s="149"/>
      <c r="R81" s="148"/>
      <c r="S81" s="150">
        <v>0</v>
      </c>
      <c r="T81" s="150">
        <v>0</v>
      </c>
      <c r="U81" s="150">
        <v>0</v>
      </c>
      <c r="V81" s="150">
        <v>0</v>
      </c>
      <c r="W81" s="149"/>
      <c r="X81" s="149"/>
      <c r="Y81" s="151">
        <v>0</v>
      </c>
      <c r="Z81" s="152">
        <v>0</v>
      </c>
      <c r="AA81" s="150"/>
      <c r="AB81" s="148" t="s">
        <v>1603</v>
      </c>
      <c r="AC81" s="242"/>
      <c r="AD81" s="173">
        <v>0</v>
      </c>
      <c r="AE81" s="218">
        <v>0</v>
      </c>
      <c r="AF81" s="177"/>
      <c r="AG81" s="178"/>
      <c r="AH81" s="178"/>
      <c r="AI81" s="178"/>
      <c r="AJ81" s="178"/>
      <c r="AK81" s="178"/>
      <c r="AL81" s="178"/>
      <c r="AM81" s="178"/>
      <c r="AN81" s="178"/>
      <c r="AO81" s="178"/>
      <c r="AP81" s="178"/>
      <c r="AQ81" s="178"/>
      <c r="AR81" s="178"/>
      <c r="AS81" s="178"/>
      <c r="AT81" s="178"/>
      <c r="AU81" s="178"/>
      <c r="AV81" s="178"/>
      <c r="AW81" s="178"/>
      <c r="AX81" s="178"/>
      <c r="AY81" s="178"/>
      <c r="AZ81" s="178"/>
      <c r="BA81" s="178"/>
      <c r="BB81" s="178"/>
      <c r="BC81" s="178"/>
      <c r="BD81" s="178"/>
      <c r="BE81" s="178"/>
      <c r="BF81" s="178"/>
      <c r="BG81" s="178"/>
      <c r="BH81" s="178"/>
      <c r="BI81" s="178"/>
      <c r="BJ81" s="178"/>
    </row>
    <row r="82" spans="1:62" ht="15.75" customHeight="1" outlineLevel="4">
      <c r="A82" s="147"/>
      <c r="B82" s="147"/>
      <c r="C82" s="147">
        <v>5</v>
      </c>
      <c r="D82" s="174" t="s">
        <v>1713</v>
      </c>
      <c r="E82" s="148"/>
      <c r="F82" s="148"/>
      <c r="G82" s="148"/>
      <c r="H82" s="148"/>
      <c r="I82" s="148" t="s">
        <v>1655</v>
      </c>
      <c r="J82" s="148"/>
      <c r="K82" s="148"/>
      <c r="L82" s="148"/>
      <c r="M82" s="148"/>
      <c r="N82" s="148"/>
      <c r="O82" s="148"/>
      <c r="P82" s="149"/>
      <c r="Q82" s="149"/>
      <c r="R82" s="148"/>
      <c r="S82" s="150">
        <v>0</v>
      </c>
      <c r="T82" s="150">
        <v>0</v>
      </c>
      <c r="U82" s="150">
        <v>0</v>
      </c>
      <c r="V82" s="150">
        <v>0</v>
      </c>
      <c r="W82" s="149"/>
      <c r="X82" s="149"/>
      <c r="Y82" s="151">
        <v>0</v>
      </c>
      <c r="Z82" s="152">
        <v>0</v>
      </c>
      <c r="AA82" s="150"/>
      <c r="AB82" s="148" t="s">
        <v>1603</v>
      </c>
      <c r="AC82" s="242"/>
      <c r="AD82" s="173">
        <v>0</v>
      </c>
      <c r="AE82" s="218">
        <v>0</v>
      </c>
      <c r="AF82" s="177"/>
      <c r="AG82" s="178"/>
      <c r="AH82" s="178"/>
      <c r="AI82" s="178"/>
      <c r="AJ82" s="178"/>
      <c r="AK82" s="178"/>
      <c r="AL82" s="178"/>
      <c r="AM82" s="178"/>
      <c r="AN82" s="178"/>
      <c r="AO82" s="178"/>
      <c r="AP82" s="178"/>
      <c r="AQ82" s="178"/>
      <c r="AR82" s="178"/>
      <c r="AS82" s="178"/>
      <c r="AT82" s="178"/>
      <c r="AU82" s="178"/>
      <c r="AV82" s="178"/>
      <c r="AW82" s="178"/>
      <c r="AX82" s="178"/>
      <c r="AY82" s="178"/>
      <c r="AZ82" s="178"/>
      <c r="BA82" s="178"/>
      <c r="BB82" s="178"/>
      <c r="BC82" s="178"/>
      <c r="BD82" s="178"/>
      <c r="BE82" s="178"/>
      <c r="BF82" s="178"/>
      <c r="BG82" s="178"/>
      <c r="BH82" s="178"/>
      <c r="BI82" s="178"/>
      <c r="BJ82" s="178"/>
    </row>
    <row r="83" spans="1:62" ht="15.75" customHeight="1" outlineLevel="3">
      <c r="A83" s="147"/>
      <c r="B83" s="147" t="s">
        <v>1367</v>
      </c>
      <c r="C83" s="147">
        <v>4</v>
      </c>
      <c r="D83" s="174" t="s">
        <v>1582</v>
      </c>
      <c r="E83" s="148"/>
      <c r="F83" s="148"/>
      <c r="G83" s="148"/>
      <c r="H83" s="148" t="s">
        <v>1520</v>
      </c>
      <c r="I83" s="148"/>
      <c r="J83" s="148"/>
      <c r="K83" s="148"/>
      <c r="L83" s="148"/>
      <c r="M83" s="148"/>
      <c r="N83" s="148"/>
      <c r="O83" s="148"/>
      <c r="P83" s="149"/>
      <c r="Q83" s="149"/>
      <c r="R83" s="148"/>
      <c r="S83" s="150">
        <v>0</v>
      </c>
      <c r="T83" s="150">
        <v>0</v>
      </c>
      <c r="U83" s="150">
        <v>0</v>
      </c>
      <c r="V83" s="150">
        <v>0</v>
      </c>
      <c r="W83" s="149"/>
      <c r="X83" s="149"/>
      <c r="Y83" s="151">
        <v>0</v>
      </c>
      <c r="Z83" s="152">
        <v>0</v>
      </c>
      <c r="AA83" s="150"/>
      <c r="AB83" s="148"/>
      <c r="AC83" s="242"/>
      <c r="AD83" s="173">
        <v>0</v>
      </c>
      <c r="AE83" s="218">
        <v>0</v>
      </c>
      <c r="AF83" s="177"/>
      <c r="AG83" s="178"/>
      <c r="AH83" s="178"/>
      <c r="AI83" s="178"/>
      <c r="AJ83" s="178"/>
      <c r="AK83" s="178"/>
      <c r="AL83" s="178"/>
      <c r="AM83" s="178"/>
      <c r="AN83" s="178"/>
      <c r="AO83" s="178"/>
      <c r="AP83" s="178"/>
      <c r="AQ83" s="178"/>
      <c r="AR83" s="178"/>
      <c r="AS83" s="178"/>
      <c r="AT83" s="178"/>
      <c r="AU83" s="178"/>
      <c r="AV83" s="178"/>
      <c r="AW83" s="178"/>
      <c r="AX83" s="178"/>
      <c r="AY83" s="178"/>
      <c r="AZ83" s="178"/>
      <c r="BA83" s="178"/>
      <c r="BB83" s="178"/>
      <c r="BC83" s="178"/>
      <c r="BD83" s="178"/>
      <c r="BE83" s="178"/>
      <c r="BF83" s="178"/>
      <c r="BG83" s="178"/>
      <c r="BH83" s="178"/>
      <c r="BI83" s="178"/>
      <c r="BJ83" s="178"/>
    </row>
    <row r="84" spans="1:62" ht="15.75" customHeight="1" outlineLevel="4">
      <c r="A84" s="147"/>
      <c r="B84" s="147"/>
      <c r="C84" s="147">
        <v>5</v>
      </c>
      <c r="D84" s="174" t="s">
        <v>1714</v>
      </c>
      <c r="E84" s="148"/>
      <c r="F84" s="148"/>
      <c r="G84" s="148"/>
      <c r="H84" s="148"/>
      <c r="I84" s="148" t="s">
        <v>1641</v>
      </c>
      <c r="J84" s="148"/>
      <c r="K84" s="148"/>
      <c r="L84" s="148"/>
      <c r="M84" s="148"/>
      <c r="N84" s="148"/>
      <c r="O84" s="148"/>
      <c r="P84" s="149"/>
      <c r="Q84" s="149"/>
      <c r="R84" s="148"/>
      <c r="S84" s="150">
        <v>0</v>
      </c>
      <c r="T84" s="150">
        <v>0</v>
      </c>
      <c r="U84" s="150">
        <v>0</v>
      </c>
      <c r="V84" s="150">
        <v>0</v>
      </c>
      <c r="W84" s="149"/>
      <c r="X84" s="149"/>
      <c r="Y84" s="151">
        <v>0</v>
      </c>
      <c r="Z84" s="152">
        <v>0</v>
      </c>
      <c r="AA84" s="150"/>
      <c r="AB84" s="148" t="s">
        <v>1603</v>
      </c>
      <c r="AC84" s="242"/>
      <c r="AD84" s="173">
        <v>0</v>
      </c>
      <c r="AE84" s="218">
        <v>0</v>
      </c>
      <c r="AF84" s="177"/>
      <c r="AG84" s="178"/>
      <c r="AH84" s="178"/>
      <c r="AI84" s="178"/>
      <c r="AJ84" s="178"/>
      <c r="AK84" s="178"/>
      <c r="AL84" s="178"/>
      <c r="AM84" s="178"/>
      <c r="AN84" s="178"/>
      <c r="AO84" s="178"/>
      <c r="AP84" s="178"/>
      <c r="AQ84" s="178"/>
      <c r="AR84" s="178"/>
      <c r="AS84" s="178"/>
      <c r="AT84" s="178"/>
      <c r="AU84" s="178"/>
      <c r="AV84" s="178"/>
      <c r="AW84" s="178"/>
      <c r="AX84" s="178"/>
      <c r="AY84" s="178"/>
      <c r="AZ84" s="178"/>
      <c r="BA84" s="178"/>
      <c r="BB84" s="178"/>
      <c r="BC84" s="178"/>
      <c r="BD84" s="178"/>
      <c r="BE84" s="178"/>
      <c r="BF84" s="178"/>
      <c r="BG84" s="178"/>
      <c r="BH84" s="178"/>
      <c r="BI84" s="178"/>
      <c r="BJ84" s="178"/>
    </row>
    <row r="85" spans="1:62" ht="15.75" customHeight="1" outlineLevel="4">
      <c r="A85" s="147"/>
      <c r="B85" s="147"/>
      <c r="C85" s="147">
        <v>5</v>
      </c>
      <c r="D85" s="174" t="s">
        <v>1715</v>
      </c>
      <c r="E85" s="148"/>
      <c r="F85" s="148"/>
      <c r="G85" s="148"/>
      <c r="H85" s="148"/>
      <c r="I85" s="148" t="s">
        <v>1642</v>
      </c>
      <c r="J85" s="148"/>
      <c r="K85" s="148"/>
      <c r="L85" s="148"/>
      <c r="M85" s="148"/>
      <c r="N85" s="148"/>
      <c r="O85" s="148"/>
      <c r="P85" s="149"/>
      <c r="Q85" s="149"/>
      <c r="R85" s="148"/>
      <c r="S85" s="150">
        <v>0</v>
      </c>
      <c r="T85" s="150">
        <v>0</v>
      </c>
      <c r="U85" s="150">
        <v>0</v>
      </c>
      <c r="V85" s="150">
        <v>0</v>
      </c>
      <c r="W85" s="149"/>
      <c r="X85" s="149"/>
      <c r="Y85" s="151">
        <v>0</v>
      </c>
      <c r="Z85" s="152">
        <v>0</v>
      </c>
      <c r="AA85" s="150"/>
      <c r="AB85" s="148" t="s">
        <v>1603</v>
      </c>
      <c r="AC85" s="242"/>
      <c r="AD85" s="173">
        <v>0</v>
      </c>
      <c r="AE85" s="218">
        <v>0</v>
      </c>
      <c r="AF85" s="177"/>
      <c r="AG85" s="178"/>
      <c r="AH85" s="178"/>
      <c r="AI85" s="178"/>
      <c r="AJ85" s="178"/>
      <c r="AK85" s="178"/>
      <c r="AL85" s="178"/>
      <c r="AM85" s="178"/>
      <c r="AN85" s="178"/>
      <c r="AO85" s="178"/>
      <c r="AP85" s="178"/>
      <c r="AQ85" s="178"/>
      <c r="AR85" s="178"/>
      <c r="AS85" s="178"/>
      <c r="AT85" s="178"/>
      <c r="AU85" s="178"/>
      <c r="AV85" s="178"/>
      <c r="AW85" s="178"/>
      <c r="AX85" s="178"/>
      <c r="AY85" s="178"/>
      <c r="AZ85" s="178"/>
      <c r="BA85" s="178"/>
      <c r="BB85" s="178"/>
      <c r="BC85" s="178"/>
      <c r="BD85" s="178"/>
      <c r="BE85" s="178"/>
      <c r="BF85" s="178"/>
      <c r="BG85" s="178"/>
      <c r="BH85" s="178"/>
      <c r="BI85" s="178"/>
      <c r="BJ85" s="178"/>
    </row>
    <row r="86" spans="1:62" ht="15.75" customHeight="1" outlineLevel="4">
      <c r="A86" s="147"/>
      <c r="B86" s="147"/>
      <c r="C86" s="147">
        <v>5</v>
      </c>
      <c r="D86" s="174" t="s">
        <v>1716</v>
      </c>
      <c r="E86" s="148"/>
      <c r="F86" s="148"/>
      <c r="G86" s="148"/>
      <c r="H86" s="148"/>
      <c r="I86" s="148" t="s">
        <v>1643</v>
      </c>
      <c r="J86" s="148"/>
      <c r="K86" s="148"/>
      <c r="L86" s="148"/>
      <c r="M86" s="148"/>
      <c r="N86" s="148"/>
      <c r="O86" s="148"/>
      <c r="P86" s="149"/>
      <c r="Q86" s="149"/>
      <c r="R86" s="148"/>
      <c r="S86" s="150">
        <v>0</v>
      </c>
      <c r="T86" s="150">
        <v>0</v>
      </c>
      <c r="U86" s="150">
        <v>0</v>
      </c>
      <c r="V86" s="150">
        <v>0</v>
      </c>
      <c r="W86" s="149"/>
      <c r="X86" s="149"/>
      <c r="Y86" s="151">
        <v>0</v>
      </c>
      <c r="Z86" s="152">
        <v>0</v>
      </c>
      <c r="AA86" s="150"/>
      <c r="AB86" s="148" t="s">
        <v>1603</v>
      </c>
      <c r="AC86" s="242"/>
      <c r="AD86" s="173">
        <v>0</v>
      </c>
      <c r="AE86" s="218">
        <v>0</v>
      </c>
      <c r="AF86" s="177"/>
      <c r="AG86" s="178"/>
      <c r="AH86" s="178"/>
      <c r="AI86" s="178"/>
      <c r="AJ86" s="178"/>
      <c r="AK86" s="178"/>
      <c r="AL86" s="178"/>
      <c r="AM86" s="178"/>
      <c r="AN86" s="178"/>
      <c r="AO86" s="178"/>
      <c r="AP86" s="178"/>
      <c r="AQ86" s="178"/>
      <c r="AR86" s="178"/>
      <c r="AS86" s="178"/>
      <c r="AT86" s="178"/>
      <c r="AU86" s="178"/>
      <c r="AV86" s="178"/>
      <c r="AW86" s="178"/>
      <c r="AX86" s="178"/>
      <c r="AY86" s="178"/>
      <c r="AZ86" s="178"/>
      <c r="BA86" s="178"/>
      <c r="BB86" s="178"/>
      <c r="BC86" s="178"/>
      <c r="BD86" s="178"/>
      <c r="BE86" s="178"/>
      <c r="BF86" s="178"/>
      <c r="BG86" s="178"/>
      <c r="BH86" s="178"/>
      <c r="BI86" s="178"/>
      <c r="BJ86" s="178"/>
    </row>
    <row r="87" spans="1:62" ht="15.75" customHeight="1" outlineLevel="4">
      <c r="A87" s="147"/>
      <c r="B87" s="147"/>
      <c r="C87" s="147">
        <v>5</v>
      </c>
      <c r="D87" s="174" t="s">
        <v>1717</v>
      </c>
      <c r="E87" s="148"/>
      <c r="F87" s="148"/>
      <c r="G87" s="148"/>
      <c r="H87" s="148"/>
      <c r="I87" s="148" t="s">
        <v>1644</v>
      </c>
      <c r="J87" s="148"/>
      <c r="K87" s="148"/>
      <c r="L87" s="148"/>
      <c r="M87" s="148"/>
      <c r="N87" s="148"/>
      <c r="O87" s="148"/>
      <c r="P87" s="149"/>
      <c r="Q87" s="149"/>
      <c r="R87" s="148"/>
      <c r="S87" s="150">
        <v>0</v>
      </c>
      <c r="T87" s="150">
        <v>0</v>
      </c>
      <c r="U87" s="150">
        <v>0</v>
      </c>
      <c r="V87" s="150">
        <v>0</v>
      </c>
      <c r="W87" s="149"/>
      <c r="X87" s="149"/>
      <c r="Y87" s="151">
        <v>0</v>
      </c>
      <c r="Z87" s="152">
        <v>0</v>
      </c>
      <c r="AA87" s="150"/>
      <c r="AB87" s="148" t="s">
        <v>1603</v>
      </c>
      <c r="AC87" s="242"/>
      <c r="AD87" s="173">
        <v>0</v>
      </c>
      <c r="AE87" s="218">
        <v>0</v>
      </c>
      <c r="AF87" s="177"/>
      <c r="AG87" s="178"/>
      <c r="AH87" s="178"/>
      <c r="AI87" s="178"/>
      <c r="AJ87" s="178"/>
      <c r="AK87" s="178"/>
      <c r="AL87" s="178"/>
      <c r="AM87" s="178"/>
      <c r="AN87" s="178"/>
      <c r="AO87" s="178"/>
      <c r="AP87" s="178"/>
      <c r="AQ87" s="178"/>
      <c r="AR87" s="178"/>
      <c r="AS87" s="178"/>
      <c r="AT87" s="178"/>
      <c r="AU87" s="178"/>
      <c r="AV87" s="178"/>
      <c r="AW87" s="178"/>
      <c r="AX87" s="178"/>
      <c r="AY87" s="178"/>
      <c r="AZ87" s="178"/>
      <c r="BA87" s="178"/>
      <c r="BB87" s="178"/>
      <c r="BC87" s="178"/>
      <c r="BD87" s="178"/>
      <c r="BE87" s="178"/>
      <c r="BF87" s="178"/>
      <c r="BG87" s="178"/>
      <c r="BH87" s="178"/>
      <c r="BI87" s="178"/>
      <c r="BJ87" s="178"/>
    </row>
    <row r="88" spans="1:62" ht="15.75" customHeight="1" outlineLevel="3">
      <c r="A88" s="147"/>
      <c r="B88" s="147" t="s">
        <v>1367</v>
      </c>
      <c r="C88" s="147">
        <v>4</v>
      </c>
      <c r="D88" s="174" t="s">
        <v>1583</v>
      </c>
      <c r="E88" s="148"/>
      <c r="F88" s="234"/>
      <c r="G88" s="234"/>
      <c r="H88" s="148" t="s">
        <v>1522</v>
      </c>
      <c r="I88" s="148"/>
      <c r="J88" s="148"/>
      <c r="K88" s="148"/>
      <c r="L88" s="148"/>
      <c r="M88" s="148"/>
      <c r="N88" s="148"/>
      <c r="O88" s="148"/>
      <c r="P88" s="149"/>
      <c r="Q88" s="149"/>
      <c r="R88" s="148"/>
      <c r="S88" s="150">
        <v>0</v>
      </c>
      <c r="T88" s="150">
        <v>0</v>
      </c>
      <c r="U88" s="150">
        <v>0</v>
      </c>
      <c r="V88" s="150">
        <v>0</v>
      </c>
      <c r="W88" s="149"/>
      <c r="X88" s="149"/>
      <c r="Y88" s="151">
        <v>0</v>
      </c>
      <c r="Z88" s="152">
        <v>0</v>
      </c>
      <c r="AA88" s="150"/>
      <c r="AB88" s="148"/>
      <c r="AC88" s="242"/>
      <c r="AD88" s="173">
        <v>0</v>
      </c>
      <c r="AE88" s="218">
        <v>0</v>
      </c>
      <c r="AF88" s="177"/>
      <c r="AG88" s="178"/>
      <c r="AH88" s="178"/>
      <c r="AI88" s="178"/>
      <c r="AJ88" s="178"/>
      <c r="AK88" s="178"/>
      <c r="AL88" s="178"/>
      <c r="AM88" s="178"/>
      <c r="AN88" s="178"/>
      <c r="AO88" s="178"/>
      <c r="AP88" s="178"/>
      <c r="AQ88" s="178"/>
      <c r="AR88" s="178"/>
      <c r="AS88" s="178"/>
      <c r="AT88" s="178"/>
      <c r="AU88" s="178"/>
      <c r="AV88" s="178"/>
      <c r="AW88" s="178"/>
      <c r="AX88" s="178"/>
      <c r="AY88" s="178"/>
      <c r="AZ88" s="178"/>
      <c r="BA88" s="178"/>
      <c r="BB88" s="178"/>
      <c r="BC88" s="178"/>
      <c r="BD88" s="178"/>
      <c r="BE88" s="178"/>
      <c r="BF88" s="178"/>
      <c r="BG88" s="178"/>
      <c r="BH88" s="178"/>
      <c r="BI88" s="178"/>
      <c r="BJ88" s="178"/>
    </row>
    <row r="89" spans="1:62" ht="15.75" customHeight="1" outlineLevel="4">
      <c r="A89" s="147"/>
      <c r="B89" s="147"/>
      <c r="C89" s="147">
        <v>5</v>
      </c>
      <c r="D89" s="174" t="s">
        <v>1718</v>
      </c>
      <c r="E89" s="148"/>
      <c r="F89" s="234"/>
      <c r="G89" s="234"/>
      <c r="H89" s="148"/>
      <c r="I89" s="148" t="s">
        <v>1660</v>
      </c>
      <c r="J89" s="148"/>
      <c r="K89" s="148"/>
      <c r="L89" s="148"/>
      <c r="M89" s="148"/>
      <c r="N89" s="148"/>
      <c r="O89" s="148"/>
      <c r="P89" s="149"/>
      <c r="Q89" s="149"/>
      <c r="R89" s="148"/>
      <c r="S89" s="150">
        <v>0</v>
      </c>
      <c r="T89" s="150">
        <v>0</v>
      </c>
      <c r="U89" s="150">
        <v>0</v>
      </c>
      <c r="V89" s="150">
        <v>0</v>
      </c>
      <c r="W89" s="149"/>
      <c r="X89" s="149"/>
      <c r="Y89" s="151">
        <v>0</v>
      </c>
      <c r="Z89" s="152">
        <v>0</v>
      </c>
      <c r="AA89" s="150"/>
      <c r="AB89" s="148" t="s">
        <v>1603</v>
      </c>
      <c r="AC89" s="242"/>
      <c r="AD89" s="173">
        <v>0</v>
      </c>
      <c r="AE89" s="218">
        <v>0</v>
      </c>
      <c r="AF89" s="177"/>
      <c r="AG89" s="178"/>
      <c r="AH89" s="178"/>
      <c r="AI89" s="178"/>
      <c r="AJ89" s="178"/>
      <c r="AK89" s="178"/>
      <c r="AL89" s="178"/>
      <c r="AM89" s="178"/>
      <c r="AN89" s="178"/>
      <c r="AO89" s="178"/>
      <c r="AP89" s="178"/>
      <c r="AQ89" s="178"/>
      <c r="AR89" s="178"/>
      <c r="AS89" s="178"/>
      <c r="AT89" s="178"/>
      <c r="AU89" s="178"/>
      <c r="AV89" s="178"/>
      <c r="AW89" s="178"/>
      <c r="AX89" s="178"/>
      <c r="AY89" s="178"/>
      <c r="AZ89" s="178"/>
      <c r="BA89" s="178"/>
      <c r="BB89" s="178"/>
      <c r="BC89" s="178"/>
      <c r="BD89" s="178"/>
      <c r="BE89" s="178"/>
      <c r="BF89" s="178"/>
      <c r="BG89" s="178"/>
      <c r="BH89" s="178"/>
      <c r="BI89" s="178"/>
      <c r="BJ89" s="178"/>
    </row>
    <row r="90" spans="1:62" ht="15.75" customHeight="1" outlineLevel="4">
      <c r="A90" s="147"/>
      <c r="B90" s="147"/>
      <c r="C90" s="147">
        <v>5</v>
      </c>
      <c r="D90" s="174" t="s">
        <v>1719</v>
      </c>
      <c r="E90" s="148"/>
      <c r="F90" s="234"/>
      <c r="G90" s="234"/>
      <c r="H90" s="148"/>
      <c r="I90" s="148" t="s">
        <v>1661</v>
      </c>
      <c r="J90" s="148"/>
      <c r="K90" s="148"/>
      <c r="L90" s="148"/>
      <c r="M90" s="148"/>
      <c r="N90" s="148"/>
      <c r="O90" s="148"/>
      <c r="P90" s="149"/>
      <c r="Q90" s="149"/>
      <c r="R90" s="148"/>
      <c r="S90" s="150">
        <v>0</v>
      </c>
      <c r="T90" s="150">
        <v>0</v>
      </c>
      <c r="U90" s="150">
        <v>0</v>
      </c>
      <c r="V90" s="150">
        <v>0</v>
      </c>
      <c r="W90" s="149"/>
      <c r="X90" s="149"/>
      <c r="Y90" s="151">
        <v>0</v>
      </c>
      <c r="Z90" s="152">
        <v>0</v>
      </c>
      <c r="AA90" s="150"/>
      <c r="AB90" s="148" t="s">
        <v>1603</v>
      </c>
      <c r="AC90" s="242"/>
      <c r="AD90" s="173">
        <v>0</v>
      </c>
      <c r="AE90" s="218">
        <v>0</v>
      </c>
      <c r="AF90" s="177"/>
      <c r="AG90" s="178"/>
      <c r="AH90" s="178"/>
      <c r="AI90" s="178"/>
      <c r="AJ90" s="178"/>
      <c r="AK90" s="178"/>
      <c r="AL90" s="178"/>
      <c r="AM90" s="178"/>
      <c r="AN90" s="178"/>
      <c r="AO90" s="178"/>
      <c r="AP90" s="178"/>
      <c r="AQ90" s="178"/>
      <c r="AR90" s="178"/>
      <c r="AS90" s="178"/>
      <c r="AT90" s="178"/>
      <c r="AU90" s="178"/>
      <c r="AV90" s="178"/>
      <c r="AW90" s="178"/>
      <c r="AX90" s="178"/>
      <c r="AY90" s="178"/>
      <c r="AZ90" s="178"/>
      <c r="BA90" s="178"/>
      <c r="BB90" s="178"/>
      <c r="BC90" s="178"/>
      <c r="BD90" s="178"/>
      <c r="BE90" s="178"/>
      <c r="BF90" s="178"/>
      <c r="BG90" s="178"/>
      <c r="BH90" s="178"/>
      <c r="BI90" s="178"/>
      <c r="BJ90" s="178"/>
    </row>
    <row r="91" spans="1:62" ht="15.75" customHeight="1" outlineLevel="4">
      <c r="A91" s="147"/>
      <c r="B91" s="147"/>
      <c r="C91" s="147">
        <v>5</v>
      </c>
      <c r="D91" s="174" t="s">
        <v>1720</v>
      </c>
      <c r="E91" s="148"/>
      <c r="F91" s="234"/>
      <c r="G91" s="234"/>
      <c r="H91" s="148"/>
      <c r="I91" s="148" t="s">
        <v>1662</v>
      </c>
      <c r="J91" s="148"/>
      <c r="K91" s="148"/>
      <c r="L91" s="148"/>
      <c r="M91" s="148"/>
      <c r="N91" s="148"/>
      <c r="O91" s="148"/>
      <c r="P91" s="149"/>
      <c r="Q91" s="149"/>
      <c r="R91" s="148"/>
      <c r="S91" s="150">
        <v>0</v>
      </c>
      <c r="T91" s="150">
        <v>0</v>
      </c>
      <c r="U91" s="150">
        <v>0</v>
      </c>
      <c r="V91" s="150">
        <v>0</v>
      </c>
      <c r="W91" s="149"/>
      <c r="X91" s="149"/>
      <c r="Y91" s="151">
        <v>0</v>
      </c>
      <c r="Z91" s="152">
        <v>0</v>
      </c>
      <c r="AA91" s="150"/>
      <c r="AB91" s="148" t="s">
        <v>1603</v>
      </c>
      <c r="AC91" s="242"/>
      <c r="AD91" s="173">
        <v>0</v>
      </c>
      <c r="AE91" s="218">
        <v>0</v>
      </c>
      <c r="AF91" s="177"/>
      <c r="AG91" s="178"/>
      <c r="AH91" s="178"/>
      <c r="AI91" s="178"/>
      <c r="AJ91" s="178"/>
      <c r="AK91" s="178"/>
      <c r="AL91" s="178"/>
      <c r="AM91" s="178"/>
      <c r="AN91" s="178"/>
      <c r="AO91" s="178"/>
      <c r="AP91" s="178"/>
      <c r="AQ91" s="178"/>
      <c r="AR91" s="178"/>
      <c r="AS91" s="178"/>
      <c r="AT91" s="178"/>
      <c r="AU91" s="178"/>
      <c r="AV91" s="178"/>
      <c r="AW91" s="178"/>
      <c r="AX91" s="178"/>
      <c r="AY91" s="178"/>
      <c r="AZ91" s="178"/>
      <c r="BA91" s="178"/>
      <c r="BB91" s="178"/>
      <c r="BC91" s="178"/>
      <c r="BD91" s="178"/>
      <c r="BE91" s="178"/>
      <c r="BF91" s="178"/>
      <c r="BG91" s="178"/>
      <c r="BH91" s="178"/>
      <c r="BI91" s="178"/>
      <c r="BJ91" s="178"/>
    </row>
    <row r="92" spans="1:62" ht="15.75" customHeight="1" outlineLevel="3">
      <c r="A92" s="147"/>
      <c r="B92" s="147" t="s">
        <v>1367</v>
      </c>
      <c r="C92" s="147">
        <v>4</v>
      </c>
      <c r="D92" s="174" t="s">
        <v>1721</v>
      </c>
      <c r="E92" s="148"/>
      <c r="F92" s="234"/>
      <c r="G92" s="234"/>
      <c r="H92" s="148" t="s">
        <v>1663</v>
      </c>
      <c r="I92" s="148"/>
      <c r="J92" s="148"/>
      <c r="K92" s="148"/>
      <c r="L92" s="148"/>
      <c r="M92" s="148"/>
      <c r="N92" s="148"/>
      <c r="O92" s="148"/>
      <c r="P92" s="149"/>
      <c r="Q92" s="149"/>
      <c r="R92" s="148"/>
      <c r="S92" s="150">
        <v>0</v>
      </c>
      <c r="T92" s="150">
        <v>0</v>
      </c>
      <c r="U92" s="150">
        <v>0</v>
      </c>
      <c r="V92" s="150">
        <v>0</v>
      </c>
      <c r="W92" s="149"/>
      <c r="X92" s="149"/>
      <c r="Y92" s="151">
        <v>0</v>
      </c>
      <c r="Z92" s="152">
        <v>0</v>
      </c>
      <c r="AA92" s="150"/>
      <c r="AB92" s="148"/>
      <c r="AC92" s="242"/>
      <c r="AD92" s="173">
        <v>0</v>
      </c>
      <c r="AE92" s="218">
        <v>0</v>
      </c>
      <c r="AF92" s="177"/>
      <c r="AG92" s="178"/>
      <c r="AH92" s="178"/>
      <c r="AI92" s="178"/>
      <c r="AJ92" s="178"/>
      <c r="AK92" s="178"/>
      <c r="AL92" s="178"/>
      <c r="AM92" s="178"/>
      <c r="AN92" s="178"/>
      <c r="AO92" s="178"/>
      <c r="AP92" s="178"/>
      <c r="AQ92" s="178"/>
      <c r="AR92" s="178"/>
      <c r="AS92" s="178"/>
      <c r="AT92" s="178"/>
      <c r="AU92" s="178"/>
      <c r="AV92" s="178"/>
      <c r="AW92" s="178"/>
      <c r="AX92" s="178"/>
      <c r="AY92" s="178"/>
      <c r="AZ92" s="178"/>
      <c r="BA92" s="178"/>
      <c r="BB92" s="178"/>
      <c r="BC92" s="178"/>
      <c r="BD92" s="178"/>
      <c r="BE92" s="178"/>
      <c r="BF92" s="178"/>
      <c r="BG92" s="178"/>
      <c r="BH92" s="178"/>
      <c r="BI92" s="178"/>
      <c r="BJ92" s="178"/>
    </row>
    <row r="93" spans="1:62" ht="15.75" customHeight="1" outlineLevel="4">
      <c r="A93" s="147"/>
      <c r="B93" s="147"/>
      <c r="C93" s="147">
        <v>5</v>
      </c>
      <c r="D93" s="174" t="s">
        <v>1722</v>
      </c>
      <c r="E93" s="148"/>
      <c r="F93" s="234"/>
      <c r="G93" s="234"/>
      <c r="H93" s="148"/>
      <c r="I93" s="148" t="s">
        <v>1664</v>
      </c>
      <c r="J93" s="148"/>
      <c r="K93" s="148"/>
      <c r="L93" s="148"/>
      <c r="M93" s="148"/>
      <c r="N93" s="148"/>
      <c r="O93" s="148"/>
      <c r="P93" s="149"/>
      <c r="Q93" s="149"/>
      <c r="R93" s="148"/>
      <c r="S93" s="150">
        <v>0</v>
      </c>
      <c r="T93" s="150">
        <v>0</v>
      </c>
      <c r="U93" s="150">
        <v>0</v>
      </c>
      <c r="V93" s="150">
        <v>0</v>
      </c>
      <c r="W93" s="149"/>
      <c r="X93" s="149"/>
      <c r="Y93" s="151">
        <v>0</v>
      </c>
      <c r="Z93" s="152">
        <v>0</v>
      </c>
      <c r="AA93" s="150"/>
      <c r="AB93" s="148" t="s">
        <v>1603</v>
      </c>
      <c r="AC93" s="242"/>
      <c r="AD93" s="173">
        <v>0</v>
      </c>
      <c r="AE93" s="218">
        <v>0</v>
      </c>
      <c r="AF93" s="177"/>
      <c r="AG93" s="178"/>
      <c r="AH93" s="178"/>
      <c r="AI93" s="178"/>
      <c r="AJ93" s="178"/>
      <c r="AK93" s="178"/>
      <c r="AL93" s="178"/>
      <c r="AM93" s="178"/>
      <c r="AN93" s="178"/>
      <c r="AO93" s="178"/>
      <c r="AP93" s="178"/>
      <c r="AQ93" s="178"/>
      <c r="AR93" s="178"/>
      <c r="AS93" s="178"/>
      <c r="AT93" s="178"/>
      <c r="AU93" s="178"/>
      <c r="AV93" s="178"/>
      <c r="AW93" s="178"/>
      <c r="AX93" s="178"/>
      <c r="AY93" s="178"/>
      <c r="AZ93" s="178"/>
      <c r="BA93" s="178"/>
      <c r="BB93" s="178"/>
      <c r="BC93" s="178"/>
      <c r="BD93" s="178"/>
      <c r="BE93" s="178"/>
      <c r="BF93" s="178"/>
      <c r="BG93" s="178"/>
      <c r="BH93" s="178"/>
      <c r="BI93" s="178"/>
      <c r="BJ93" s="178"/>
    </row>
    <row r="94" spans="1:62" ht="15.75" customHeight="1" outlineLevel="3">
      <c r="A94" s="147"/>
      <c r="B94" s="147" t="s">
        <v>1367</v>
      </c>
      <c r="C94" s="147">
        <v>4</v>
      </c>
      <c r="D94" s="174" t="s">
        <v>1723</v>
      </c>
      <c r="E94" s="148"/>
      <c r="F94" s="234"/>
      <c r="G94" s="234"/>
      <c r="H94" s="148" t="s">
        <v>1665</v>
      </c>
      <c r="I94" s="148"/>
      <c r="J94" s="148"/>
      <c r="K94" s="148"/>
      <c r="L94" s="148"/>
      <c r="M94" s="148"/>
      <c r="N94" s="148"/>
      <c r="O94" s="148"/>
      <c r="P94" s="149"/>
      <c r="Q94" s="149"/>
      <c r="R94" s="148"/>
      <c r="S94" s="150">
        <v>0</v>
      </c>
      <c r="T94" s="150">
        <v>0</v>
      </c>
      <c r="U94" s="150">
        <v>0</v>
      </c>
      <c r="V94" s="150">
        <v>0</v>
      </c>
      <c r="W94" s="149"/>
      <c r="X94" s="149"/>
      <c r="Y94" s="151">
        <v>0</v>
      </c>
      <c r="Z94" s="152">
        <v>0</v>
      </c>
      <c r="AA94" s="150"/>
      <c r="AB94" s="148"/>
      <c r="AC94" s="242"/>
      <c r="AD94" s="173">
        <v>0</v>
      </c>
      <c r="AE94" s="218">
        <v>0</v>
      </c>
      <c r="AF94" s="177"/>
      <c r="AG94" s="178"/>
      <c r="AH94" s="178"/>
      <c r="AI94" s="178"/>
      <c r="AJ94" s="178"/>
      <c r="AK94" s="178"/>
      <c r="AL94" s="178"/>
      <c r="AM94" s="178"/>
      <c r="AN94" s="178"/>
      <c r="AO94" s="178"/>
      <c r="AP94" s="178"/>
      <c r="AQ94" s="178"/>
      <c r="AR94" s="178"/>
      <c r="AS94" s="178"/>
      <c r="AT94" s="178"/>
      <c r="AU94" s="178"/>
      <c r="AV94" s="178"/>
      <c r="AW94" s="178"/>
      <c r="AX94" s="178"/>
      <c r="AY94" s="178"/>
      <c r="AZ94" s="178"/>
      <c r="BA94" s="178"/>
      <c r="BB94" s="178"/>
      <c r="BC94" s="178"/>
      <c r="BD94" s="178"/>
      <c r="BE94" s="178"/>
      <c r="BF94" s="178"/>
      <c r="BG94" s="178"/>
      <c r="BH94" s="178"/>
      <c r="BI94" s="178"/>
      <c r="BJ94" s="178"/>
    </row>
    <row r="95" spans="1:62" ht="15.75" customHeight="1" outlineLevel="4">
      <c r="A95" s="147"/>
      <c r="B95" s="147"/>
      <c r="C95" s="147">
        <v>5</v>
      </c>
      <c r="D95" s="174" t="s">
        <v>1724</v>
      </c>
      <c r="E95" s="148"/>
      <c r="F95" s="234"/>
      <c r="G95" s="234"/>
      <c r="H95" s="148"/>
      <c r="I95" s="148" t="s">
        <v>1666</v>
      </c>
      <c r="J95" s="148"/>
      <c r="K95" s="148"/>
      <c r="L95" s="148"/>
      <c r="M95" s="148"/>
      <c r="N95" s="148"/>
      <c r="O95" s="148"/>
      <c r="P95" s="149"/>
      <c r="Q95" s="149"/>
      <c r="R95" s="148"/>
      <c r="S95" s="150">
        <v>0</v>
      </c>
      <c r="T95" s="150">
        <v>0</v>
      </c>
      <c r="U95" s="150">
        <v>0</v>
      </c>
      <c r="V95" s="150">
        <v>0</v>
      </c>
      <c r="W95" s="149"/>
      <c r="X95" s="149"/>
      <c r="Y95" s="151">
        <v>0</v>
      </c>
      <c r="Z95" s="152">
        <v>0</v>
      </c>
      <c r="AA95" s="150"/>
      <c r="AB95" s="148" t="s">
        <v>1603</v>
      </c>
      <c r="AC95" s="242"/>
      <c r="AD95" s="173">
        <v>0</v>
      </c>
      <c r="AE95" s="218">
        <v>0</v>
      </c>
      <c r="AF95" s="177"/>
      <c r="AG95" s="178"/>
      <c r="AH95" s="178"/>
      <c r="AI95" s="178"/>
      <c r="AJ95" s="178"/>
      <c r="AK95" s="178"/>
      <c r="AL95" s="178"/>
      <c r="AM95" s="178"/>
      <c r="AN95" s="178"/>
      <c r="AO95" s="178"/>
      <c r="AP95" s="178"/>
      <c r="AQ95" s="178"/>
      <c r="AR95" s="178"/>
      <c r="AS95" s="178"/>
      <c r="AT95" s="178"/>
      <c r="AU95" s="178"/>
      <c r="AV95" s="178"/>
      <c r="AW95" s="178"/>
      <c r="AX95" s="178"/>
      <c r="AY95" s="178"/>
      <c r="AZ95" s="178"/>
      <c r="BA95" s="178"/>
      <c r="BB95" s="178"/>
      <c r="BC95" s="178"/>
      <c r="BD95" s="178"/>
      <c r="BE95" s="178"/>
      <c r="BF95" s="178"/>
      <c r="BG95" s="178"/>
      <c r="BH95" s="178"/>
      <c r="BI95" s="178"/>
      <c r="BJ95" s="178"/>
    </row>
    <row r="96" spans="1:62" ht="15.75" customHeight="1" outlineLevel="4">
      <c r="A96" s="147"/>
      <c r="B96" s="147"/>
      <c r="C96" s="147">
        <v>5</v>
      </c>
      <c r="D96" s="174" t="s">
        <v>1725</v>
      </c>
      <c r="E96" s="148"/>
      <c r="F96" s="234"/>
      <c r="G96" s="234"/>
      <c r="H96" s="148"/>
      <c r="I96" s="148" t="s">
        <v>1667</v>
      </c>
      <c r="J96" s="148"/>
      <c r="K96" s="148"/>
      <c r="L96" s="148"/>
      <c r="M96" s="148"/>
      <c r="N96" s="148"/>
      <c r="O96" s="148"/>
      <c r="P96" s="149"/>
      <c r="Q96" s="149"/>
      <c r="R96" s="148"/>
      <c r="S96" s="150">
        <v>0</v>
      </c>
      <c r="T96" s="150">
        <v>0</v>
      </c>
      <c r="U96" s="150">
        <v>0</v>
      </c>
      <c r="V96" s="150">
        <v>0</v>
      </c>
      <c r="W96" s="149"/>
      <c r="X96" s="149"/>
      <c r="Y96" s="151">
        <v>0</v>
      </c>
      <c r="Z96" s="152">
        <v>0</v>
      </c>
      <c r="AA96" s="150"/>
      <c r="AB96" s="148" t="s">
        <v>1603</v>
      </c>
      <c r="AC96" s="242"/>
      <c r="AD96" s="173">
        <v>0</v>
      </c>
      <c r="AE96" s="218">
        <v>0</v>
      </c>
      <c r="AF96" s="177"/>
      <c r="AG96" s="178"/>
      <c r="AH96" s="178"/>
      <c r="AI96" s="178"/>
      <c r="AJ96" s="178"/>
      <c r="AK96" s="178"/>
      <c r="AL96" s="178"/>
      <c r="AM96" s="178"/>
      <c r="AN96" s="178"/>
      <c r="AO96" s="178"/>
      <c r="AP96" s="178"/>
      <c r="AQ96" s="178"/>
      <c r="AR96" s="178"/>
      <c r="AS96" s="178"/>
      <c r="AT96" s="178"/>
      <c r="AU96" s="178"/>
      <c r="AV96" s="178"/>
      <c r="AW96" s="178"/>
      <c r="AX96" s="178"/>
      <c r="AY96" s="178"/>
      <c r="AZ96" s="178"/>
      <c r="BA96" s="178"/>
      <c r="BB96" s="178"/>
      <c r="BC96" s="178"/>
      <c r="BD96" s="178"/>
      <c r="BE96" s="178"/>
      <c r="BF96" s="178"/>
      <c r="BG96" s="178"/>
      <c r="BH96" s="178"/>
      <c r="BI96" s="178"/>
      <c r="BJ96" s="178"/>
    </row>
    <row r="97" spans="1:62" ht="15.75" customHeight="1" outlineLevel="4">
      <c r="A97" s="147"/>
      <c r="B97" s="147"/>
      <c r="C97" s="147">
        <v>5</v>
      </c>
      <c r="D97" s="174" t="s">
        <v>1726</v>
      </c>
      <c r="E97" s="148"/>
      <c r="F97" s="234"/>
      <c r="G97" s="234"/>
      <c r="H97" s="148"/>
      <c r="I97" s="148" t="s">
        <v>1668</v>
      </c>
      <c r="J97" s="148"/>
      <c r="K97" s="148"/>
      <c r="L97" s="148"/>
      <c r="M97" s="148"/>
      <c r="N97" s="148"/>
      <c r="O97" s="148"/>
      <c r="P97" s="149"/>
      <c r="Q97" s="149"/>
      <c r="R97" s="148"/>
      <c r="S97" s="150">
        <v>0</v>
      </c>
      <c r="T97" s="150">
        <v>0</v>
      </c>
      <c r="U97" s="150">
        <v>0</v>
      </c>
      <c r="V97" s="150">
        <v>0</v>
      </c>
      <c r="W97" s="149"/>
      <c r="X97" s="149"/>
      <c r="Y97" s="151">
        <v>0</v>
      </c>
      <c r="Z97" s="152">
        <v>0</v>
      </c>
      <c r="AA97" s="150"/>
      <c r="AB97" s="148" t="s">
        <v>1603</v>
      </c>
      <c r="AC97" s="242"/>
      <c r="AD97" s="173">
        <v>0</v>
      </c>
      <c r="AE97" s="218">
        <v>0</v>
      </c>
      <c r="AF97" s="177"/>
      <c r="AG97" s="178"/>
      <c r="AH97" s="178"/>
      <c r="AI97" s="178"/>
      <c r="AJ97" s="178"/>
      <c r="AK97" s="178"/>
      <c r="AL97" s="178"/>
      <c r="AM97" s="178"/>
      <c r="AN97" s="178"/>
      <c r="AO97" s="178"/>
      <c r="AP97" s="178"/>
      <c r="AQ97" s="178"/>
      <c r="AR97" s="178"/>
      <c r="AS97" s="178"/>
      <c r="AT97" s="178"/>
      <c r="AU97" s="178"/>
      <c r="AV97" s="178"/>
      <c r="AW97" s="178"/>
      <c r="AX97" s="178"/>
      <c r="AY97" s="178"/>
      <c r="AZ97" s="178"/>
      <c r="BA97" s="178"/>
      <c r="BB97" s="178"/>
      <c r="BC97" s="178"/>
      <c r="BD97" s="178"/>
      <c r="BE97" s="178"/>
      <c r="BF97" s="178"/>
      <c r="BG97" s="178"/>
      <c r="BH97" s="178"/>
      <c r="BI97" s="178"/>
      <c r="BJ97" s="178"/>
    </row>
    <row r="98" spans="1:62" ht="15.75" customHeight="1" outlineLevel="3">
      <c r="A98" s="147"/>
      <c r="B98" s="147" t="s">
        <v>1367</v>
      </c>
      <c r="C98" s="147">
        <v>4</v>
      </c>
      <c r="D98" s="174" t="s">
        <v>1727</v>
      </c>
      <c r="E98" s="148"/>
      <c r="F98" s="234"/>
      <c r="G98" s="234"/>
      <c r="H98" s="148" t="s">
        <v>1669</v>
      </c>
      <c r="I98" s="148"/>
      <c r="J98" s="148"/>
      <c r="K98" s="148"/>
      <c r="L98" s="148"/>
      <c r="M98" s="148"/>
      <c r="N98" s="148"/>
      <c r="O98" s="148"/>
      <c r="P98" s="149"/>
      <c r="Q98" s="149"/>
      <c r="R98" s="148"/>
      <c r="S98" s="150">
        <v>0</v>
      </c>
      <c r="T98" s="150">
        <v>0</v>
      </c>
      <c r="U98" s="150">
        <v>0</v>
      </c>
      <c r="V98" s="150">
        <v>0</v>
      </c>
      <c r="W98" s="149"/>
      <c r="X98" s="149"/>
      <c r="Y98" s="151">
        <v>0</v>
      </c>
      <c r="Z98" s="152">
        <v>0</v>
      </c>
      <c r="AA98" s="150"/>
      <c r="AB98" s="148"/>
      <c r="AC98" s="242"/>
      <c r="AD98" s="173">
        <v>0</v>
      </c>
      <c r="AE98" s="218">
        <v>0</v>
      </c>
      <c r="AF98" s="177"/>
      <c r="AG98" s="178"/>
      <c r="AH98" s="178"/>
      <c r="AI98" s="178"/>
      <c r="AJ98" s="178"/>
      <c r="AK98" s="178"/>
      <c r="AL98" s="178"/>
      <c r="AM98" s="178"/>
      <c r="AN98" s="178"/>
      <c r="AO98" s="178"/>
      <c r="AP98" s="178"/>
      <c r="AQ98" s="178"/>
      <c r="AR98" s="178"/>
      <c r="AS98" s="178"/>
      <c r="AT98" s="178"/>
      <c r="AU98" s="178"/>
      <c r="AV98" s="178"/>
      <c r="AW98" s="178"/>
      <c r="AX98" s="178"/>
      <c r="AY98" s="178"/>
      <c r="AZ98" s="178"/>
      <c r="BA98" s="178"/>
      <c r="BB98" s="178"/>
      <c r="BC98" s="178"/>
      <c r="BD98" s="178"/>
      <c r="BE98" s="178"/>
      <c r="BF98" s="178"/>
      <c r="BG98" s="178"/>
      <c r="BH98" s="178"/>
      <c r="BI98" s="178"/>
      <c r="BJ98" s="178"/>
    </row>
    <row r="99" spans="1:62" ht="15.75" customHeight="1" outlineLevel="4">
      <c r="A99" s="147"/>
      <c r="B99" s="147"/>
      <c r="C99" s="147">
        <v>5</v>
      </c>
      <c r="D99" s="174" t="s">
        <v>1728</v>
      </c>
      <c r="E99" s="148"/>
      <c r="F99" s="234"/>
      <c r="G99" s="234"/>
      <c r="H99" s="148"/>
      <c r="I99" s="148" t="s">
        <v>1670</v>
      </c>
      <c r="J99" s="148"/>
      <c r="K99" s="148"/>
      <c r="L99" s="148"/>
      <c r="M99" s="148"/>
      <c r="N99" s="148"/>
      <c r="O99" s="148"/>
      <c r="P99" s="149"/>
      <c r="Q99" s="149"/>
      <c r="R99" s="148"/>
      <c r="S99" s="150">
        <v>0</v>
      </c>
      <c r="T99" s="150">
        <v>0</v>
      </c>
      <c r="U99" s="150">
        <v>0</v>
      </c>
      <c r="V99" s="150">
        <v>0</v>
      </c>
      <c r="W99" s="149"/>
      <c r="X99" s="149"/>
      <c r="Y99" s="151">
        <v>0</v>
      </c>
      <c r="Z99" s="152">
        <v>0</v>
      </c>
      <c r="AA99" s="150"/>
      <c r="AB99" s="148" t="s">
        <v>1603</v>
      </c>
      <c r="AC99" s="242"/>
      <c r="AD99" s="173">
        <v>0</v>
      </c>
      <c r="AE99" s="218">
        <v>0</v>
      </c>
      <c r="AF99" s="177"/>
      <c r="AG99" s="178"/>
      <c r="AH99" s="178"/>
      <c r="AI99" s="178"/>
      <c r="AJ99" s="178"/>
      <c r="AK99" s="178"/>
      <c r="AL99" s="178"/>
      <c r="AM99" s="178"/>
      <c r="AN99" s="178"/>
      <c r="AO99" s="178"/>
      <c r="AP99" s="178"/>
      <c r="AQ99" s="178"/>
      <c r="AR99" s="178"/>
      <c r="AS99" s="178"/>
      <c r="AT99" s="178"/>
      <c r="AU99" s="178"/>
      <c r="AV99" s="178"/>
      <c r="AW99" s="178"/>
      <c r="AX99" s="178"/>
      <c r="AY99" s="178"/>
      <c r="AZ99" s="178"/>
      <c r="BA99" s="178"/>
      <c r="BB99" s="178"/>
      <c r="BC99" s="178"/>
      <c r="BD99" s="178"/>
      <c r="BE99" s="178"/>
      <c r="BF99" s="178"/>
      <c r="BG99" s="178"/>
      <c r="BH99" s="178"/>
      <c r="BI99" s="178"/>
      <c r="BJ99" s="178"/>
    </row>
    <row r="100" spans="1:62" ht="15.75" customHeight="1" outlineLevel="4">
      <c r="A100" s="147"/>
      <c r="B100" s="147"/>
      <c r="C100" s="147">
        <v>5</v>
      </c>
      <c r="D100" s="174" t="s">
        <v>1729</v>
      </c>
      <c r="E100" s="148"/>
      <c r="F100" s="234"/>
      <c r="G100" s="234"/>
      <c r="H100" s="148"/>
      <c r="I100" s="148" t="s">
        <v>1671</v>
      </c>
      <c r="J100" s="148"/>
      <c r="K100" s="148"/>
      <c r="L100" s="148"/>
      <c r="M100" s="148"/>
      <c r="N100" s="148"/>
      <c r="O100" s="148"/>
      <c r="P100" s="149"/>
      <c r="Q100" s="149"/>
      <c r="R100" s="148"/>
      <c r="S100" s="150">
        <v>0</v>
      </c>
      <c r="T100" s="150">
        <v>0</v>
      </c>
      <c r="U100" s="150">
        <v>0</v>
      </c>
      <c r="V100" s="150">
        <v>0</v>
      </c>
      <c r="W100" s="149"/>
      <c r="X100" s="149"/>
      <c r="Y100" s="151">
        <v>0</v>
      </c>
      <c r="Z100" s="152">
        <v>0</v>
      </c>
      <c r="AA100" s="150"/>
      <c r="AB100" s="148" t="s">
        <v>1603</v>
      </c>
      <c r="AC100" s="242"/>
      <c r="AD100" s="173">
        <v>0</v>
      </c>
      <c r="AE100" s="218">
        <v>0</v>
      </c>
      <c r="AF100" s="177"/>
      <c r="AG100" s="178"/>
      <c r="AH100" s="178"/>
      <c r="AI100" s="178"/>
      <c r="AJ100" s="178"/>
      <c r="AK100" s="178"/>
      <c r="AL100" s="178"/>
      <c r="AM100" s="178"/>
      <c r="AN100" s="178"/>
      <c r="AO100" s="178"/>
      <c r="AP100" s="178"/>
      <c r="AQ100" s="178"/>
      <c r="AR100" s="178"/>
      <c r="AS100" s="178"/>
      <c r="AT100" s="178"/>
      <c r="AU100" s="178"/>
      <c r="AV100" s="178"/>
      <c r="AW100" s="178"/>
      <c r="AX100" s="178"/>
      <c r="AY100" s="178"/>
      <c r="AZ100" s="178"/>
      <c r="BA100" s="178"/>
      <c r="BB100" s="178"/>
      <c r="BC100" s="178"/>
      <c r="BD100" s="178"/>
      <c r="BE100" s="178"/>
      <c r="BF100" s="178"/>
      <c r="BG100" s="178"/>
      <c r="BH100" s="178"/>
      <c r="BI100" s="178"/>
      <c r="BJ100" s="178"/>
    </row>
    <row r="101" spans="1:62" ht="15.75" customHeight="1" outlineLevel="4">
      <c r="A101" s="147"/>
      <c r="B101" s="147"/>
      <c r="C101" s="147">
        <v>5</v>
      </c>
      <c r="D101" s="174" t="s">
        <v>1730</v>
      </c>
      <c r="E101" s="148"/>
      <c r="F101" s="234"/>
      <c r="G101" s="234"/>
      <c r="H101" s="148"/>
      <c r="I101" s="148" t="s">
        <v>1672</v>
      </c>
      <c r="J101" s="148"/>
      <c r="K101" s="148"/>
      <c r="L101" s="148"/>
      <c r="M101" s="148"/>
      <c r="N101" s="148"/>
      <c r="O101" s="148"/>
      <c r="P101" s="149"/>
      <c r="Q101" s="149"/>
      <c r="R101" s="148"/>
      <c r="S101" s="150">
        <v>0</v>
      </c>
      <c r="T101" s="150">
        <v>0</v>
      </c>
      <c r="U101" s="150">
        <v>0</v>
      </c>
      <c r="V101" s="150">
        <v>0</v>
      </c>
      <c r="W101" s="149"/>
      <c r="X101" s="149"/>
      <c r="Y101" s="151">
        <v>0</v>
      </c>
      <c r="Z101" s="152">
        <v>0</v>
      </c>
      <c r="AA101" s="150"/>
      <c r="AB101" s="148" t="s">
        <v>1603</v>
      </c>
      <c r="AC101" s="242"/>
      <c r="AD101" s="173">
        <v>0</v>
      </c>
      <c r="AE101" s="218">
        <v>0</v>
      </c>
      <c r="AF101" s="177"/>
      <c r="AG101" s="178"/>
      <c r="AH101" s="178"/>
      <c r="AI101" s="178"/>
      <c r="AJ101" s="178"/>
      <c r="AK101" s="178"/>
      <c r="AL101" s="178"/>
      <c r="AM101" s="178"/>
      <c r="AN101" s="178"/>
      <c r="AO101" s="178"/>
      <c r="AP101" s="178"/>
      <c r="AQ101" s="178"/>
      <c r="AR101" s="178"/>
      <c r="AS101" s="178"/>
      <c r="AT101" s="178"/>
      <c r="AU101" s="178"/>
      <c r="AV101" s="178"/>
      <c r="AW101" s="178"/>
      <c r="AX101" s="178"/>
      <c r="AY101" s="178"/>
      <c r="AZ101" s="178"/>
      <c r="BA101" s="178"/>
      <c r="BB101" s="178"/>
      <c r="BC101" s="178"/>
      <c r="BD101" s="178"/>
      <c r="BE101" s="178"/>
      <c r="BF101" s="178"/>
      <c r="BG101" s="178"/>
      <c r="BH101" s="178"/>
      <c r="BI101" s="178"/>
      <c r="BJ101" s="178"/>
    </row>
    <row r="102" spans="1:62" ht="15.75" customHeight="1" outlineLevel="4">
      <c r="A102" s="147"/>
      <c r="B102" s="147"/>
      <c r="C102" s="147">
        <v>5</v>
      </c>
      <c r="D102" s="174" t="s">
        <v>1731</v>
      </c>
      <c r="E102" s="148"/>
      <c r="F102" s="234"/>
      <c r="G102" s="234"/>
      <c r="H102" s="148"/>
      <c r="I102" s="148" t="s">
        <v>1673</v>
      </c>
      <c r="J102" s="148"/>
      <c r="K102" s="148"/>
      <c r="L102" s="148"/>
      <c r="M102" s="148"/>
      <c r="N102" s="148"/>
      <c r="O102" s="148"/>
      <c r="P102" s="149"/>
      <c r="Q102" s="149"/>
      <c r="R102" s="148"/>
      <c r="S102" s="150">
        <v>0</v>
      </c>
      <c r="T102" s="150">
        <v>0</v>
      </c>
      <c r="U102" s="150">
        <v>0</v>
      </c>
      <c r="V102" s="150">
        <v>0</v>
      </c>
      <c r="W102" s="149"/>
      <c r="X102" s="149"/>
      <c r="Y102" s="151">
        <v>0</v>
      </c>
      <c r="Z102" s="152">
        <v>0</v>
      </c>
      <c r="AA102" s="150"/>
      <c r="AB102" s="148" t="s">
        <v>1603</v>
      </c>
      <c r="AC102" s="242"/>
      <c r="AD102" s="173">
        <v>0</v>
      </c>
      <c r="AE102" s="218">
        <v>0</v>
      </c>
      <c r="AF102" s="177"/>
      <c r="AG102" s="178"/>
      <c r="AH102" s="178"/>
      <c r="AI102" s="178"/>
      <c r="AJ102" s="178"/>
      <c r="AK102" s="178"/>
      <c r="AL102" s="178"/>
      <c r="AM102" s="178"/>
      <c r="AN102" s="178"/>
      <c r="AO102" s="178"/>
      <c r="AP102" s="178"/>
      <c r="AQ102" s="178"/>
      <c r="AR102" s="178"/>
      <c r="AS102" s="178"/>
      <c r="AT102" s="178"/>
      <c r="AU102" s="178"/>
      <c r="AV102" s="178"/>
      <c r="AW102" s="178"/>
      <c r="AX102" s="178"/>
      <c r="AY102" s="178"/>
      <c r="AZ102" s="178"/>
      <c r="BA102" s="178"/>
      <c r="BB102" s="178"/>
      <c r="BC102" s="178"/>
      <c r="BD102" s="178"/>
      <c r="BE102" s="178"/>
      <c r="BF102" s="178"/>
      <c r="BG102" s="178"/>
      <c r="BH102" s="178"/>
      <c r="BI102" s="178"/>
      <c r="BJ102" s="178"/>
    </row>
    <row r="103" spans="1:62" ht="15.75" customHeight="1" outlineLevel="4">
      <c r="A103" s="147"/>
      <c r="B103" s="147"/>
      <c r="C103" s="147">
        <v>5</v>
      </c>
      <c r="D103" s="174" t="s">
        <v>1732</v>
      </c>
      <c r="E103" s="148"/>
      <c r="F103" s="234"/>
      <c r="G103" s="234"/>
      <c r="H103" s="148"/>
      <c r="I103" s="148" t="s">
        <v>1674</v>
      </c>
      <c r="J103" s="148"/>
      <c r="K103" s="148"/>
      <c r="L103" s="148"/>
      <c r="M103" s="148"/>
      <c r="N103" s="148"/>
      <c r="O103" s="148"/>
      <c r="P103" s="149"/>
      <c r="Q103" s="149"/>
      <c r="R103" s="148"/>
      <c r="S103" s="150">
        <v>0</v>
      </c>
      <c r="T103" s="150">
        <v>0</v>
      </c>
      <c r="U103" s="150">
        <v>0</v>
      </c>
      <c r="V103" s="150">
        <v>0</v>
      </c>
      <c r="W103" s="149"/>
      <c r="X103" s="149"/>
      <c r="Y103" s="151">
        <v>0</v>
      </c>
      <c r="Z103" s="152">
        <v>0</v>
      </c>
      <c r="AA103" s="150"/>
      <c r="AB103" s="148" t="s">
        <v>1603</v>
      </c>
      <c r="AC103" s="242"/>
      <c r="AD103" s="173">
        <v>0</v>
      </c>
      <c r="AE103" s="218">
        <v>0</v>
      </c>
      <c r="AF103" s="177"/>
      <c r="AG103" s="178"/>
      <c r="AH103" s="178"/>
      <c r="AI103" s="178"/>
      <c r="AJ103" s="178"/>
      <c r="AK103" s="178"/>
      <c r="AL103" s="178"/>
      <c r="AM103" s="178"/>
      <c r="AN103" s="178"/>
      <c r="AO103" s="178"/>
      <c r="AP103" s="178"/>
      <c r="AQ103" s="178"/>
      <c r="AR103" s="178"/>
      <c r="AS103" s="178"/>
      <c r="AT103" s="178"/>
      <c r="AU103" s="178"/>
      <c r="AV103" s="178"/>
      <c r="AW103" s="178"/>
      <c r="AX103" s="178"/>
      <c r="AY103" s="178"/>
      <c r="AZ103" s="178"/>
      <c r="BA103" s="178"/>
      <c r="BB103" s="178"/>
      <c r="BC103" s="178"/>
      <c r="BD103" s="178"/>
      <c r="BE103" s="178"/>
      <c r="BF103" s="178"/>
      <c r="BG103" s="178"/>
      <c r="BH103" s="178"/>
      <c r="BI103" s="178"/>
      <c r="BJ103" s="178"/>
    </row>
    <row r="104" spans="1:62" ht="15.75" customHeight="1" outlineLevel="4">
      <c r="A104" s="147"/>
      <c r="B104" s="147"/>
      <c r="C104" s="147">
        <v>5</v>
      </c>
      <c r="D104" s="174" t="s">
        <v>1733</v>
      </c>
      <c r="E104" s="148"/>
      <c r="F104" s="234"/>
      <c r="G104" s="234"/>
      <c r="H104" s="148"/>
      <c r="I104" s="148" t="s">
        <v>1675</v>
      </c>
      <c r="J104" s="148"/>
      <c r="K104" s="148"/>
      <c r="L104" s="148"/>
      <c r="M104" s="148"/>
      <c r="N104" s="148"/>
      <c r="O104" s="148"/>
      <c r="P104" s="149"/>
      <c r="Q104" s="149"/>
      <c r="R104" s="148"/>
      <c r="S104" s="150">
        <v>0</v>
      </c>
      <c r="T104" s="150">
        <v>0</v>
      </c>
      <c r="U104" s="150">
        <v>0</v>
      </c>
      <c r="V104" s="150">
        <v>0</v>
      </c>
      <c r="W104" s="149"/>
      <c r="X104" s="149"/>
      <c r="Y104" s="151">
        <v>0</v>
      </c>
      <c r="Z104" s="152">
        <v>0</v>
      </c>
      <c r="AA104" s="150"/>
      <c r="AB104" s="148" t="s">
        <v>1603</v>
      </c>
      <c r="AC104" s="242"/>
      <c r="AD104" s="173">
        <v>0</v>
      </c>
      <c r="AE104" s="218">
        <v>0</v>
      </c>
      <c r="AF104" s="177"/>
      <c r="AG104" s="178"/>
      <c r="AH104" s="178"/>
      <c r="AI104" s="178"/>
      <c r="AJ104" s="178"/>
      <c r="AK104" s="178"/>
      <c r="AL104" s="178"/>
      <c r="AM104" s="178"/>
      <c r="AN104" s="178"/>
      <c r="AO104" s="178"/>
      <c r="AP104" s="178"/>
      <c r="AQ104" s="178"/>
      <c r="AR104" s="178"/>
      <c r="AS104" s="178"/>
      <c r="AT104" s="178"/>
      <c r="AU104" s="178"/>
      <c r="AV104" s="178"/>
      <c r="AW104" s="178"/>
      <c r="AX104" s="178"/>
      <c r="AY104" s="178"/>
      <c r="AZ104" s="178"/>
      <c r="BA104" s="178"/>
      <c r="BB104" s="178"/>
      <c r="BC104" s="178"/>
      <c r="BD104" s="178"/>
      <c r="BE104" s="178"/>
      <c r="BF104" s="178"/>
      <c r="BG104" s="178"/>
      <c r="BH104" s="178"/>
      <c r="BI104" s="178"/>
      <c r="BJ104" s="178"/>
    </row>
    <row r="105" spans="1:62" ht="15.75" customHeight="1" outlineLevel="3">
      <c r="A105" s="147"/>
      <c r="B105" s="147" t="s">
        <v>1367</v>
      </c>
      <c r="C105" s="147">
        <v>4</v>
      </c>
      <c r="D105" s="174" t="s">
        <v>1734</v>
      </c>
      <c r="E105" s="148"/>
      <c r="F105" s="234"/>
      <c r="G105" s="234"/>
      <c r="H105" s="148" t="s">
        <v>1523</v>
      </c>
      <c r="I105" s="148"/>
      <c r="J105" s="148"/>
      <c r="K105" s="148"/>
      <c r="L105" s="148"/>
      <c r="M105" s="148"/>
      <c r="N105" s="148"/>
      <c r="O105" s="148"/>
      <c r="P105" s="149"/>
      <c r="Q105" s="149"/>
      <c r="R105" s="148"/>
      <c r="S105" s="150">
        <v>0</v>
      </c>
      <c r="T105" s="150">
        <v>0</v>
      </c>
      <c r="U105" s="150">
        <v>0</v>
      </c>
      <c r="V105" s="150">
        <v>0</v>
      </c>
      <c r="W105" s="149"/>
      <c r="X105" s="149"/>
      <c r="Y105" s="151">
        <v>0</v>
      </c>
      <c r="Z105" s="152">
        <v>0</v>
      </c>
      <c r="AA105" s="150"/>
      <c r="AB105" s="148"/>
      <c r="AC105" s="242"/>
      <c r="AD105" s="173">
        <v>0</v>
      </c>
      <c r="AE105" s="218">
        <v>0</v>
      </c>
      <c r="AF105" s="177"/>
      <c r="AG105" s="178"/>
      <c r="AH105" s="178"/>
      <c r="AI105" s="178"/>
      <c r="AJ105" s="178"/>
      <c r="AK105" s="178"/>
      <c r="AL105" s="178"/>
      <c r="AM105" s="178"/>
      <c r="AN105" s="178"/>
      <c r="AO105" s="178"/>
      <c r="AP105" s="178"/>
      <c r="AQ105" s="178"/>
      <c r="AR105" s="178"/>
      <c r="AS105" s="178"/>
      <c r="AT105" s="178"/>
      <c r="AU105" s="178"/>
      <c r="AV105" s="178"/>
      <c r="AW105" s="178"/>
      <c r="AX105" s="178"/>
      <c r="AY105" s="178"/>
      <c r="AZ105" s="178"/>
      <c r="BA105" s="178"/>
      <c r="BB105" s="178"/>
      <c r="BC105" s="178"/>
      <c r="BD105" s="178"/>
      <c r="BE105" s="178"/>
      <c r="BF105" s="178"/>
      <c r="BG105" s="178"/>
      <c r="BH105" s="178"/>
      <c r="BI105" s="178"/>
      <c r="BJ105" s="178"/>
    </row>
    <row r="106" spans="1:62" ht="15.75" customHeight="1" outlineLevel="4">
      <c r="A106" s="147"/>
      <c r="B106" s="147"/>
      <c r="C106" s="147">
        <v>5</v>
      </c>
      <c r="D106" s="174" t="s">
        <v>1735</v>
      </c>
      <c r="E106" s="148"/>
      <c r="F106" s="234"/>
      <c r="G106" s="234"/>
      <c r="H106" s="148"/>
      <c r="I106" s="148" t="s">
        <v>1670</v>
      </c>
      <c r="J106" s="148"/>
      <c r="K106" s="148"/>
      <c r="L106" s="148"/>
      <c r="M106" s="148"/>
      <c r="N106" s="148"/>
      <c r="O106" s="148"/>
      <c r="P106" s="149"/>
      <c r="Q106" s="149"/>
      <c r="R106" s="148"/>
      <c r="S106" s="150">
        <v>0</v>
      </c>
      <c r="T106" s="150">
        <v>0</v>
      </c>
      <c r="U106" s="150">
        <v>0</v>
      </c>
      <c r="V106" s="150">
        <v>0</v>
      </c>
      <c r="W106" s="149"/>
      <c r="X106" s="149"/>
      <c r="Y106" s="151">
        <v>0</v>
      </c>
      <c r="Z106" s="152">
        <v>0</v>
      </c>
      <c r="AA106" s="150"/>
      <c r="AB106" s="148" t="s">
        <v>1603</v>
      </c>
      <c r="AC106" s="242"/>
      <c r="AD106" s="173">
        <v>0</v>
      </c>
      <c r="AE106" s="218">
        <v>0</v>
      </c>
      <c r="AF106" s="177"/>
      <c r="AG106" s="178"/>
      <c r="AH106" s="178"/>
      <c r="AI106" s="178"/>
      <c r="AJ106" s="178"/>
      <c r="AK106" s="178"/>
      <c r="AL106" s="178"/>
      <c r="AM106" s="178"/>
      <c r="AN106" s="178"/>
      <c r="AO106" s="178"/>
      <c r="AP106" s="178"/>
      <c r="AQ106" s="178"/>
      <c r="AR106" s="178"/>
      <c r="AS106" s="178"/>
      <c r="AT106" s="178"/>
      <c r="AU106" s="178"/>
      <c r="AV106" s="178"/>
      <c r="AW106" s="178"/>
      <c r="AX106" s="178"/>
      <c r="AY106" s="178"/>
      <c r="AZ106" s="178"/>
      <c r="BA106" s="178"/>
      <c r="BB106" s="178"/>
      <c r="BC106" s="178"/>
      <c r="BD106" s="178"/>
      <c r="BE106" s="178"/>
      <c r="BF106" s="178"/>
      <c r="BG106" s="178"/>
      <c r="BH106" s="178"/>
      <c r="BI106" s="178"/>
      <c r="BJ106" s="178"/>
    </row>
    <row r="107" spans="1:62" ht="15.75" customHeight="1" outlineLevel="4">
      <c r="A107" s="147"/>
      <c r="B107" s="147"/>
      <c r="C107" s="147">
        <v>5</v>
      </c>
      <c r="D107" s="174" t="s">
        <v>1736</v>
      </c>
      <c r="E107" s="148"/>
      <c r="F107" s="234"/>
      <c r="G107" s="234"/>
      <c r="H107" s="148"/>
      <c r="I107" s="148" t="s">
        <v>1676</v>
      </c>
      <c r="J107" s="148"/>
      <c r="K107" s="148"/>
      <c r="L107" s="148"/>
      <c r="M107" s="148"/>
      <c r="N107" s="148"/>
      <c r="O107" s="148"/>
      <c r="P107" s="149"/>
      <c r="Q107" s="149"/>
      <c r="R107" s="148"/>
      <c r="S107" s="150">
        <v>0</v>
      </c>
      <c r="T107" s="150">
        <v>0</v>
      </c>
      <c r="U107" s="150">
        <v>0</v>
      </c>
      <c r="V107" s="150">
        <v>0</v>
      </c>
      <c r="W107" s="149"/>
      <c r="X107" s="149"/>
      <c r="Y107" s="151">
        <v>0</v>
      </c>
      <c r="Z107" s="152">
        <v>0</v>
      </c>
      <c r="AA107" s="150"/>
      <c r="AB107" s="148" t="s">
        <v>1603</v>
      </c>
      <c r="AC107" s="242"/>
      <c r="AD107" s="173">
        <v>0</v>
      </c>
      <c r="AE107" s="218">
        <v>0</v>
      </c>
      <c r="AF107" s="177"/>
      <c r="AG107" s="178"/>
      <c r="AH107" s="178"/>
      <c r="AI107" s="178"/>
      <c r="AJ107" s="178"/>
      <c r="AK107" s="178"/>
      <c r="AL107" s="178"/>
      <c r="AM107" s="178"/>
      <c r="AN107" s="178"/>
      <c r="AO107" s="178"/>
      <c r="AP107" s="178"/>
      <c r="AQ107" s="178"/>
      <c r="AR107" s="178"/>
      <c r="AS107" s="178"/>
      <c r="AT107" s="178"/>
      <c r="AU107" s="178"/>
      <c r="AV107" s="178"/>
      <c r="AW107" s="178"/>
      <c r="AX107" s="178"/>
      <c r="AY107" s="178"/>
      <c r="AZ107" s="178"/>
      <c r="BA107" s="178"/>
      <c r="BB107" s="178"/>
      <c r="BC107" s="178"/>
      <c r="BD107" s="178"/>
      <c r="BE107" s="178"/>
      <c r="BF107" s="178"/>
      <c r="BG107" s="178"/>
      <c r="BH107" s="178"/>
      <c r="BI107" s="178"/>
      <c r="BJ107" s="178"/>
    </row>
    <row r="108" spans="1:62" ht="15.75" customHeight="1" outlineLevel="4">
      <c r="A108" s="147"/>
      <c r="B108" s="147"/>
      <c r="C108" s="147">
        <v>5</v>
      </c>
      <c r="D108" s="174" t="s">
        <v>1737</v>
      </c>
      <c r="E108" s="148"/>
      <c r="F108" s="234"/>
      <c r="G108" s="234"/>
      <c r="H108" s="148"/>
      <c r="I108" s="148" t="s">
        <v>1677</v>
      </c>
      <c r="J108" s="148"/>
      <c r="K108" s="148"/>
      <c r="L108" s="148"/>
      <c r="M108" s="148"/>
      <c r="N108" s="148"/>
      <c r="O108" s="148"/>
      <c r="P108" s="149"/>
      <c r="Q108" s="149"/>
      <c r="R108" s="148"/>
      <c r="S108" s="150">
        <v>0</v>
      </c>
      <c r="T108" s="150">
        <v>0</v>
      </c>
      <c r="U108" s="150">
        <v>0</v>
      </c>
      <c r="V108" s="150">
        <v>0</v>
      </c>
      <c r="W108" s="149"/>
      <c r="X108" s="149"/>
      <c r="Y108" s="151">
        <v>0</v>
      </c>
      <c r="Z108" s="152">
        <v>0</v>
      </c>
      <c r="AA108" s="150"/>
      <c r="AB108" s="148" t="s">
        <v>1603</v>
      </c>
      <c r="AC108" s="242"/>
      <c r="AD108" s="173">
        <v>0</v>
      </c>
      <c r="AE108" s="218">
        <v>0</v>
      </c>
      <c r="AF108" s="177"/>
      <c r="AG108" s="178"/>
      <c r="AH108" s="178"/>
      <c r="AI108" s="178"/>
      <c r="AJ108" s="178"/>
      <c r="AK108" s="178"/>
      <c r="AL108" s="178"/>
      <c r="AM108" s="178"/>
      <c r="AN108" s="178"/>
      <c r="AO108" s="178"/>
      <c r="AP108" s="178"/>
      <c r="AQ108" s="178"/>
      <c r="AR108" s="178"/>
      <c r="AS108" s="178"/>
      <c r="AT108" s="178"/>
      <c r="AU108" s="178"/>
      <c r="AV108" s="178"/>
      <c r="AW108" s="178"/>
      <c r="AX108" s="178"/>
      <c r="AY108" s="178"/>
      <c r="AZ108" s="178"/>
      <c r="BA108" s="178"/>
      <c r="BB108" s="178"/>
      <c r="BC108" s="178"/>
      <c r="BD108" s="178"/>
      <c r="BE108" s="178"/>
      <c r="BF108" s="178"/>
      <c r="BG108" s="178"/>
      <c r="BH108" s="178"/>
      <c r="BI108" s="178"/>
      <c r="BJ108" s="178"/>
    </row>
    <row r="109" spans="1:62" ht="15.75" customHeight="1" outlineLevel="4">
      <c r="A109" s="147"/>
      <c r="B109" s="147"/>
      <c r="C109" s="147">
        <v>5</v>
      </c>
      <c r="D109" s="174" t="s">
        <v>1738</v>
      </c>
      <c r="E109" s="148"/>
      <c r="F109" s="234"/>
      <c r="G109" s="234"/>
      <c r="H109" s="148"/>
      <c r="I109" s="148" t="s">
        <v>1678</v>
      </c>
      <c r="J109" s="148"/>
      <c r="K109" s="148"/>
      <c r="L109" s="148"/>
      <c r="M109" s="148"/>
      <c r="N109" s="148"/>
      <c r="O109" s="148"/>
      <c r="P109" s="149"/>
      <c r="Q109" s="149"/>
      <c r="R109" s="148"/>
      <c r="S109" s="150">
        <v>0</v>
      </c>
      <c r="T109" s="150">
        <v>0</v>
      </c>
      <c r="U109" s="150">
        <v>0</v>
      </c>
      <c r="V109" s="150">
        <v>0</v>
      </c>
      <c r="W109" s="149"/>
      <c r="X109" s="149"/>
      <c r="Y109" s="151">
        <v>0</v>
      </c>
      <c r="Z109" s="152">
        <v>0</v>
      </c>
      <c r="AA109" s="150"/>
      <c r="AB109" s="148" t="s">
        <v>1603</v>
      </c>
      <c r="AC109" s="242"/>
      <c r="AD109" s="173">
        <v>0</v>
      </c>
      <c r="AE109" s="218">
        <v>0</v>
      </c>
      <c r="AF109" s="177"/>
      <c r="AG109" s="178"/>
      <c r="AH109" s="178"/>
      <c r="AI109" s="178"/>
      <c r="AJ109" s="178"/>
      <c r="AK109" s="178"/>
      <c r="AL109" s="178"/>
      <c r="AM109" s="178"/>
      <c r="AN109" s="178"/>
      <c r="AO109" s="178"/>
      <c r="AP109" s="178"/>
      <c r="AQ109" s="178"/>
      <c r="AR109" s="178"/>
      <c r="AS109" s="178"/>
      <c r="AT109" s="178"/>
      <c r="AU109" s="178"/>
      <c r="AV109" s="178"/>
      <c r="AW109" s="178"/>
      <c r="AX109" s="178"/>
      <c r="AY109" s="178"/>
      <c r="AZ109" s="178"/>
      <c r="BA109" s="178"/>
      <c r="BB109" s="178"/>
      <c r="BC109" s="178"/>
      <c r="BD109" s="178"/>
      <c r="BE109" s="178"/>
      <c r="BF109" s="178"/>
      <c r="BG109" s="178"/>
      <c r="BH109" s="178"/>
      <c r="BI109" s="178"/>
      <c r="BJ109" s="178"/>
    </row>
    <row r="110" spans="1:62" ht="15.75" customHeight="1" outlineLevel="3">
      <c r="A110" s="147"/>
      <c r="B110" s="147" t="s">
        <v>1367</v>
      </c>
      <c r="C110" s="147">
        <v>4</v>
      </c>
      <c r="D110" s="174" t="s">
        <v>1739</v>
      </c>
      <c r="E110" s="148"/>
      <c r="F110" s="234"/>
      <c r="G110" s="234"/>
      <c r="H110" s="248" t="s">
        <v>1770</v>
      </c>
      <c r="I110" s="148"/>
      <c r="J110" s="148"/>
      <c r="K110" s="148"/>
      <c r="L110" s="148"/>
      <c r="M110" s="148"/>
      <c r="N110" s="148"/>
      <c r="O110" s="148"/>
      <c r="P110" s="149"/>
      <c r="Q110" s="149"/>
      <c r="R110" s="148"/>
      <c r="S110" s="150">
        <v>0</v>
      </c>
      <c r="T110" s="150">
        <v>0</v>
      </c>
      <c r="U110" s="150">
        <v>0</v>
      </c>
      <c r="V110" s="150">
        <v>0</v>
      </c>
      <c r="W110" s="149"/>
      <c r="X110" s="149"/>
      <c r="Y110" s="151">
        <v>0</v>
      </c>
      <c r="Z110" s="152">
        <v>0</v>
      </c>
      <c r="AA110" s="150"/>
      <c r="AB110" s="148"/>
      <c r="AC110" s="242"/>
      <c r="AD110" s="173">
        <v>0</v>
      </c>
      <c r="AE110" s="218">
        <v>0</v>
      </c>
      <c r="AF110" s="177"/>
      <c r="AG110" s="178"/>
      <c r="AH110" s="178"/>
      <c r="AI110" s="178"/>
      <c r="AJ110" s="178"/>
      <c r="AK110" s="178"/>
      <c r="AL110" s="178"/>
      <c r="AM110" s="178"/>
      <c r="AN110" s="178"/>
      <c r="AO110" s="178"/>
      <c r="AP110" s="178"/>
      <c r="AQ110" s="178"/>
      <c r="AR110" s="178"/>
      <c r="AS110" s="178"/>
      <c r="AT110" s="178"/>
      <c r="AU110" s="178"/>
      <c r="AV110" s="178"/>
      <c r="AW110" s="178"/>
      <c r="AX110" s="178"/>
      <c r="AY110" s="178"/>
      <c r="AZ110" s="178"/>
      <c r="BA110" s="178"/>
      <c r="BB110" s="178"/>
      <c r="BC110" s="178"/>
      <c r="BD110" s="178"/>
      <c r="BE110" s="178"/>
      <c r="BF110" s="178"/>
      <c r="BG110" s="178"/>
      <c r="BH110" s="178"/>
      <c r="BI110" s="178"/>
      <c r="BJ110" s="178"/>
    </row>
    <row r="111" spans="1:62" ht="15.75" customHeight="1" outlineLevel="4">
      <c r="A111" s="147"/>
      <c r="B111" s="147"/>
      <c r="C111" s="147">
        <v>5</v>
      </c>
      <c r="D111" s="174" t="s">
        <v>1740</v>
      </c>
      <c r="E111" s="148"/>
      <c r="F111" s="234"/>
      <c r="G111" s="234"/>
      <c r="H111" s="148"/>
      <c r="I111" s="148" t="s">
        <v>1741</v>
      </c>
      <c r="J111" s="148"/>
      <c r="K111" s="148"/>
      <c r="L111" s="148"/>
      <c r="M111" s="148"/>
      <c r="N111" s="148"/>
      <c r="O111" s="148"/>
      <c r="P111" s="149"/>
      <c r="Q111" s="149"/>
      <c r="R111" s="148"/>
      <c r="S111" s="150">
        <v>0</v>
      </c>
      <c r="T111" s="150">
        <v>0</v>
      </c>
      <c r="U111" s="150">
        <v>0</v>
      </c>
      <c r="V111" s="150">
        <v>0</v>
      </c>
      <c r="W111" s="149"/>
      <c r="X111" s="149"/>
      <c r="Y111" s="151">
        <v>0</v>
      </c>
      <c r="Z111" s="152">
        <v>0</v>
      </c>
      <c r="AA111" s="150"/>
      <c r="AB111" s="148" t="s">
        <v>1760</v>
      </c>
      <c r="AC111" s="242"/>
      <c r="AD111" s="173">
        <v>0</v>
      </c>
      <c r="AE111" s="218">
        <v>0</v>
      </c>
      <c r="AF111" s="177"/>
      <c r="AG111" s="178"/>
      <c r="AH111" s="178"/>
      <c r="AI111" s="178"/>
      <c r="AJ111" s="178"/>
      <c r="AK111" s="178"/>
      <c r="AL111" s="178"/>
      <c r="AM111" s="178"/>
      <c r="AN111" s="178"/>
      <c r="AO111" s="178"/>
      <c r="AP111" s="178"/>
      <c r="AQ111" s="178"/>
      <c r="AR111" s="178"/>
      <c r="AS111" s="178"/>
      <c r="AT111" s="178"/>
      <c r="AU111" s="178"/>
      <c r="AV111" s="178"/>
      <c r="AW111" s="178"/>
      <c r="AX111" s="178"/>
      <c r="AY111" s="178"/>
      <c r="AZ111" s="178"/>
      <c r="BA111" s="178"/>
      <c r="BB111" s="178"/>
      <c r="BC111" s="178"/>
      <c r="BD111" s="178"/>
      <c r="BE111" s="178"/>
      <c r="BF111" s="178"/>
      <c r="BG111" s="178"/>
      <c r="BH111" s="178"/>
      <c r="BI111" s="178"/>
      <c r="BJ111" s="178"/>
    </row>
    <row r="112" spans="1:62" ht="15.75" customHeight="1" outlineLevel="4">
      <c r="A112" s="147"/>
      <c r="B112" s="147"/>
      <c r="C112" s="147">
        <v>5</v>
      </c>
      <c r="D112" s="174" t="s">
        <v>1751</v>
      </c>
      <c r="E112" s="148"/>
      <c r="F112" s="234"/>
      <c r="G112" s="234"/>
      <c r="H112" s="148"/>
      <c r="I112" s="148" t="s">
        <v>1742</v>
      </c>
      <c r="J112" s="148"/>
      <c r="K112" s="148"/>
      <c r="L112" s="148"/>
      <c r="M112" s="148"/>
      <c r="N112" s="148"/>
      <c r="O112" s="148"/>
      <c r="P112" s="149"/>
      <c r="Q112" s="149"/>
      <c r="R112" s="148"/>
      <c r="S112" s="150">
        <v>0</v>
      </c>
      <c r="T112" s="150">
        <v>0</v>
      </c>
      <c r="U112" s="150">
        <v>0</v>
      </c>
      <c r="V112" s="150">
        <v>0</v>
      </c>
      <c r="W112" s="149"/>
      <c r="X112" s="149"/>
      <c r="Y112" s="151">
        <v>0</v>
      </c>
      <c r="Z112" s="152">
        <v>0</v>
      </c>
      <c r="AA112" s="150"/>
      <c r="AB112" s="148" t="s">
        <v>1760</v>
      </c>
      <c r="AC112" s="242"/>
      <c r="AD112" s="173">
        <v>0</v>
      </c>
      <c r="AE112" s="218">
        <v>0</v>
      </c>
      <c r="AF112" s="177"/>
      <c r="AG112" s="178"/>
      <c r="AH112" s="178"/>
      <c r="AI112" s="178"/>
      <c r="AJ112" s="178"/>
      <c r="AK112" s="178"/>
      <c r="AL112" s="178"/>
      <c r="AM112" s="178"/>
      <c r="AN112" s="178"/>
      <c r="AO112" s="178"/>
      <c r="AP112" s="178"/>
      <c r="AQ112" s="178"/>
      <c r="AR112" s="178"/>
      <c r="AS112" s="178"/>
      <c r="AT112" s="178"/>
      <c r="AU112" s="178"/>
      <c r="AV112" s="178"/>
      <c r="AW112" s="178"/>
      <c r="AX112" s="178"/>
      <c r="AY112" s="178"/>
      <c r="AZ112" s="178"/>
      <c r="BA112" s="178"/>
      <c r="BB112" s="178"/>
      <c r="BC112" s="178"/>
      <c r="BD112" s="178"/>
      <c r="BE112" s="178"/>
      <c r="BF112" s="178"/>
      <c r="BG112" s="178"/>
      <c r="BH112" s="178"/>
      <c r="BI112" s="178"/>
      <c r="BJ112" s="178"/>
    </row>
    <row r="113" spans="1:62" ht="15.75" customHeight="1" outlineLevel="4">
      <c r="A113" s="147"/>
      <c r="B113" s="147"/>
      <c r="C113" s="147">
        <v>5</v>
      </c>
      <c r="D113" s="174" t="s">
        <v>1752</v>
      </c>
      <c r="E113" s="148"/>
      <c r="F113" s="234"/>
      <c r="G113" s="234"/>
      <c r="H113" s="148"/>
      <c r="I113" s="148" t="s">
        <v>1743</v>
      </c>
      <c r="J113" s="148"/>
      <c r="K113" s="148"/>
      <c r="L113" s="148"/>
      <c r="M113" s="148"/>
      <c r="N113" s="148"/>
      <c r="O113" s="148"/>
      <c r="P113" s="149"/>
      <c r="Q113" s="149"/>
      <c r="R113" s="148"/>
      <c r="S113" s="150">
        <v>0</v>
      </c>
      <c r="T113" s="150">
        <v>0</v>
      </c>
      <c r="U113" s="150">
        <v>0</v>
      </c>
      <c r="V113" s="150">
        <v>0</v>
      </c>
      <c r="W113" s="149"/>
      <c r="X113" s="149"/>
      <c r="Y113" s="151">
        <v>0</v>
      </c>
      <c r="Z113" s="152">
        <v>0</v>
      </c>
      <c r="AA113" s="150"/>
      <c r="AB113" s="148" t="s">
        <v>1760</v>
      </c>
      <c r="AC113" s="242"/>
      <c r="AD113" s="173">
        <v>0</v>
      </c>
      <c r="AE113" s="218">
        <v>0</v>
      </c>
      <c r="AF113" s="177"/>
      <c r="AG113" s="178"/>
      <c r="AH113" s="178"/>
      <c r="AI113" s="178"/>
      <c r="AJ113" s="178"/>
      <c r="AK113" s="178"/>
      <c r="AL113" s="178"/>
      <c r="AM113" s="178"/>
      <c r="AN113" s="178"/>
      <c r="AO113" s="178"/>
      <c r="AP113" s="178"/>
      <c r="AQ113" s="178"/>
      <c r="AR113" s="178"/>
      <c r="AS113" s="178"/>
      <c r="AT113" s="178"/>
      <c r="AU113" s="178"/>
      <c r="AV113" s="178"/>
      <c r="AW113" s="178"/>
      <c r="AX113" s="178"/>
      <c r="AY113" s="178"/>
      <c r="AZ113" s="178"/>
      <c r="BA113" s="178"/>
      <c r="BB113" s="178"/>
      <c r="BC113" s="178"/>
      <c r="BD113" s="178"/>
      <c r="BE113" s="178"/>
      <c r="BF113" s="178"/>
      <c r="BG113" s="178"/>
      <c r="BH113" s="178"/>
      <c r="BI113" s="178"/>
      <c r="BJ113" s="178"/>
    </row>
    <row r="114" spans="1:62" ht="15.75" customHeight="1" outlineLevel="4">
      <c r="A114" s="147"/>
      <c r="B114" s="147"/>
      <c r="C114" s="147">
        <v>5</v>
      </c>
      <c r="D114" s="174" t="s">
        <v>1753</v>
      </c>
      <c r="E114" s="148"/>
      <c r="F114" s="234"/>
      <c r="G114" s="234"/>
      <c r="H114" s="148"/>
      <c r="I114" s="148" t="s">
        <v>1744</v>
      </c>
      <c r="J114" s="148"/>
      <c r="K114" s="148"/>
      <c r="L114" s="148"/>
      <c r="M114" s="148"/>
      <c r="N114" s="148"/>
      <c r="O114" s="148"/>
      <c r="P114" s="149"/>
      <c r="Q114" s="149"/>
      <c r="R114" s="148"/>
      <c r="S114" s="150">
        <v>0</v>
      </c>
      <c r="T114" s="150">
        <v>0</v>
      </c>
      <c r="U114" s="150">
        <v>0</v>
      </c>
      <c r="V114" s="150">
        <v>0</v>
      </c>
      <c r="W114" s="149"/>
      <c r="X114" s="149"/>
      <c r="Y114" s="151">
        <v>0</v>
      </c>
      <c r="Z114" s="152">
        <v>0</v>
      </c>
      <c r="AA114" s="150"/>
      <c r="AB114" s="148" t="s">
        <v>1760</v>
      </c>
      <c r="AC114" s="242"/>
      <c r="AD114" s="173">
        <v>0</v>
      </c>
      <c r="AE114" s="218">
        <v>0</v>
      </c>
      <c r="AF114" s="177"/>
      <c r="AG114" s="178"/>
      <c r="AH114" s="178"/>
      <c r="AI114" s="178"/>
      <c r="AJ114" s="178"/>
      <c r="AK114" s="178"/>
      <c r="AL114" s="178"/>
      <c r="AM114" s="178"/>
      <c r="AN114" s="178"/>
      <c r="AO114" s="178"/>
      <c r="AP114" s="178"/>
      <c r="AQ114" s="178"/>
      <c r="AR114" s="178"/>
      <c r="AS114" s="178"/>
      <c r="AT114" s="178"/>
      <c r="AU114" s="178"/>
      <c r="AV114" s="178"/>
      <c r="AW114" s="178"/>
      <c r="AX114" s="178"/>
      <c r="AY114" s="178"/>
      <c r="AZ114" s="178"/>
      <c r="BA114" s="178"/>
      <c r="BB114" s="178"/>
      <c r="BC114" s="178"/>
      <c r="BD114" s="178"/>
      <c r="BE114" s="178"/>
      <c r="BF114" s="178"/>
      <c r="BG114" s="178"/>
      <c r="BH114" s="178"/>
      <c r="BI114" s="178"/>
      <c r="BJ114" s="178"/>
    </row>
    <row r="115" spans="1:62" ht="15.75" customHeight="1" outlineLevel="4">
      <c r="A115" s="147"/>
      <c r="B115" s="147"/>
      <c r="C115" s="147">
        <v>5</v>
      </c>
      <c r="D115" s="174" t="s">
        <v>1754</v>
      </c>
      <c r="E115" s="148"/>
      <c r="F115" s="234"/>
      <c r="G115" s="234"/>
      <c r="H115" s="148"/>
      <c r="I115" s="148" t="s">
        <v>1745</v>
      </c>
      <c r="J115" s="148"/>
      <c r="K115" s="148"/>
      <c r="L115" s="148"/>
      <c r="M115" s="148"/>
      <c r="N115" s="148"/>
      <c r="O115" s="148"/>
      <c r="P115" s="149"/>
      <c r="Q115" s="149"/>
      <c r="R115" s="148"/>
      <c r="S115" s="150">
        <v>0</v>
      </c>
      <c r="T115" s="150">
        <v>0</v>
      </c>
      <c r="U115" s="150">
        <v>0</v>
      </c>
      <c r="V115" s="150">
        <v>0</v>
      </c>
      <c r="W115" s="149"/>
      <c r="X115" s="149"/>
      <c r="Y115" s="151">
        <v>0</v>
      </c>
      <c r="Z115" s="152">
        <v>0</v>
      </c>
      <c r="AA115" s="150"/>
      <c r="AB115" s="148" t="s">
        <v>1760</v>
      </c>
      <c r="AC115" s="242"/>
      <c r="AD115" s="173">
        <v>0</v>
      </c>
      <c r="AE115" s="218">
        <v>0</v>
      </c>
      <c r="AF115" s="177"/>
      <c r="AG115" s="178"/>
      <c r="AH115" s="178"/>
      <c r="AI115" s="178"/>
      <c r="AJ115" s="178"/>
      <c r="AK115" s="178"/>
      <c r="AL115" s="178"/>
      <c r="AM115" s="178"/>
      <c r="AN115" s="178"/>
      <c r="AO115" s="178"/>
      <c r="AP115" s="178"/>
      <c r="AQ115" s="178"/>
      <c r="AR115" s="178"/>
      <c r="AS115" s="178"/>
      <c r="AT115" s="178"/>
      <c r="AU115" s="178"/>
      <c r="AV115" s="178"/>
      <c r="AW115" s="178"/>
      <c r="AX115" s="178"/>
      <c r="AY115" s="178"/>
      <c r="AZ115" s="178"/>
      <c r="BA115" s="178"/>
      <c r="BB115" s="178"/>
      <c r="BC115" s="178"/>
      <c r="BD115" s="178"/>
      <c r="BE115" s="178"/>
      <c r="BF115" s="178"/>
      <c r="BG115" s="178"/>
      <c r="BH115" s="178"/>
      <c r="BI115" s="178"/>
      <c r="BJ115" s="178"/>
    </row>
    <row r="116" spans="1:62" ht="15.75" customHeight="1" outlineLevel="4">
      <c r="A116" s="147"/>
      <c r="B116" s="147"/>
      <c r="C116" s="147">
        <v>5</v>
      </c>
      <c r="D116" s="174" t="s">
        <v>1755</v>
      </c>
      <c r="E116" s="148"/>
      <c r="F116" s="234"/>
      <c r="G116" s="234"/>
      <c r="H116" s="148"/>
      <c r="I116" s="148" t="s">
        <v>1746</v>
      </c>
      <c r="J116" s="148"/>
      <c r="K116" s="148"/>
      <c r="L116" s="148"/>
      <c r="M116" s="148"/>
      <c r="N116" s="148"/>
      <c r="O116" s="148"/>
      <c r="P116" s="149"/>
      <c r="Q116" s="149"/>
      <c r="R116" s="148"/>
      <c r="S116" s="150">
        <v>0</v>
      </c>
      <c r="T116" s="150">
        <v>0</v>
      </c>
      <c r="U116" s="150">
        <v>0</v>
      </c>
      <c r="V116" s="150">
        <v>0</v>
      </c>
      <c r="W116" s="149"/>
      <c r="X116" s="149"/>
      <c r="Y116" s="151">
        <v>0</v>
      </c>
      <c r="Z116" s="152">
        <v>0</v>
      </c>
      <c r="AA116" s="150"/>
      <c r="AB116" s="148" t="s">
        <v>1760</v>
      </c>
      <c r="AC116" s="242"/>
      <c r="AD116" s="173">
        <v>0</v>
      </c>
      <c r="AE116" s="218">
        <v>0</v>
      </c>
      <c r="AF116" s="177"/>
      <c r="AG116" s="178"/>
      <c r="AH116" s="178"/>
      <c r="AI116" s="178"/>
      <c r="AJ116" s="178"/>
      <c r="AK116" s="178"/>
      <c r="AL116" s="178"/>
      <c r="AM116" s="178"/>
      <c r="AN116" s="178"/>
      <c r="AO116" s="178"/>
      <c r="AP116" s="178"/>
      <c r="AQ116" s="178"/>
      <c r="AR116" s="178"/>
      <c r="AS116" s="178"/>
      <c r="AT116" s="178"/>
      <c r="AU116" s="178"/>
      <c r="AV116" s="178"/>
      <c r="AW116" s="178"/>
      <c r="AX116" s="178"/>
      <c r="AY116" s="178"/>
      <c r="AZ116" s="178"/>
      <c r="BA116" s="178"/>
      <c r="BB116" s="178"/>
      <c r="BC116" s="178"/>
      <c r="BD116" s="178"/>
      <c r="BE116" s="178"/>
      <c r="BF116" s="178"/>
      <c r="BG116" s="178"/>
      <c r="BH116" s="178"/>
      <c r="BI116" s="178"/>
      <c r="BJ116" s="178"/>
    </row>
    <row r="117" spans="1:62" ht="15.75" customHeight="1" outlineLevel="4">
      <c r="A117" s="147"/>
      <c r="B117" s="147"/>
      <c r="C117" s="147">
        <v>5</v>
      </c>
      <c r="D117" s="174" t="s">
        <v>1756</v>
      </c>
      <c r="E117" s="148"/>
      <c r="F117" s="234"/>
      <c r="G117" s="234"/>
      <c r="H117" s="148"/>
      <c r="I117" s="148" t="s">
        <v>1747</v>
      </c>
      <c r="J117" s="148"/>
      <c r="K117" s="148"/>
      <c r="L117" s="148"/>
      <c r="M117" s="148"/>
      <c r="N117" s="148"/>
      <c r="O117" s="148"/>
      <c r="P117" s="149"/>
      <c r="Q117" s="149"/>
      <c r="R117" s="148"/>
      <c r="S117" s="150">
        <v>0</v>
      </c>
      <c r="T117" s="150">
        <v>0</v>
      </c>
      <c r="U117" s="150">
        <v>0</v>
      </c>
      <c r="V117" s="150">
        <v>0</v>
      </c>
      <c r="W117" s="149"/>
      <c r="X117" s="149"/>
      <c r="Y117" s="151">
        <v>0</v>
      </c>
      <c r="Z117" s="152">
        <v>0</v>
      </c>
      <c r="AA117" s="150"/>
      <c r="AB117" s="148" t="s">
        <v>1760</v>
      </c>
      <c r="AC117" s="242"/>
      <c r="AD117" s="173">
        <v>0</v>
      </c>
      <c r="AE117" s="218">
        <v>0</v>
      </c>
      <c r="AF117" s="177"/>
      <c r="AG117" s="178"/>
      <c r="AH117" s="178"/>
      <c r="AI117" s="178"/>
      <c r="AJ117" s="178"/>
      <c r="AK117" s="178"/>
      <c r="AL117" s="178"/>
      <c r="AM117" s="178"/>
      <c r="AN117" s="178"/>
      <c r="AO117" s="178"/>
      <c r="AP117" s="178"/>
      <c r="AQ117" s="178"/>
      <c r="AR117" s="178"/>
      <c r="AS117" s="178"/>
      <c r="AT117" s="178"/>
      <c r="AU117" s="178"/>
      <c r="AV117" s="178"/>
      <c r="AW117" s="178"/>
      <c r="AX117" s="178"/>
      <c r="AY117" s="178"/>
      <c r="AZ117" s="178"/>
      <c r="BA117" s="178"/>
      <c r="BB117" s="178"/>
      <c r="BC117" s="178"/>
      <c r="BD117" s="178"/>
      <c r="BE117" s="178"/>
      <c r="BF117" s="178"/>
      <c r="BG117" s="178"/>
      <c r="BH117" s="178"/>
      <c r="BI117" s="178"/>
      <c r="BJ117" s="178"/>
    </row>
    <row r="118" spans="1:62" ht="15.75" customHeight="1" outlineLevel="4">
      <c r="A118" s="147"/>
      <c r="B118" s="147"/>
      <c r="C118" s="147">
        <v>5</v>
      </c>
      <c r="D118" s="174" t="s">
        <v>1757</v>
      </c>
      <c r="E118" s="148"/>
      <c r="F118" s="234"/>
      <c r="G118" s="234"/>
      <c r="H118" s="148"/>
      <c r="I118" s="148" t="s">
        <v>1748</v>
      </c>
      <c r="J118" s="148"/>
      <c r="K118" s="148"/>
      <c r="L118" s="148"/>
      <c r="M118" s="148"/>
      <c r="N118" s="148"/>
      <c r="O118" s="148"/>
      <c r="P118" s="149"/>
      <c r="Q118" s="149"/>
      <c r="R118" s="148"/>
      <c r="S118" s="150">
        <v>0</v>
      </c>
      <c r="T118" s="150">
        <v>0</v>
      </c>
      <c r="U118" s="150">
        <v>0</v>
      </c>
      <c r="V118" s="150">
        <v>0</v>
      </c>
      <c r="W118" s="149"/>
      <c r="X118" s="149"/>
      <c r="Y118" s="151">
        <v>0</v>
      </c>
      <c r="Z118" s="152">
        <v>0</v>
      </c>
      <c r="AA118" s="150"/>
      <c r="AB118" s="148" t="s">
        <v>1760</v>
      </c>
      <c r="AC118" s="242"/>
      <c r="AD118" s="173">
        <v>0</v>
      </c>
      <c r="AE118" s="218">
        <v>0</v>
      </c>
      <c r="AF118" s="177"/>
      <c r="AG118" s="178"/>
      <c r="AH118" s="178"/>
      <c r="AI118" s="178"/>
      <c r="AJ118" s="178"/>
      <c r="AK118" s="178"/>
      <c r="AL118" s="178"/>
      <c r="AM118" s="178"/>
      <c r="AN118" s="178"/>
      <c r="AO118" s="178"/>
      <c r="AP118" s="178"/>
      <c r="AQ118" s="178"/>
      <c r="AR118" s="178"/>
      <c r="AS118" s="178"/>
      <c r="AT118" s="178"/>
      <c r="AU118" s="178"/>
      <c r="AV118" s="178"/>
      <c r="AW118" s="178"/>
      <c r="AX118" s="178"/>
      <c r="AY118" s="178"/>
      <c r="AZ118" s="178"/>
      <c r="BA118" s="178"/>
      <c r="BB118" s="178"/>
      <c r="BC118" s="178"/>
      <c r="BD118" s="178"/>
      <c r="BE118" s="178"/>
      <c r="BF118" s="178"/>
      <c r="BG118" s="178"/>
      <c r="BH118" s="178"/>
      <c r="BI118" s="178"/>
      <c r="BJ118" s="178"/>
    </row>
    <row r="119" spans="1:62" ht="15.75" customHeight="1" outlineLevel="4">
      <c r="A119" s="147"/>
      <c r="B119" s="147"/>
      <c r="C119" s="147">
        <v>5</v>
      </c>
      <c r="D119" s="174" t="s">
        <v>1758</v>
      </c>
      <c r="E119" s="148"/>
      <c r="F119" s="234"/>
      <c r="G119" s="234"/>
      <c r="H119" s="148"/>
      <c r="I119" s="148" t="s">
        <v>1749</v>
      </c>
      <c r="J119" s="148"/>
      <c r="K119" s="148"/>
      <c r="L119" s="148"/>
      <c r="M119" s="148"/>
      <c r="N119" s="148"/>
      <c r="O119" s="148"/>
      <c r="P119" s="149"/>
      <c r="Q119" s="149"/>
      <c r="R119" s="148"/>
      <c r="S119" s="150">
        <v>0</v>
      </c>
      <c r="T119" s="150">
        <v>0</v>
      </c>
      <c r="U119" s="150">
        <v>0</v>
      </c>
      <c r="V119" s="150">
        <v>0</v>
      </c>
      <c r="W119" s="149"/>
      <c r="X119" s="149"/>
      <c r="Y119" s="151">
        <v>0</v>
      </c>
      <c r="Z119" s="152">
        <v>0</v>
      </c>
      <c r="AA119" s="150"/>
      <c r="AB119" s="148" t="s">
        <v>1760</v>
      </c>
      <c r="AC119" s="242"/>
      <c r="AD119" s="173">
        <v>0</v>
      </c>
      <c r="AE119" s="218">
        <v>0</v>
      </c>
      <c r="AF119" s="177"/>
      <c r="AG119" s="178"/>
      <c r="AH119" s="178"/>
      <c r="AI119" s="178"/>
      <c r="AJ119" s="178"/>
      <c r="AK119" s="178"/>
      <c r="AL119" s="178"/>
      <c r="AM119" s="178"/>
      <c r="AN119" s="178"/>
      <c r="AO119" s="178"/>
      <c r="AP119" s="178"/>
      <c r="AQ119" s="178"/>
      <c r="AR119" s="178"/>
      <c r="AS119" s="178"/>
      <c r="AT119" s="178"/>
      <c r="AU119" s="178"/>
      <c r="AV119" s="178"/>
      <c r="AW119" s="178"/>
      <c r="AX119" s="178"/>
      <c r="AY119" s="178"/>
      <c r="AZ119" s="178"/>
      <c r="BA119" s="178"/>
      <c r="BB119" s="178"/>
      <c r="BC119" s="178"/>
      <c r="BD119" s="178"/>
      <c r="BE119" s="178"/>
      <c r="BF119" s="178"/>
      <c r="BG119" s="178"/>
      <c r="BH119" s="178"/>
      <c r="BI119" s="178"/>
      <c r="BJ119" s="178"/>
    </row>
    <row r="120" spans="1:62" ht="15.75" customHeight="1" outlineLevel="4">
      <c r="A120" s="147"/>
      <c r="B120" s="147"/>
      <c r="C120" s="147">
        <v>5</v>
      </c>
      <c r="D120" s="174" t="s">
        <v>1759</v>
      </c>
      <c r="E120" s="148"/>
      <c r="F120" s="234"/>
      <c r="G120" s="234"/>
      <c r="H120" s="148"/>
      <c r="I120" s="148" t="s">
        <v>1750</v>
      </c>
      <c r="J120" s="148"/>
      <c r="K120" s="148"/>
      <c r="L120" s="148"/>
      <c r="M120" s="148"/>
      <c r="N120" s="148"/>
      <c r="O120" s="148"/>
      <c r="P120" s="149"/>
      <c r="Q120" s="149"/>
      <c r="R120" s="148"/>
      <c r="S120" s="150">
        <v>0</v>
      </c>
      <c r="T120" s="150">
        <v>0</v>
      </c>
      <c r="U120" s="150">
        <v>0</v>
      </c>
      <c r="V120" s="150">
        <v>0</v>
      </c>
      <c r="W120" s="149"/>
      <c r="X120" s="149"/>
      <c r="Y120" s="151">
        <v>0</v>
      </c>
      <c r="Z120" s="152">
        <v>0</v>
      </c>
      <c r="AA120" s="150"/>
      <c r="AB120" s="148" t="s">
        <v>1760</v>
      </c>
      <c r="AC120" s="242"/>
      <c r="AD120" s="173">
        <v>0</v>
      </c>
      <c r="AE120" s="218">
        <v>0</v>
      </c>
      <c r="AF120" s="177"/>
      <c r="AG120" s="178"/>
      <c r="AH120" s="178"/>
      <c r="AI120" s="178"/>
      <c r="AJ120" s="178"/>
      <c r="AK120" s="178"/>
      <c r="AL120" s="178"/>
      <c r="AM120" s="178"/>
      <c r="AN120" s="178"/>
      <c r="AO120" s="178"/>
      <c r="AP120" s="178"/>
      <c r="AQ120" s="178"/>
      <c r="AR120" s="178"/>
      <c r="AS120" s="178"/>
      <c r="AT120" s="178"/>
      <c r="AU120" s="178"/>
      <c r="AV120" s="178"/>
      <c r="AW120" s="178"/>
      <c r="AX120" s="178"/>
      <c r="AY120" s="178"/>
      <c r="AZ120" s="178"/>
      <c r="BA120" s="178"/>
      <c r="BB120" s="178"/>
      <c r="BC120" s="178"/>
      <c r="BD120" s="178"/>
      <c r="BE120" s="178"/>
      <c r="BF120" s="178"/>
      <c r="BG120" s="178"/>
      <c r="BH120" s="178"/>
      <c r="BI120" s="178"/>
      <c r="BJ120" s="178"/>
    </row>
    <row r="121" spans="1:62" ht="15.75" customHeight="1" outlineLevel="2">
      <c r="A121" s="147"/>
      <c r="B121" s="147" t="s">
        <v>1367</v>
      </c>
      <c r="C121" s="147">
        <v>3</v>
      </c>
      <c r="D121" s="174" t="s">
        <v>1584</v>
      </c>
      <c r="E121" s="148"/>
      <c r="F121" s="148"/>
      <c r="G121" s="148" t="s">
        <v>1513</v>
      </c>
      <c r="H121" s="148"/>
      <c r="I121" s="148"/>
      <c r="J121" s="148"/>
      <c r="K121" s="148"/>
      <c r="L121" s="148"/>
      <c r="M121" s="148"/>
      <c r="N121" s="148"/>
      <c r="O121" s="148"/>
      <c r="P121" s="149">
        <v>44851</v>
      </c>
      <c r="Q121" s="149">
        <v>44880</v>
      </c>
      <c r="R121" s="148"/>
      <c r="S121" s="150">
        <v>21</v>
      </c>
      <c r="T121" s="150">
        <v>0</v>
      </c>
      <c r="U121" s="150">
        <v>22</v>
      </c>
      <c r="V121" s="150">
        <v>0</v>
      </c>
      <c r="W121" s="149"/>
      <c r="X121" s="149"/>
      <c r="Y121" s="151">
        <v>0</v>
      </c>
      <c r="Z121" s="152">
        <v>0</v>
      </c>
      <c r="AA121" s="150"/>
      <c r="AB121" s="148"/>
      <c r="AC121" s="240"/>
      <c r="AD121" s="173">
        <v>0</v>
      </c>
      <c r="AE121" s="208">
        <v>0</v>
      </c>
      <c r="AF121" s="177"/>
      <c r="AG121" s="178"/>
      <c r="AH121" s="178"/>
      <c r="AI121" s="178"/>
      <c r="AJ121" s="178"/>
      <c r="AK121" s="178"/>
      <c r="AL121" s="178"/>
      <c r="AM121" s="178"/>
      <c r="AN121" s="178"/>
      <c r="AO121" s="178"/>
      <c r="AP121" s="178"/>
      <c r="AQ121" s="178"/>
      <c r="AR121" s="178"/>
      <c r="AS121" s="178"/>
      <c r="AT121" s="178"/>
      <c r="AU121" s="178"/>
      <c r="AV121" s="178"/>
      <c r="AW121" s="178"/>
      <c r="AX121" s="178" t="str">
        <f>" " &amp; TEXT(AE121,"#0.00%") &amp; " "</f>
        <v xml:space="preserve"> 0.00% </v>
      </c>
      <c r="AY121" s="178"/>
      <c r="AZ121" s="178"/>
      <c r="BA121" s="178"/>
      <c r="BB121" s="178" t="str">
        <f>"   " &amp; "구현" &amp; " " &amp; IF(P121="","",TEXT(P121,"M/D-")) &amp; IF(Q121="","",TEXT(Q121,"M/D")) &amp; " "</f>
        <v xml:space="preserve">   구현 10/17-11/15 </v>
      </c>
      <c r="BC121" s="178"/>
      <c r="BD121" s="178"/>
      <c r="BE121" s="178"/>
      <c r="BF121" s="178"/>
      <c r="BG121" s="178"/>
      <c r="BH121" s="178"/>
      <c r="BI121" s="178"/>
      <c r="BJ121" s="178"/>
    </row>
    <row r="122" spans="1:62" ht="15.75" customHeight="1" outlineLevel="3">
      <c r="A122" s="147"/>
      <c r="B122" s="147" t="s">
        <v>1367</v>
      </c>
      <c r="C122" s="147">
        <v>4</v>
      </c>
      <c r="D122" s="174" t="s">
        <v>1585</v>
      </c>
      <c r="E122" s="148"/>
      <c r="F122" s="148"/>
      <c r="G122" s="233"/>
      <c r="H122" s="148" t="s">
        <v>1526</v>
      </c>
      <c r="I122" s="148"/>
      <c r="J122" s="148"/>
      <c r="K122" s="148"/>
      <c r="L122" s="148"/>
      <c r="M122" s="148"/>
      <c r="N122" s="148"/>
      <c r="O122" s="148"/>
      <c r="P122" s="149">
        <v>44851</v>
      </c>
      <c r="Q122" s="149">
        <v>44880</v>
      </c>
      <c r="R122" s="148"/>
      <c r="S122" s="150">
        <v>21</v>
      </c>
      <c r="T122" s="150">
        <v>0</v>
      </c>
      <c r="U122" s="150">
        <v>22</v>
      </c>
      <c r="V122" s="150">
        <v>0</v>
      </c>
      <c r="W122" s="149"/>
      <c r="X122" s="149"/>
      <c r="Y122" s="151">
        <v>0</v>
      </c>
      <c r="Z122" s="152">
        <v>0</v>
      </c>
      <c r="AA122" s="150"/>
      <c r="AB122" s="148"/>
      <c r="AC122" s="240"/>
      <c r="AD122" s="173">
        <v>0</v>
      </c>
      <c r="AE122" s="208">
        <v>0</v>
      </c>
      <c r="AF122" s="177"/>
      <c r="AG122" s="178"/>
      <c r="AH122" s="178"/>
      <c r="AI122" s="178"/>
      <c r="AJ122" s="178"/>
      <c r="AK122" s="178"/>
      <c r="AL122" s="178"/>
      <c r="AM122" s="178"/>
      <c r="AN122" s="178"/>
      <c r="AO122" s="178"/>
      <c r="AP122" s="178"/>
      <c r="AQ122" s="178"/>
      <c r="AR122" s="178"/>
      <c r="AS122" s="178"/>
      <c r="AT122" s="178"/>
      <c r="AU122" s="178"/>
      <c r="AV122" s="178"/>
      <c r="AW122" s="178"/>
      <c r="AX122" s="178" t="str">
        <f>" " &amp; TEXT(AE122,"#0.00%") &amp; " "</f>
        <v xml:space="preserve"> 0.00% </v>
      </c>
      <c r="AY122" s="178"/>
      <c r="AZ122" s="178"/>
      <c r="BA122" s="178"/>
      <c r="BB122" s="178" t="str">
        <f>"   " &amp; "Conversion 및 Release" &amp; " " &amp; IF(P122="","",TEXT(P122,"M/D-")) &amp; IF(Q122="","",TEXT(Q122,"M/D")) &amp; " "</f>
        <v xml:space="preserve">   Conversion 및 Release 10/17-11/15 </v>
      </c>
      <c r="BC122" s="178"/>
      <c r="BD122" s="178"/>
      <c r="BE122" s="178"/>
      <c r="BF122" s="178"/>
      <c r="BG122" s="178"/>
      <c r="BH122" s="178"/>
      <c r="BI122" s="178"/>
      <c r="BJ122" s="178"/>
    </row>
    <row r="123" spans="1:62" ht="15.75" customHeight="1" outlineLevel="4">
      <c r="A123" s="147"/>
      <c r="B123" s="147"/>
      <c r="C123" s="147">
        <v>5</v>
      </c>
      <c r="D123" s="174" t="s">
        <v>1586</v>
      </c>
      <c r="E123" s="148"/>
      <c r="F123" s="148"/>
      <c r="G123" s="233"/>
      <c r="H123" s="233"/>
      <c r="I123" s="148" t="s">
        <v>1574</v>
      </c>
      <c r="J123" s="148"/>
      <c r="K123" s="148"/>
      <c r="L123" s="148"/>
      <c r="M123" s="148"/>
      <c r="N123" s="148"/>
      <c r="O123" s="148"/>
      <c r="P123" s="149">
        <v>44851</v>
      </c>
      <c r="Q123" s="149">
        <v>44864</v>
      </c>
      <c r="R123" s="148"/>
      <c r="S123" s="150">
        <v>10</v>
      </c>
      <c r="T123" s="150">
        <v>0</v>
      </c>
      <c r="U123" s="150">
        <v>10</v>
      </c>
      <c r="V123" s="150">
        <v>0</v>
      </c>
      <c r="W123" s="149"/>
      <c r="X123" s="149"/>
      <c r="Y123" s="151">
        <v>0</v>
      </c>
      <c r="Z123" s="152">
        <v>0</v>
      </c>
      <c r="AA123" s="150"/>
      <c r="AB123" s="148" t="s">
        <v>1603</v>
      </c>
      <c r="AC123" s="272" t="s">
        <v>1781</v>
      </c>
      <c r="AD123" s="173">
        <v>0</v>
      </c>
      <c r="AE123" s="179">
        <v>0</v>
      </c>
      <c r="AF123" s="177"/>
      <c r="AG123" s="178"/>
      <c r="AH123" s="178"/>
      <c r="AI123" s="178"/>
      <c r="AJ123" s="178"/>
      <c r="AK123" s="178"/>
      <c r="AL123" s="178"/>
      <c r="AM123" s="178"/>
      <c r="AN123" s="178"/>
      <c r="AO123" s="178"/>
      <c r="AP123" s="178"/>
      <c r="AQ123" s="178"/>
      <c r="AR123" s="178"/>
      <c r="AS123" s="178"/>
      <c r="AT123" s="178"/>
      <c r="AU123" s="178"/>
      <c r="AV123" s="178"/>
      <c r="AW123" s="178"/>
      <c r="AX123" s="178" t="str">
        <f>" " &amp; TEXT(AE123,"#0.00%") &amp; " " &amp; "데이터베이스 구축" &amp; "(손범신매니저)" &amp; " " &amp; IF(P123="","",TEXT(P123,"M/D-")) &amp; IF(Q123="","",TEXT(Q123,"M/D")) &amp; " "</f>
        <v xml:space="preserve"> 0.00% 데이터베이스 구축(손범신매니저) 10/17-10/30 </v>
      </c>
      <c r="AY123" s="178"/>
      <c r="AZ123" s="178"/>
      <c r="BA123" s="178"/>
      <c r="BB123" s="178"/>
      <c r="BC123" s="178"/>
      <c r="BD123" s="178"/>
      <c r="BE123" s="178"/>
      <c r="BF123" s="178"/>
      <c r="BG123" s="178"/>
      <c r="BH123" s="178"/>
      <c r="BI123" s="178"/>
      <c r="BJ123" s="178"/>
    </row>
    <row r="124" spans="1:62" ht="15.75" customHeight="1" outlineLevel="4">
      <c r="A124" s="147"/>
      <c r="B124" s="147"/>
      <c r="C124" s="147">
        <v>5</v>
      </c>
      <c r="D124" s="174" t="s">
        <v>1587</v>
      </c>
      <c r="E124" s="148"/>
      <c r="F124" s="148"/>
      <c r="G124" s="233"/>
      <c r="H124" s="233"/>
      <c r="I124" s="148" t="s">
        <v>1575</v>
      </c>
      <c r="J124" s="148"/>
      <c r="K124" s="148"/>
      <c r="L124" s="148"/>
      <c r="M124" s="148"/>
      <c r="N124" s="148"/>
      <c r="O124" s="148"/>
      <c r="P124" s="149">
        <v>44866</v>
      </c>
      <c r="Q124" s="149">
        <v>44869</v>
      </c>
      <c r="R124" s="148"/>
      <c r="S124" s="150">
        <v>4</v>
      </c>
      <c r="T124" s="150">
        <v>0</v>
      </c>
      <c r="U124" s="150">
        <v>4</v>
      </c>
      <c r="V124" s="150">
        <v>0</v>
      </c>
      <c r="W124" s="149"/>
      <c r="X124" s="149"/>
      <c r="Y124" s="151">
        <v>0</v>
      </c>
      <c r="Z124" s="152">
        <v>0</v>
      </c>
      <c r="AA124" s="150"/>
      <c r="AB124" s="148" t="s">
        <v>1603</v>
      </c>
      <c r="AC124" s="273"/>
      <c r="AD124" s="173">
        <v>0</v>
      </c>
      <c r="AE124" s="179">
        <v>0</v>
      </c>
      <c r="AF124" s="177"/>
      <c r="AG124" s="178"/>
      <c r="AH124" s="178"/>
      <c r="AI124" s="178"/>
      <c r="AJ124" s="178"/>
      <c r="AK124" s="178"/>
      <c r="AL124" s="178"/>
      <c r="AM124" s="178"/>
      <c r="AN124" s="178"/>
      <c r="AO124" s="178"/>
      <c r="AP124" s="178"/>
      <c r="AQ124" s="178"/>
      <c r="AR124" s="178"/>
      <c r="AS124" s="178"/>
      <c r="AT124" s="178"/>
      <c r="AU124" s="178"/>
      <c r="AV124" s="178"/>
      <c r="AW124" s="178"/>
      <c r="AX124" s="178"/>
      <c r="AY124" s="178"/>
      <c r="AZ124" s="178" t="str">
        <f>"  " &amp; TEXT(AE124,"#0.00%") &amp; " " &amp; "소프트웨어 설치" &amp; "(손범신매니저)" &amp; " " &amp; IF(P124="","",TEXT(P124,"M/D-")) &amp; IF(Q124="","",TEXT(Q124,"M/D")) &amp; " "</f>
        <v xml:space="preserve">  0.00% 소프트웨어 설치(손범신매니저) 11/1-11/4 </v>
      </c>
      <c r="BA124" s="178"/>
      <c r="BB124" s="178"/>
      <c r="BC124" s="178"/>
      <c r="BD124" s="178"/>
      <c r="BE124" s="178"/>
      <c r="BF124" s="178"/>
      <c r="BG124" s="178"/>
      <c r="BH124" s="178"/>
      <c r="BI124" s="178"/>
      <c r="BJ124" s="178"/>
    </row>
    <row r="125" spans="1:62" ht="15.75" customHeight="1" outlineLevel="4">
      <c r="A125" s="147"/>
      <c r="B125" s="147"/>
      <c r="C125" s="147">
        <v>5</v>
      </c>
      <c r="D125" s="174" t="s">
        <v>1588</v>
      </c>
      <c r="E125" s="148"/>
      <c r="F125" s="148"/>
      <c r="G125" s="233"/>
      <c r="H125" s="233"/>
      <c r="I125" s="148" t="s">
        <v>1528</v>
      </c>
      <c r="J125" s="148"/>
      <c r="K125" s="148"/>
      <c r="L125" s="148"/>
      <c r="M125" s="148"/>
      <c r="N125" s="148"/>
      <c r="O125" s="148"/>
      <c r="P125" s="149">
        <v>44872</v>
      </c>
      <c r="Q125" s="149">
        <v>44880</v>
      </c>
      <c r="R125" s="148"/>
      <c r="S125" s="150">
        <v>7</v>
      </c>
      <c r="T125" s="150">
        <v>0</v>
      </c>
      <c r="U125" s="150">
        <v>7</v>
      </c>
      <c r="V125" s="150">
        <v>0</v>
      </c>
      <c r="W125" s="149"/>
      <c r="X125" s="149"/>
      <c r="Y125" s="151">
        <v>0</v>
      </c>
      <c r="Z125" s="152">
        <v>0</v>
      </c>
      <c r="AA125" s="150"/>
      <c r="AB125" s="148" t="s">
        <v>1603</v>
      </c>
      <c r="AC125" s="273"/>
      <c r="AD125" s="173">
        <v>0</v>
      </c>
      <c r="AE125" s="179">
        <v>0</v>
      </c>
      <c r="AF125" s="177"/>
      <c r="AG125" s="178"/>
      <c r="AH125" s="178"/>
      <c r="AI125" s="178"/>
      <c r="AJ125" s="178"/>
      <c r="AK125" s="178"/>
      <c r="AL125" s="178"/>
      <c r="AM125" s="178"/>
      <c r="AN125" s="178"/>
      <c r="AO125" s="178"/>
      <c r="AP125" s="178"/>
      <c r="AQ125" s="178"/>
      <c r="AR125" s="178"/>
      <c r="AS125" s="178"/>
      <c r="AT125" s="178"/>
      <c r="AU125" s="178"/>
      <c r="AV125" s="178"/>
      <c r="AW125" s="178"/>
      <c r="AX125" s="178"/>
      <c r="AY125" s="178"/>
      <c r="AZ125" s="178"/>
      <c r="BA125" s="178" t="str">
        <f>" " &amp; TEXT(AE125,"#0.00%") &amp; " " &amp; "데이터 Migration" &amp; "(손범신매니저)" &amp; " " &amp; IF(P125="","",TEXT(P125,"M/D-")) &amp; IF(Q125="","",TEXT(Q125,"M/D")) &amp; " "</f>
        <v xml:space="preserve"> 0.00% 데이터 Migration(손범신매니저) 11/7-11/15 </v>
      </c>
      <c r="BB125" s="178"/>
      <c r="BC125" s="178"/>
      <c r="BD125" s="178"/>
      <c r="BE125" s="178"/>
      <c r="BF125" s="178"/>
      <c r="BG125" s="178"/>
      <c r="BH125" s="178"/>
      <c r="BI125" s="178"/>
      <c r="BJ125" s="178"/>
    </row>
    <row r="126" spans="1:62" ht="15.75" customHeight="1" outlineLevel="1">
      <c r="A126" s="147"/>
      <c r="B126" s="147" t="s">
        <v>1367</v>
      </c>
      <c r="C126" s="147">
        <v>2</v>
      </c>
      <c r="D126" s="174" t="s">
        <v>1549</v>
      </c>
      <c r="E126" s="148"/>
      <c r="F126" s="148" t="s">
        <v>1614</v>
      </c>
      <c r="G126" s="148"/>
      <c r="H126" s="148"/>
      <c r="I126" s="148"/>
      <c r="J126" s="148"/>
      <c r="K126" s="148"/>
      <c r="L126" s="148"/>
      <c r="M126" s="148"/>
      <c r="N126" s="148"/>
      <c r="O126" s="148"/>
      <c r="P126" s="149">
        <v>44881</v>
      </c>
      <c r="Q126" s="149">
        <v>44895</v>
      </c>
      <c r="R126" s="148"/>
      <c r="S126" s="150">
        <v>11</v>
      </c>
      <c r="T126" s="150">
        <v>0</v>
      </c>
      <c r="U126" s="150">
        <v>11</v>
      </c>
      <c r="V126" s="150">
        <v>0</v>
      </c>
      <c r="W126" s="149"/>
      <c r="X126" s="149"/>
      <c r="Y126" s="151">
        <v>0</v>
      </c>
      <c r="Z126" s="152">
        <v>0</v>
      </c>
      <c r="AA126" s="150"/>
      <c r="AB126" s="148"/>
      <c r="AC126" s="240"/>
      <c r="AD126" s="173">
        <v>0</v>
      </c>
      <c r="AE126" s="208">
        <v>0</v>
      </c>
      <c r="AF126" s="177"/>
      <c r="AG126" s="178"/>
      <c r="AH126" s="178"/>
      <c r="AI126" s="178"/>
      <c r="AJ126" s="178"/>
      <c r="AK126" s="178"/>
      <c r="AL126" s="178"/>
      <c r="AM126" s="178"/>
      <c r="AN126" s="178"/>
      <c r="AO126" s="178"/>
      <c r="AP126" s="178"/>
      <c r="AQ126" s="178"/>
      <c r="AR126" s="178"/>
      <c r="AS126" s="178"/>
      <c r="AT126" s="178"/>
      <c r="AU126" s="178"/>
      <c r="AV126" s="178"/>
      <c r="AW126" s="178"/>
      <c r="AX126" s="178"/>
      <c r="AY126" s="178"/>
      <c r="AZ126" s="178"/>
      <c r="BA126" s="178"/>
      <c r="BB126" s="178" t="str">
        <f>"   " &amp; TEXT(AE126,"#0.00%") &amp; " " &amp; "통합테스트 및 교육" &amp; " " &amp; IF(P126="","",TEXT(P126,"M/D-")) &amp; IF(Q126="","",TEXT(Q126,"M/D")) &amp; " "</f>
        <v xml:space="preserve">   0.00% 통합테스트 및 교육 11/16-11/30 </v>
      </c>
      <c r="BC126" s="178"/>
      <c r="BD126" s="178"/>
      <c r="BE126" s="178"/>
      <c r="BF126" s="178"/>
      <c r="BG126" s="178"/>
      <c r="BH126" s="178"/>
      <c r="BI126" s="178"/>
      <c r="BJ126" s="178"/>
    </row>
    <row r="127" spans="1:62" ht="15.75" customHeight="1" outlineLevel="2">
      <c r="A127" s="147"/>
      <c r="B127" s="147"/>
      <c r="C127" s="147">
        <v>3</v>
      </c>
      <c r="D127" s="174" t="s">
        <v>1552</v>
      </c>
      <c r="E127" s="148"/>
      <c r="F127" s="148"/>
      <c r="G127" s="243" t="s">
        <v>1489</v>
      </c>
      <c r="H127" s="243"/>
      <c r="I127" s="243"/>
      <c r="J127" s="243"/>
      <c r="K127" s="243"/>
      <c r="L127" s="243"/>
      <c r="M127" s="243"/>
      <c r="N127" s="243"/>
      <c r="O127" s="243"/>
      <c r="P127" s="244">
        <v>44881</v>
      </c>
      <c r="Q127" s="244">
        <v>44888</v>
      </c>
      <c r="R127" s="148"/>
      <c r="S127" s="150">
        <v>6</v>
      </c>
      <c r="T127" s="150">
        <v>0</v>
      </c>
      <c r="U127" s="150">
        <v>6</v>
      </c>
      <c r="V127" s="150">
        <v>0</v>
      </c>
      <c r="W127" s="149"/>
      <c r="X127" s="149"/>
      <c r="Y127" s="151">
        <v>0</v>
      </c>
      <c r="Z127" s="152">
        <v>0</v>
      </c>
      <c r="AA127" s="150"/>
      <c r="AB127" s="148" t="s">
        <v>1602</v>
      </c>
      <c r="AC127" s="272" t="s">
        <v>1761</v>
      </c>
      <c r="AD127" s="173">
        <v>0</v>
      </c>
      <c r="AE127" s="179">
        <v>0</v>
      </c>
      <c r="AF127" s="177"/>
      <c r="AG127" s="178"/>
      <c r="AH127" s="178"/>
      <c r="AI127" s="178"/>
      <c r="AJ127" s="178"/>
      <c r="AK127" s="178"/>
      <c r="AL127" s="178"/>
      <c r="AM127" s="178"/>
      <c r="AN127" s="178"/>
      <c r="AO127" s="178"/>
      <c r="AP127" s="178"/>
      <c r="AQ127" s="178"/>
      <c r="AR127" s="178"/>
      <c r="AS127" s="178"/>
      <c r="AT127" s="178"/>
      <c r="AU127" s="178"/>
      <c r="AV127" s="178"/>
      <c r="AW127" s="178"/>
      <c r="AX127" s="178"/>
      <c r="AY127" s="178"/>
      <c r="AZ127" s="178"/>
      <c r="BA127" s="178"/>
      <c r="BB127" s="178" t="str">
        <f>"   " &amp; TEXT(AE127,"#0.00%") &amp; " " &amp; "통합테스트" &amp; "(박철규매니저)" &amp; " " &amp; IF(P127="","",TEXT(P127,"M/D-")) &amp; IF(Q127="","",TEXT(Q127,"M/D")) &amp; " "</f>
        <v xml:space="preserve">   0.00% 통합테스트(박철규매니저) 11/16-11/23 </v>
      </c>
      <c r="BC127" s="178"/>
      <c r="BD127" s="178"/>
      <c r="BE127" s="178"/>
      <c r="BF127" s="178"/>
      <c r="BG127" s="178"/>
      <c r="BH127" s="178"/>
      <c r="BI127" s="178"/>
      <c r="BJ127" s="178"/>
    </row>
    <row r="128" spans="1:62" ht="15.75" customHeight="1" outlineLevel="2">
      <c r="A128" s="147"/>
      <c r="B128" s="147"/>
      <c r="C128" s="147">
        <v>3</v>
      </c>
      <c r="D128" s="174" t="s">
        <v>1613</v>
      </c>
      <c r="E128" s="148"/>
      <c r="F128" s="148"/>
      <c r="G128" s="243" t="s">
        <v>1612</v>
      </c>
      <c r="H128" s="243"/>
      <c r="I128" s="243"/>
      <c r="J128" s="243"/>
      <c r="K128" s="243"/>
      <c r="L128" s="243"/>
      <c r="M128" s="243"/>
      <c r="N128" s="243"/>
      <c r="O128" s="243"/>
      <c r="P128" s="244">
        <v>44889</v>
      </c>
      <c r="Q128" s="244">
        <v>44895</v>
      </c>
      <c r="R128" s="148"/>
      <c r="S128" s="150">
        <v>5</v>
      </c>
      <c r="T128" s="150">
        <v>0</v>
      </c>
      <c r="U128" s="150">
        <v>5</v>
      </c>
      <c r="V128" s="150">
        <v>0</v>
      </c>
      <c r="W128" s="149"/>
      <c r="X128" s="149"/>
      <c r="Y128" s="151">
        <v>0</v>
      </c>
      <c r="Z128" s="152">
        <v>0</v>
      </c>
      <c r="AA128" s="150"/>
      <c r="AB128" s="148" t="s">
        <v>1602</v>
      </c>
      <c r="AC128" s="273"/>
      <c r="AD128" s="173">
        <v>0</v>
      </c>
      <c r="AE128" s="179">
        <v>0</v>
      </c>
      <c r="AF128" s="177"/>
      <c r="AG128" s="178"/>
      <c r="AH128" s="178"/>
      <c r="AI128" s="178"/>
      <c r="AJ128" s="178"/>
      <c r="AK128" s="178"/>
      <c r="AL128" s="178"/>
      <c r="AM128" s="178"/>
      <c r="AN128" s="178"/>
      <c r="AO128" s="178"/>
      <c r="AP128" s="178"/>
      <c r="AQ128" s="178"/>
      <c r="AR128" s="178"/>
      <c r="AS128" s="178"/>
      <c r="AT128" s="178"/>
      <c r="AU128" s="178"/>
      <c r="AV128" s="178"/>
      <c r="AW128" s="178"/>
      <c r="AX128" s="178"/>
      <c r="AY128" s="178"/>
      <c r="AZ128" s="178"/>
      <c r="BA128" s="178"/>
      <c r="BB128" s="178"/>
      <c r="BC128" s="178" t="str">
        <f>"    " &amp; TEXT(AE128,"#0.00%") &amp; " " &amp; "교육" &amp; "(박철규매니저)" &amp; " " &amp; IF(P128="","",TEXT(P128,"M/D-")) &amp; IF(Q128="","",TEXT(Q128,"M/D")) &amp; " "</f>
        <v xml:space="preserve">    0.00% 교육(박철규매니저) 11/24-11/30 </v>
      </c>
      <c r="BD128" s="178"/>
      <c r="BE128" s="178"/>
      <c r="BF128" s="178"/>
      <c r="BG128" s="178"/>
      <c r="BH128" s="178"/>
      <c r="BI128" s="178"/>
      <c r="BJ128" s="178"/>
    </row>
    <row r="129" spans="1:62" ht="15.75" customHeight="1" outlineLevel="1">
      <c r="A129" s="147"/>
      <c r="B129" s="147" t="s">
        <v>1367</v>
      </c>
      <c r="C129" s="147">
        <v>2</v>
      </c>
      <c r="D129" s="174" t="s">
        <v>1550</v>
      </c>
      <c r="E129" s="148"/>
      <c r="F129" s="148" t="s">
        <v>1529</v>
      </c>
      <c r="G129" s="233"/>
      <c r="H129" s="233"/>
      <c r="I129" s="148"/>
      <c r="J129" s="148"/>
      <c r="K129" s="148"/>
      <c r="L129" s="148"/>
      <c r="M129" s="148"/>
      <c r="N129" s="148"/>
      <c r="O129" s="148"/>
      <c r="P129" s="149">
        <v>44896</v>
      </c>
      <c r="Q129" s="149">
        <v>44896</v>
      </c>
      <c r="R129" s="148"/>
      <c r="S129" s="150">
        <v>1</v>
      </c>
      <c r="T129" s="150">
        <v>0</v>
      </c>
      <c r="U129" s="150">
        <v>1</v>
      </c>
      <c r="V129" s="150">
        <v>0</v>
      </c>
      <c r="W129" s="149"/>
      <c r="X129" s="149"/>
      <c r="Y129" s="151">
        <v>0</v>
      </c>
      <c r="Z129" s="152">
        <v>0</v>
      </c>
      <c r="AA129" s="150"/>
      <c r="AB129" s="148"/>
      <c r="AC129" s="240"/>
      <c r="AD129" s="173">
        <v>0</v>
      </c>
      <c r="AE129" s="208">
        <v>0</v>
      </c>
      <c r="AF129" s="177"/>
      <c r="AG129" s="178"/>
      <c r="AH129" s="178"/>
      <c r="AI129" s="178"/>
      <c r="AJ129" s="178"/>
      <c r="AK129" s="178"/>
      <c r="AL129" s="178"/>
      <c r="AM129" s="178"/>
      <c r="AN129" s="178"/>
      <c r="AO129" s="178"/>
      <c r="AP129" s="178"/>
      <c r="AQ129" s="178"/>
      <c r="AR129" s="178"/>
      <c r="AS129" s="178"/>
      <c r="AT129" s="178"/>
      <c r="AU129" s="178"/>
      <c r="AV129" s="178"/>
      <c r="AW129" s="178"/>
      <c r="AX129" s="178"/>
      <c r="AY129" s="178"/>
      <c r="AZ129" s="178"/>
      <c r="BA129" s="178"/>
      <c r="BB129" s="178"/>
      <c r="BC129" s="178"/>
      <c r="BD129" s="178" t="str">
        <f>"    " &amp; TEXT(AE129,"#0.00%") &amp; " " &amp; "시스템오픈" &amp; " " &amp; IF(P129="","",TEXT(P129,"M/D-")) &amp; IF(Q129="","",TEXT(Q129,"M/D")) &amp; " "</f>
        <v xml:space="preserve">    0.00% 시스템오픈 12/1-12/1 </v>
      </c>
      <c r="BE129" s="178"/>
      <c r="BF129" s="178"/>
      <c r="BG129" s="178"/>
      <c r="BH129" s="178"/>
      <c r="BI129" s="178"/>
      <c r="BJ129" s="178"/>
    </row>
    <row r="130" spans="1:62" ht="15.75" customHeight="1" outlineLevel="2">
      <c r="A130" s="147"/>
      <c r="B130" s="147"/>
      <c r="C130" s="147">
        <v>3</v>
      </c>
      <c r="D130" s="174" t="s">
        <v>1551</v>
      </c>
      <c r="E130" s="148"/>
      <c r="F130" s="148"/>
      <c r="G130" s="317" t="s">
        <v>1591</v>
      </c>
      <c r="H130" s="235"/>
      <c r="I130" s="236"/>
      <c r="J130" s="236"/>
      <c r="K130" s="236"/>
      <c r="L130" s="236"/>
      <c r="M130" s="236"/>
      <c r="N130" s="236"/>
      <c r="O130" s="236"/>
      <c r="P130" s="237">
        <v>44896</v>
      </c>
      <c r="Q130" s="237">
        <v>44896</v>
      </c>
      <c r="R130" s="148"/>
      <c r="S130" s="150">
        <v>1</v>
      </c>
      <c r="T130" s="150">
        <v>0</v>
      </c>
      <c r="U130" s="150">
        <v>1</v>
      </c>
      <c r="V130" s="150">
        <v>0</v>
      </c>
      <c r="W130" s="149"/>
      <c r="X130" s="149"/>
      <c r="Y130" s="151">
        <v>0</v>
      </c>
      <c r="Z130" s="152">
        <v>0</v>
      </c>
      <c r="AA130" s="150"/>
      <c r="AB130" s="148" t="s">
        <v>1602</v>
      </c>
      <c r="AC130" s="240"/>
      <c r="AD130" s="173">
        <v>0</v>
      </c>
      <c r="AE130" s="179">
        <v>0</v>
      </c>
      <c r="AF130" s="177"/>
      <c r="AG130" s="178"/>
      <c r="AH130" s="178"/>
      <c r="AI130" s="178"/>
      <c r="AJ130" s="178"/>
      <c r="AK130" s="178"/>
      <c r="AL130" s="178"/>
      <c r="AM130" s="178"/>
      <c r="AN130" s="178"/>
      <c r="AO130" s="178"/>
      <c r="AP130" s="178"/>
      <c r="AQ130" s="178"/>
      <c r="AR130" s="178"/>
      <c r="AS130" s="178"/>
      <c r="AT130" s="178"/>
      <c r="AU130" s="178"/>
      <c r="AV130" s="178"/>
      <c r="AW130" s="178"/>
      <c r="AX130" s="178"/>
      <c r="AY130" s="178"/>
      <c r="AZ130" s="178"/>
      <c r="BA130" s="178"/>
      <c r="BB130" s="178"/>
      <c r="BC130" s="178"/>
      <c r="BD130" s="178" t="str">
        <f>"    " &amp; TEXT(AE130,"#0.00%") &amp; " " &amp; "Open" &amp; "(박철규매니저)" &amp; " " &amp; IF(P130="","",TEXT(P130,"M/D-")) &amp; IF(Q130="","",TEXT(Q130,"M/D")) &amp; " "</f>
        <v xml:space="preserve">    0.00% Open(박철규매니저) 12/1-12/1 </v>
      </c>
      <c r="BE130" s="178"/>
      <c r="BF130" s="178"/>
      <c r="BG130" s="178"/>
      <c r="BH130" s="178"/>
      <c r="BI130" s="178"/>
      <c r="BJ130" s="178"/>
    </row>
    <row r="131" spans="1:62" ht="15.75" customHeight="1" outlineLevel="1">
      <c r="A131" s="147"/>
      <c r="B131" s="147" t="s">
        <v>1367</v>
      </c>
      <c r="C131" s="147">
        <v>2</v>
      </c>
      <c r="D131" s="174" t="s">
        <v>1589</v>
      </c>
      <c r="E131" s="148"/>
      <c r="F131" s="148" t="s">
        <v>1527</v>
      </c>
      <c r="G131" s="233"/>
      <c r="H131" s="148"/>
      <c r="I131" s="148"/>
      <c r="J131" s="148"/>
      <c r="K131" s="148"/>
      <c r="L131" s="148"/>
      <c r="M131" s="148"/>
      <c r="N131" s="148"/>
      <c r="O131" s="148"/>
      <c r="P131" s="149">
        <v>44896</v>
      </c>
      <c r="Q131" s="149">
        <v>44926</v>
      </c>
      <c r="R131" s="148"/>
      <c r="S131" s="150">
        <v>22</v>
      </c>
      <c r="T131" s="150">
        <v>0</v>
      </c>
      <c r="U131" s="150">
        <v>22</v>
      </c>
      <c r="V131" s="150">
        <v>0</v>
      </c>
      <c r="W131" s="149"/>
      <c r="X131" s="149"/>
      <c r="Y131" s="151">
        <v>0</v>
      </c>
      <c r="Z131" s="152">
        <v>0</v>
      </c>
      <c r="AA131" s="150"/>
      <c r="AB131" s="148"/>
      <c r="AC131" s="240"/>
      <c r="AD131" s="173">
        <v>0</v>
      </c>
      <c r="AE131" s="208">
        <v>0</v>
      </c>
      <c r="AF131" s="177"/>
      <c r="AG131" s="178"/>
      <c r="AH131" s="178"/>
      <c r="AI131" s="178"/>
      <c r="AJ131" s="178"/>
      <c r="AK131" s="178"/>
      <c r="AL131" s="178"/>
      <c r="AM131" s="178"/>
      <c r="AN131" s="178"/>
      <c r="AO131" s="178"/>
      <c r="AP131" s="178"/>
      <c r="AQ131" s="178"/>
      <c r="AR131" s="178"/>
      <c r="AS131" s="178"/>
      <c r="AT131" s="178"/>
      <c r="AU131" s="178"/>
      <c r="AV131" s="178"/>
      <c r="AW131" s="178"/>
      <c r="AX131" s="178"/>
      <c r="AY131" s="178"/>
      <c r="AZ131" s="178"/>
      <c r="BA131" s="178"/>
      <c r="BB131" s="178"/>
      <c r="BC131" s="178"/>
      <c r="BD131" s="178" t="str">
        <f>"    " &amp; TEXT(AE131,"#0.00%") &amp; " "</f>
        <v xml:space="preserve">    0.00% </v>
      </c>
      <c r="BE131" s="178"/>
      <c r="BF131" s="178"/>
      <c r="BG131" s="178"/>
      <c r="BH131" s="178"/>
      <c r="BI131" s="178" t="str">
        <f>"" &amp; "안정화 지원" &amp; " " &amp; IF(P131="","",TEXT(P131,"M/D-")) &amp; IF(Q131="","",TEXT(Q131,"M/D")) &amp; " "</f>
        <v xml:space="preserve">안정화 지원 12/1-12/31 </v>
      </c>
      <c r="BJ131" s="178"/>
    </row>
    <row r="132" spans="1:62" ht="15.75" customHeight="1" outlineLevel="2">
      <c r="A132" s="147"/>
      <c r="B132" s="147"/>
      <c r="C132" s="147">
        <v>3</v>
      </c>
      <c r="D132" s="174" t="s">
        <v>1590</v>
      </c>
      <c r="E132" s="148"/>
      <c r="F132" s="148"/>
      <c r="G132" s="233" t="s">
        <v>1573</v>
      </c>
      <c r="H132" s="148"/>
      <c r="I132" s="148"/>
      <c r="J132" s="148"/>
      <c r="K132" s="148"/>
      <c r="L132" s="148"/>
      <c r="M132" s="148"/>
      <c r="N132" s="148"/>
      <c r="O132" s="148"/>
      <c r="P132" s="149">
        <v>44896</v>
      </c>
      <c r="Q132" s="149">
        <v>44926</v>
      </c>
      <c r="R132" s="148"/>
      <c r="S132" s="150">
        <v>22</v>
      </c>
      <c r="T132" s="150">
        <v>0</v>
      </c>
      <c r="U132" s="150">
        <v>22</v>
      </c>
      <c r="V132" s="150">
        <v>0</v>
      </c>
      <c r="W132" s="149"/>
      <c r="X132" s="149"/>
      <c r="Y132" s="151">
        <v>0</v>
      </c>
      <c r="Z132" s="152">
        <v>0</v>
      </c>
      <c r="AA132" s="150"/>
      <c r="AB132" s="148" t="s">
        <v>1602</v>
      </c>
      <c r="AC132" s="240"/>
      <c r="AD132" s="173">
        <v>0</v>
      </c>
      <c r="AE132" s="179">
        <v>0</v>
      </c>
      <c r="AF132" s="177"/>
      <c r="AG132" s="178"/>
      <c r="AH132" s="178"/>
      <c r="AI132" s="178"/>
      <c r="AJ132" s="178"/>
      <c r="AK132" s="178"/>
      <c r="AL132" s="178"/>
      <c r="AM132" s="178"/>
      <c r="AN132" s="178"/>
      <c r="AO132" s="178"/>
      <c r="AP132" s="178"/>
      <c r="AQ132" s="178"/>
      <c r="AR132" s="178"/>
      <c r="AS132" s="178"/>
      <c r="AT132" s="178"/>
      <c r="AU132" s="178"/>
      <c r="AV132" s="178"/>
      <c r="AW132" s="178"/>
      <c r="AX132" s="178"/>
      <c r="AY132" s="178"/>
      <c r="AZ132" s="178"/>
      <c r="BA132" s="178"/>
      <c r="BB132" s="178"/>
      <c r="BC132" s="178"/>
      <c r="BD132" s="178" t="str">
        <f>"    " &amp; TEXT(AE132,"#0.00%") &amp; " "</f>
        <v xml:space="preserve">    0.00% </v>
      </c>
      <c r="BE132" s="178"/>
      <c r="BF132" s="178"/>
      <c r="BG132" s="178"/>
      <c r="BH132" s="178"/>
      <c r="BI132" s="178" t="str">
        <f>"" &amp; "시스템오픈 후 지원" &amp; "(박철규매니저)" &amp; " " &amp; IF(P132="","",TEXT(P132,"M/D-")) &amp; IF(Q132="","",TEXT(Q132,"M/D")) &amp; " "</f>
        <v xml:space="preserve">시스템오픈 후 지원(박철규매니저) 12/1-12/31 </v>
      </c>
      <c r="BJ132" s="178"/>
    </row>
    <row r="133" spans="1:62" ht="5.25" customHeight="1" outlineLevel="2">
      <c r="A133" s="147"/>
      <c r="B133" s="147"/>
      <c r="C133" s="147">
        <v>0</v>
      </c>
      <c r="D133" s="249"/>
      <c r="E133" s="250"/>
      <c r="F133" s="250"/>
      <c r="G133" s="251"/>
      <c r="H133" s="250"/>
      <c r="I133" s="250"/>
      <c r="J133" s="250"/>
      <c r="K133" s="250"/>
      <c r="L133" s="250"/>
      <c r="M133" s="250"/>
      <c r="N133" s="250"/>
      <c r="O133" s="250"/>
      <c r="P133" s="252"/>
      <c r="Q133" s="252"/>
      <c r="R133" s="250"/>
      <c r="S133" s="253"/>
      <c r="T133" s="253"/>
      <c r="U133" s="253">
        <v>0</v>
      </c>
      <c r="V133" s="253">
        <v>0</v>
      </c>
      <c r="W133" s="252"/>
      <c r="X133" s="252"/>
      <c r="Y133" s="254"/>
      <c r="Z133" s="255">
        <v>0</v>
      </c>
      <c r="AA133" s="253"/>
      <c r="AB133" s="250"/>
      <c r="AC133" s="240"/>
      <c r="AD133" s="173"/>
      <c r="AE133" s="218"/>
      <c r="AF133" s="177"/>
      <c r="AG133" s="178"/>
      <c r="AH133" s="178"/>
      <c r="AI133" s="178"/>
      <c r="AJ133" s="178"/>
      <c r="AK133" s="178"/>
      <c r="AL133" s="178"/>
      <c r="AM133" s="178"/>
      <c r="AN133" s="178"/>
      <c r="AO133" s="178"/>
      <c r="AP133" s="178"/>
      <c r="AQ133" s="178"/>
      <c r="AR133" s="178"/>
      <c r="AS133" s="178"/>
      <c r="AT133" s="178"/>
      <c r="AU133" s="178"/>
      <c r="AV133" s="178"/>
      <c r="AW133" s="178"/>
      <c r="AX133" s="178"/>
      <c r="AY133" s="178"/>
      <c r="AZ133" s="178"/>
      <c r="BA133" s="178"/>
      <c r="BB133" s="178"/>
      <c r="BC133" s="178"/>
      <c r="BD133" s="178"/>
      <c r="BE133" s="178"/>
      <c r="BF133" s="178"/>
      <c r="BG133" s="178"/>
      <c r="BH133" s="178"/>
      <c r="BI133" s="178"/>
      <c r="BJ133" s="178"/>
    </row>
    <row r="134" spans="1:62" ht="15.75" customHeight="1">
      <c r="A134" s="147"/>
      <c r="B134" s="147" t="s">
        <v>1367</v>
      </c>
      <c r="C134" s="147">
        <v>1</v>
      </c>
      <c r="D134" s="245" t="s">
        <v>1389</v>
      </c>
      <c r="E134" s="246" t="s">
        <v>1553</v>
      </c>
      <c r="F134" s="246"/>
      <c r="G134" s="246"/>
      <c r="H134" s="246"/>
      <c r="I134" s="246"/>
      <c r="J134" s="246"/>
      <c r="K134" s="246"/>
      <c r="L134" s="246"/>
      <c r="M134" s="246"/>
      <c r="N134" s="246"/>
      <c r="O134" s="148"/>
      <c r="P134" s="149">
        <v>44757</v>
      </c>
      <c r="Q134" s="149">
        <v>44834</v>
      </c>
      <c r="R134" s="148"/>
      <c r="S134" s="150">
        <v>62</v>
      </c>
      <c r="T134" s="150">
        <v>0</v>
      </c>
      <c r="U134" s="150">
        <v>53</v>
      </c>
      <c r="V134" s="150">
        <v>0</v>
      </c>
      <c r="W134" s="149"/>
      <c r="X134" s="149"/>
      <c r="Y134" s="151">
        <v>0</v>
      </c>
      <c r="Z134" s="152">
        <v>0</v>
      </c>
      <c r="AA134" s="150"/>
      <c r="AB134" s="148"/>
      <c r="AC134" s="240"/>
      <c r="AD134" s="173">
        <v>0</v>
      </c>
      <c r="AE134" s="208">
        <v>0</v>
      </c>
      <c r="AF134" s="177"/>
      <c r="AG134" s="178"/>
      <c r="AH134" s="178"/>
      <c r="AI134" s="178"/>
      <c r="AJ134" s="178" t="str">
        <f>"     " &amp; TEXT(AE134,"#0.00%") &amp; " "</f>
        <v xml:space="preserve">     0.00% </v>
      </c>
      <c r="AK134" s="178"/>
      <c r="AL134" s="178"/>
      <c r="AM134" s="178"/>
      <c r="AN134" s="178"/>
      <c r="AO134" s="178"/>
      <c r="AP134" s="178"/>
      <c r="AQ134" s="178"/>
      <c r="AR134" s="178"/>
      <c r="AS134" s="178"/>
      <c r="AT134" s="178"/>
      <c r="AU134" s="178" t="str">
        <f>"      " &amp; "Gate 장비" &amp; " " &amp; IF(P134="","",TEXT(P134,"M/D-")) &amp; IF(Q134="","",TEXT(Q134,"M/D")) &amp; " "</f>
        <v xml:space="preserve">      Gate 장비 7/15-9/30 </v>
      </c>
      <c r="AV134" s="178"/>
      <c r="AW134" s="178"/>
      <c r="AX134" s="178"/>
      <c r="AY134" s="178"/>
      <c r="AZ134" s="178"/>
      <c r="BA134" s="178"/>
      <c r="BB134" s="178"/>
      <c r="BC134" s="178"/>
      <c r="BD134" s="178"/>
      <c r="BE134" s="178"/>
      <c r="BF134" s="178"/>
      <c r="BG134" s="178"/>
      <c r="BH134" s="178"/>
      <c r="BI134" s="178"/>
      <c r="BJ134" s="178"/>
    </row>
    <row r="135" spans="1:62" ht="15.75" customHeight="1" outlineLevel="1">
      <c r="A135" s="147"/>
      <c r="B135" s="147"/>
      <c r="C135" s="147">
        <v>2</v>
      </c>
      <c r="D135" s="174" t="s">
        <v>1560</v>
      </c>
      <c r="E135" s="148"/>
      <c r="F135" s="148" t="s">
        <v>1554</v>
      </c>
      <c r="G135" s="148"/>
      <c r="H135" s="148"/>
      <c r="I135" s="148"/>
      <c r="J135" s="148"/>
      <c r="K135" s="148"/>
      <c r="L135" s="148"/>
      <c r="M135" s="148"/>
      <c r="N135" s="148"/>
      <c r="O135" s="148"/>
      <c r="P135" s="149">
        <v>44757</v>
      </c>
      <c r="Q135" s="149">
        <v>44773</v>
      </c>
      <c r="R135" s="148"/>
      <c r="S135" s="150">
        <v>11</v>
      </c>
      <c r="T135" s="150">
        <v>0</v>
      </c>
      <c r="U135" s="150">
        <v>11</v>
      </c>
      <c r="V135" s="150">
        <v>0</v>
      </c>
      <c r="W135" s="149"/>
      <c r="X135" s="149"/>
      <c r="Y135" s="151">
        <v>0</v>
      </c>
      <c r="Z135" s="152">
        <v>0</v>
      </c>
      <c r="AA135" s="150"/>
      <c r="AB135" s="148" t="s">
        <v>1598</v>
      </c>
      <c r="AC135" s="240"/>
      <c r="AD135" s="173">
        <v>0</v>
      </c>
      <c r="AE135" s="179">
        <v>0</v>
      </c>
      <c r="AF135" s="177"/>
      <c r="AG135" s="178"/>
      <c r="AH135" s="178"/>
      <c r="AI135" s="178"/>
      <c r="AJ135" s="178" t="str">
        <f>"     " &amp; TEXT(AE135,"#0.00%") &amp; " " &amp; "설계 및 발주 제작" &amp; "(김명석부장)" &amp; " " &amp; IF(P135="","",TEXT(P135,"M/D-")) &amp; IF(Q135="","",TEXT(Q135,"M/D")) &amp; " "</f>
        <v xml:space="preserve">     0.00% 설계 및 발주 제작(김명석부장) 7/15-7/31 </v>
      </c>
      <c r="AK135" s="178"/>
      <c r="AL135" s="178"/>
      <c r="AM135" s="178"/>
      <c r="AN135" s="178"/>
      <c r="AO135" s="178"/>
      <c r="AP135" s="178"/>
      <c r="AQ135" s="178"/>
      <c r="AR135" s="178"/>
      <c r="AS135" s="178"/>
      <c r="AT135" s="178"/>
      <c r="AU135" s="178"/>
      <c r="AV135" s="178"/>
      <c r="AW135" s="178"/>
      <c r="AX135" s="178"/>
      <c r="AY135" s="178"/>
      <c r="AZ135" s="178"/>
      <c r="BA135" s="178"/>
      <c r="BB135" s="178"/>
      <c r="BC135" s="178"/>
      <c r="BD135" s="178"/>
      <c r="BE135" s="178"/>
      <c r="BF135" s="178"/>
      <c r="BG135" s="178"/>
      <c r="BH135" s="178"/>
      <c r="BI135" s="178"/>
      <c r="BJ135" s="178"/>
    </row>
    <row r="136" spans="1:62" ht="15.75" customHeight="1" outlineLevel="1">
      <c r="A136" s="147"/>
      <c r="B136" s="147"/>
      <c r="C136" s="147">
        <v>2</v>
      </c>
      <c r="D136" s="174" t="s">
        <v>1561</v>
      </c>
      <c r="E136" s="148"/>
      <c r="F136" s="148" t="s">
        <v>1558</v>
      </c>
      <c r="G136" s="148"/>
      <c r="H136" s="148"/>
      <c r="I136" s="148"/>
      <c r="J136" s="148"/>
      <c r="K136" s="148"/>
      <c r="L136" s="148"/>
      <c r="M136" s="148"/>
      <c r="N136" s="148"/>
      <c r="O136" s="148"/>
      <c r="P136" s="149">
        <v>44774</v>
      </c>
      <c r="Q136" s="149">
        <v>44819</v>
      </c>
      <c r="R136" s="148"/>
      <c r="S136" s="150">
        <v>31</v>
      </c>
      <c r="T136" s="150">
        <v>0</v>
      </c>
      <c r="U136" s="150">
        <v>31</v>
      </c>
      <c r="V136" s="150">
        <v>0</v>
      </c>
      <c r="W136" s="149"/>
      <c r="X136" s="149"/>
      <c r="Y136" s="151">
        <v>0</v>
      </c>
      <c r="Z136" s="152">
        <v>0</v>
      </c>
      <c r="AA136" s="150"/>
      <c r="AB136" s="148" t="s">
        <v>1598</v>
      </c>
      <c r="AC136" s="240"/>
      <c r="AD136" s="173">
        <v>0</v>
      </c>
      <c r="AE136" s="179">
        <v>0</v>
      </c>
      <c r="AF136" s="177"/>
      <c r="AG136" s="178"/>
      <c r="AH136" s="178"/>
      <c r="AI136" s="178"/>
      <c r="AJ136" s="178"/>
      <c r="AK136" s="178"/>
      <c r="AL136" s="178"/>
      <c r="AM136" s="178" t="str">
        <f>" " &amp; TEXT(AE136,"#0.00%") &amp; " "</f>
        <v xml:space="preserve"> 0.00% </v>
      </c>
      <c r="AN136" s="178"/>
      <c r="AO136" s="178"/>
      <c r="AP136" s="178"/>
      <c r="AQ136" s="178"/>
      <c r="AR136" s="178"/>
      <c r="AS136" s="178" t="str">
        <f>"     " &amp; "제작" &amp; "(김명석부장)" &amp; " " &amp; IF(P136="","",TEXT(P136,"M/D-")) &amp; IF(Q136="","",TEXT(Q136,"M/D")) &amp; " "</f>
        <v xml:space="preserve">     제작(김명석부장) 8/1-9/15 </v>
      </c>
      <c r="AT136" s="178"/>
      <c r="AU136" s="178"/>
      <c r="AV136" s="178"/>
      <c r="AW136" s="178"/>
      <c r="AX136" s="178"/>
      <c r="AY136" s="178"/>
      <c r="AZ136" s="178"/>
      <c r="BA136" s="178"/>
      <c r="BB136" s="178"/>
      <c r="BC136" s="178"/>
      <c r="BD136" s="178"/>
      <c r="BE136" s="178"/>
      <c r="BF136" s="178"/>
      <c r="BG136" s="178"/>
      <c r="BH136" s="178"/>
      <c r="BI136" s="178"/>
      <c r="BJ136" s="178"/>
    </row>
    <row r="137" spans="1:62" ht="15.75" customHeight="1" outlineLevel="1">
      <c r="A137" s="147"/>
      <c r="B137" s="147"/>
      <c r="C137" s="147">
        <v>2</v>
      </c>
      <c r="D137" s="174" t="s">
        <v>1562</v>
      </c>
      <c r="E137" s="148"/>
      <c r="F137" s="148" t="s">
        <v>1559</v>
      </c>
      <c r="G137" s="148"/>
      <c r="H137" s="148"/>
      <c r="I137" s="148"/>
      <c r="J137" s="148"/>
      <c r="K137" s="148"/>
      <c r="L137" s="148"/>
      <c r="M137" s="148"/>
      <c r="N137" s="148"/>
      <c r="O137" s="148"/>
      <c r="P137" s="149">
        <v>44805</v>
      </c>
      <c r="Q137" s="149">
        <v>44819</v>
      </c>
      <c r="R137" s="148"/>
      <c r="S137" s="150">
        <v>9</v>
      </c>
      <c r="T137" s="150">
        <v>0</v>
      </c>
      <c r="U137" s="150">
        <v>9</v>
      </c>
      <c r="V137" s="150">
        <v>0</v>
      </c>
      <c r="W137" s="149"/>
      <c r="X137" s="149"/>
      <c r="Y137" s="151">
        <v>0</v>
      </c>
      <c r="Z137" s="152">
        <v>0</v>
      </c>
      <c r="AA137" s="150"/>
      <c r="AB137" s="148" t="s">
        <v>1598</v>
      </c>
      <c r="AC137" s="240"/>
      <c r="AD137" s="173">
        <v>0</v>
      </c>
      <c r="AE137" s="179">
        <v>0</v>
      </c>
      <c r="AF137" s="177"/>
      <c r="AG137" s="178"/>
      <c r="AH137" s="178"/>
      <c r="AI137" s="178"/>
      <c r="AJ137" s="178"/>
      <c r="AK137" s="178"/>
      <c r="AL137" s="178"/>
      <c r="AM137" s="178"/>
      <c r="AN137" s="178"/>
      <c r="AO137" s="178"/>
      <c r="AP137" s="178"/>
      <c r="AQ137" s="178" t="str">
        <f>"    " &amp; TEXT(AE137,"#0.00%") &amp; " " &amp; "배선/배관 공사" &amp; "(김명석부장)" &amp; " " &amp; IF(P137="","",TEXT(P137,"M/D-")) &amp; IF(Q137="","",TEXT(Q137,"M/D")) &amp; " "</f>
        <v xml:space="preserve">    0.00% 배선/배관 공사(김명석부장) 9/1-9/15 </v>
      </c>
      <c r="AR137" s="178"/>
      <c r="AS137" s="178"/>
      <c r="AT137" s="178"/>
      <c r="AU137" s="178"/>
      <c r="AV137" s="178"/>
      <c r="AW137" s="178"/>
      <c r="AX137" s="178"/>
      <c r="AY137" s="178"/>
      <c r="AZ137" s="178"/>
      <c r="BA137" s="178"/>
      <c r="BB137" s="178"/>
      <c r="BC137" s="178"/>
      <c r="BD137" s="178"/>
      <c r="BE137" s="178"/>
      <c r="BF137" s="178"/>
      <c r="BG137" s="178"/>
      <c r="BH137" s="178"/>
      <c r="BI137" s="178"/>
      <c r="BJ137" s="178"/>
    </row>
    <row r="138" spans="1:62" ht="15.75" customHeight="1" outlineLevel="1">
      <c r="A138" s="147"/>
      <c r="B138" s="147"/>
      <c r="C138" s="147">
        <v>2</v>
      </c>
      <c r="D138" s="174" t="s">
        <v>1563</v>
      </c>
      <c r="E138" s="148"/>
      <c r="F138" s="318" t="s">
        <v>1556</v>
      </c>
      <c r="G138" s="236"/>
      <c r="H138" s="236"/>
      <c r="I138" s="236"/>
      <c r="J138" s="236"/>
      <c r="K138" s="236"/>
      <c r="L138" s="236"/>
      <c r="M138" s="236"/>
      <c r="N138" s="236"/>
      <c r="O138" s="236"/>
      <c r="P138" s="237">
        <v>44820</v>
      </c>
      <c r="Q138" s="237">
        <v>44834</v>
      </c>
      <c r="R138" s="148"/>
      <c r="S138" s="150">
        <v>11</v>
      </c>
      <c r="T138" s="150">
        <v>0</v>
      </c>
      <c r="U138" s="150">
        <v>11</v>
      </c>
      <c r="V138" s="150">
        <v>0</v>
      </c>
      <c r="W138" s="149"/>
      <c r="X138" s="149"/>
      <c r="Y138" s="151">
        <v>0</v>
      </c>
      <c r="Z138" s="152">
        <v>0</v>
      </c>
      <c r="AA138" s="150"/>
      <c r="AB138" s="148" t="s">
        <v>1598</v>
      </c>
      <c r="AC138" s="240"/>
      <c r="AD138" s="173">
        <v>0</v>
      </c>
      <c r="AE138" s="179">
        <v>0</v>
      </c>
      <c r="AF138" s="177"/>
      <c r="AG138" s="178"/>
      <c r="AH138" s="178"/>
      <c r="AI138" s="178"/>
      <c r="AJ138" s="178"/>
      <c r="AK138" s="178"/>
      <c r="AL138" s="178"/>
      <c r="AM138" s="178"/>
      <c r="AN138" s="178"/>
      <c r="AO138" s="178"/>
      <c r="AP138" s="178"/>
      <c r="AQ138" s="178"/>
      <c r="AR138" s="178"/>
      <c r="AS138" s="178" t="str">
        <f>"     " &amp; TEXT(AE138,"#0.00%") &amp; " " &amp; "설치" &amp; "(김명석부장)" &amp; " " &amp; IF(P138="","",TEXT(P138,"M/D-")) &amp; IF(Q138="","",TEXT(Q138,"M/D")) &amp; " "</f>
        <v xml:space="preserve">     0.00% 설치(김명석부장) 9/16-9/30 </v>
      </c>
      <c r="AT138" s="178"/>
      <c r="AU138" s="178"/>
      <c r="AV138" s="178"/>
      <c r="AW138" s="178"/>
      <c r="AX138" s="178"/>
      <c r="AY138" s="178"/>
      <c r="AZ138" s="178"/>
      <c r="BA138" s="178"/>
      <c r="BB138" s="178"/>
      <c r="BC138" s="178"/>
      <c r="BD138" s="178"/>
      <c r="BE138" s="178"/>
      <c r="BF138" s="178"/>
      <c r="BG138" s="178"/>
      <c r="BH138" s="178"/>
      <c r="BI138" s="178"/>
      <c r="BJ138" s="178"/>
    </row>
    <row r="139" spans="1:62" ht="15.75" customHeight="1">
      <c r="A139" s="147"/>
      <c r="B139" s="147" t="s">
        <v>1367</v>
      </c>
      <c r="C139" s="147">
        <v>1</v>
      </c>
      <c r="D139" s="245" t="s">
        <v>1504</v>
      </c>
      <c r="E139" s="246" t="s">
        <v>1557</v>
      </c>
      <c r="F139" s="246"/>
      <c r="G139" s="246"/>
      <c r="H139" s="246"/>
      <c r="I139" s="246"/>
      <c r="J139" s="246"/>
      <c r="K139" s="246"/>
      <c r="L139" s="246"/>
      <c r="M139" s="246"/>
      <c r="N139" s="246"/>
      <c r="O139" s="148"/>
      <c r="P139" s="149">
        <v>44805</v>
      </c>
      <c r="Q139" s="149">
        <v>44849</v>
      </c>
      <c r="R139" s="148"/>
      <c r="S139" s="150">
        <v>28</v>
      </c>
      <c r="T139" s="150">
        <v>0</v>
      </c>
      <c r="U139" s="150">
        <v>28</v>
      </c>
      <c r="V139" s="150">
        <v>0</v>
      </c>
      <c r="W139" s="149"/>
      <c r="X139" s="149"/>
      <c r="Y139" s="151">
        <v>0</v>
      </c>
      <c r="Z139" s="152">
        <v>0</v>
      </c>
      <c r="AA139" s="150"/>
      <c r="AB139" s="148"/>
      <c r="AC139" s="240"/>
      <c r="AD139" s="173">
        <v>0</v>
      </c>
      <c r="AE139" s="208">
        <v>0</v>
      </c>
      <c r="AF139" s="177"/>
      <c r="AG139" s="178"/>
      <c r="AH139" s="178"/>
      <c r="AI139" s="178"/>
      <c r="AJ139" s="178"/>
      <c r="AK139" s="178"/>
      <c r="AL139" s="178"/>
      <c r="AM139" s="178"/>
      <c r="AN139" s="178"/>
      <c r="AO139" s="178"/>
      <c r="AP139" s="178"/>
      <c r="AQ139" s="178" t="str">
        <f>"    " &amp; TEXT(AE139,"#0.00%") &amp; " "</f>
        <v xml:space="preserve">    0.00% </v>
      </c>
      <c r="AR139" s="178"/>
      <c r="AS139" s="178"/>
      <c r="AT139" s="178"/>
      <c r="AU139" s="178"/>
      <c r="AV139" s="178"/>
      <c r="AW139" s="178"/>
      <c r="AX139" s="178" t="str">
        <f>"" &amp; "서버 및 사용소프트웨어" &amp; " " &amp; IF(P139="","",TEXT(P139,"M/D-")) &amp; IF(Q139="","",TEXT(Q139,"M/D")) &amp; " "</f>
        <v xml:space="preserve">서버 및 사용소프트웨어 9/1-10/15 </v>
      </c>
      <c r="AY139" s="178"/>
      <c r="AZ139" s="178"/>
      <c r="BA139" s="178"/>
      <c r="BB139" s="178"/>
      <c r="BC139" s="178"/>
      <c r="BD139" s="178"/>
      <c r="BE139" s="178"/>
      <c r="BF139" s="178"/>
      <c r="BG139" s="178"/>
      <c r="BH139" s="178"/>
      <c r="BI139" s="178"/>
      <c r="BJ139" s="178"/>
    </row>
    <row r="140" spans="1:62" ht="15.75" customHeight="1" outlineLevel="1">
      <c r="A140" s="147"/>
      <c r="B140" s="147"/>
      <c r="C140" s="147">
        <v>2</v>
      </c>
      <c r="D140" s="174" t="s">
        <v>1564</v>
      </c>
      <c r="E140" s="148"/>
      <c r="F140" s="148" t="s">
        <v>1554</v>
      </c>
      <c r="G140" s="148"/>
      <c r="H140" s="148"/>
      <c r="I140" s="148"/>
      <c r="J140" s="148"/>
      <c r="K140" s="148"/>
      <c r="L140" s="148"/>
      <c r="M140" s="148"/>
      <c r="N140" s="148"/>
      <c r="O140" s="148"/>
      <c r="P140" s="149">
        <v>44805</v>
      </c>
      <c r="Q140" s="149">
        <v>44819</v>
      </c>
      <c r="R140" s="148"/>
      <c r="S140" s="150">
        <v>9</v>
      </c>
      <c r="T140" s="150">
        <v>0</v>
      </c>
      <c r="U140" s="150">
        <v>9</v>
      </c>
      <c r="V140" s="150">
        <v>0</v>
      </c>
      <c r="W140" s="149"/>
      <c r="X140" s="149"/>
      <c r="Y140" s="151">
        <v>0</v>
      </c>
      <c r="Z140" s="152">
        <v>0</v>
      </c>
      <c r="AA140" s="150"/>
      <c r="AB140" s="148" t="s">
        <v>1599</v>
      </c>
      <c r="AC140" s="240"/>
      <c r="AD140" s="173">
        <v>0</v>
      </c>
      <c r="AE140" s="179">
        <v>0</v>
      </c>
      <c r="AF140" s="177"/>
      <c r="AG140" s="178"/>
      <c r="AH140" s="178"/>
      <c r="AI140" s="178"/>
      <c r="AJ140" s="178"/>
      <c r="AK140" s="178"/>
      <c r="AL140" s="178"/>
      <c r="AM140" s="178"/>
      <c r="AN140" s="178"/>
      <c r="AO140" s="178"/>
      <c r="AP140" s="178"/>
      <c r="AQ140" s="178" t="str">
        <f>"    " &amp; TEXT(AE140,"#0.00%") &amp; " " &amp; "설계 및 발주 제작" &amp; "(오현우과장)" &amp; " " &amp; IF(P140="","",TEXT(P140,"M/D-")) &amp; IF(Q140="","",TEXT(Q140,"M/D")) &amp; " "</f>
        <v xml:space="preserve">    0.00% 설계 및 발주 제작(오현우과장) 9/1-9/15 </v>
      </c>
      <c r="AR140" s="178"/>
      <c r="AS140" s="178"/>
      <c r="AT140" s="178"/>
      <c r="AU140" s="178"/>
      <c r="AV140" s="178"/>
      <c r="AW140" s="178"/>
      <c r="AX140" s="178"/>
      <c r="AY140" s="178"/>
      <c r="AZ140" s="178"/>
      <c r="BA140" s="178"/>
      <c r="BB140" s="178"/>
      <c r="BC140" s="178"/>
      <c r="BD140" s="178"/>
      <c r="BE140" s="178"/>
      <c r="BF140" s="178"/>
      <c r="BG140" s="178"/>
      <c r="BH140" s="178"/>
      <c r="BI140" s="178"/>
      <c r="BJ140" s="178"/>
    </row>
    <row r="141" spans="1:62" ht="15.75" customHeight="1" outlineLevel="1">
      <c r="A141" s="147"/>
      <c r="B141" s="147"/>
      <c r="C141" s="147">
        <v>2</v>
      </c>
      <c r="D141" s="174" t="s">
        <v>1565</v>
      </c>
      <c r="E141" s="148"/>
      <c r="F141" s="148" t="s">
        <v>1555</v>
      </c>
      <c r="G141" s="148"/>
      <c r="H141" s="148"/>
      <c r="I141" s="148"/>
      <c r="J141" s="148"/>
      <c r="K141" s="148"/>
      <c r="L141" s="148"/>
      <c r="M141" s="148"/>
      <c r="N141" s="148"/>
      <c r="O141" s="148"/>
      <c r="P141" s="149">
        <v>44820</v>
      </c>
      <c r="Q141" s="149">
        <v>44834</v>
      </c>
      <c r="R141" s="148"/>
      <c r="S141" s="150">
        <v>11</v>
      </c>
      <c r="T141" s="150">
        <v>0</v>
      </c>
      <c r="U141" s="150">
        <v>11</v>
      </c>
      <c r="V141" s="150">
        <v>0</v>
      </c>
      <c r="W141" s="149"/>
      <c r="X141" s="149"/>
      <c r="Y141" s="151">
        <v>0</v>
      </c>
      <c r="Z141" s="152">
        <v>0</v>
      </c>
      <c r="AA141" s="150"/>
      <c r="AB141" s="148" t="s">
        <v>1599</v>
      </c>
      <c r="AC141" s="240"/>
      <c r="AD141" s="173">
        <v>0</v>
      </c>
      <c r="AE141" s="179">
        <v>0</v>
      </c>
      <c r="AF141" s="177"/>
      <c r="AG141" s="178"/>
      <c r="AH141" s="178"/>
      <c r="AI141" s="178"/>
      <c r="AJ141" s="178"/>
      <c r="AK141" s="178"/>
      <c r="AL141" s="178"/>
      <c r="AM141" s="178"/>
      <c r="AN141" s="178"/>
      <c r="AO141" s="178"/>
      <c r="AP141" s="178"/>
      <c r="AQ141" s="178"/>
      <c r="AR141" s="178"/>
      <c r="AS141" s="178" t="str">
        <f>"     " &amp; TEXT(AE141,"#0.00%") &amp; " " &amp; "서버 입고" &amp; "(오현우과장)" &amp; " " &amp; IF(P141="","",TEXT(P141,"M/D-")) &amp; IF(Q141="","",TEXT(Q141,"M/D")) &amp; " "</f>
        <v xml:space="preserve">     0.00% 서버 입고(오현우과장) 9/16-9/30 </v>
      </c>
      <c r="AT141" s="178"/>
      <c r="AU141" s="178"/>
      <c r="AV141" s="178"/>
      <c r="AW141" s="178"/>
      <c r="AX141" s="178"/>
      <c r="AY141" s="178"/>
      <c r="AZ141" s="178"/>
      <c r="BA141" s="178"/>
      <c r="BB141" s="178"/>
      <c r="BC141" s="178"/>
      <c r="BD141" s="178"/>
      <c r="BE141" s="178"/>
      <c r="BF141" s="178"/>
      <c r="BG141" s="178"/>
      <c r="BH141" s="178"/>
      <c r="BI141" s="178"/>
      <c r="BJ141" s="178"/>
    </row>
    <row r="142" spans="1:62" ht="15.75" customHeight="1" outlineLevel="1">
      <c r="A142" s="147"/>
      <c r="B142" s="147"/>
      <c r="C142" s="147">
        <v>2</v>
      </c>
      <c r="D142" s="174" t="s">
        <v>1566</v>
      </c>
      <c r="E142" s="148"/>
      <c r="F142" s="318" t="s">
        <v>1556</v>
      </c>
      <c r="G142" s="236"/>
      <c r="H142" s="236"/>
      <c r="I142" s="236"/>
      <c r="J142" s="236"/>
      <c r="K142" s="236"/>
      <c r="L142" s="236"/>
      <c r="M142" s="236"/>
      <c r="N142" s="236"/>
      <c r="O142" s="236"/>
      <c r="P142" s="237">
        <v>44835</v>
      </c>
      <c r="Q142" s="237">
        <v>44849</v>
      </c>
      <c r="R142" s="148"/>
      <c r="S142" s="150">
        <v>8</v>
      </c>
      <c r="T142" s="150">
        <v>0</v>
      </c>
      <c r="U142" s="150">
        <v>8</v>
      </c>
      <c r="V142" s="150">
        <v>0</v>
      </c>
      <c r="W142" s="149"/>
      <c r="X142" s="149"/>
      <c r="Y142" s="151">
        <v>0</v>
      </c>
      <c r="Z142" s="152">
        <v>0</v>
      </c>
      <c r="AA142" s="150"/>
      <c r="AB142" s="148" t="s">
        <v>1599</v>
      </c>
      <c r="AC142" s="240"/>
      <c r="AD142" s="173">
        <v>0</v>
      </c>
      <c r="AE142" s="179">
        <v>0</v>
      </c>
      <c r="AF142" s="177"/>
      <c r="AG142" s="178"/>
      <c r="AH142" s="178"/>
      <c r="AI142" s="178"/>
      <c r="AJ142" s="178"/>
      <c r="AK142" s="178"/>
      <c r="AL142" s="178"/>
      <c r="AM142" s="178"/>
      <c r="AN142" s="178"/>
      <c r="AO142" s="178"/>
      <c r="AP142" s="178"/>
      <c r="AQ142" s="178"/>
      <c r="AR142" s="178"/>
      <c r="AS142" s="178"/>
      <c r="AT142" s="178"/>
      <c r="AU142" s="178" t="str">
        <f>"      " &amp; TEXT(AE142,"#0.00%") &amp; " " &amp; "설치" &amp; "(오현우과장)" &amp; " " &amp; IF(P142="","",TEXT(P142,"M/D-")) &amp; IF(Q142="","",TEXT(Q142,"M/D")) &amp; " "</f>
        <v xml:space="preserve">      0.00% 설치(오현우과장) 10/1-10/15 </v>
      </c>
      <c r="AV142" s="178"/>
      <c r="AW142" s="178"/>
      <c r="AX142" s="178"/>
      <c r="AY142" s="178"/>
      <c r="AZ142" s="178"/>
      <c r="BA142" s="178"/>
      <c r="BB142" s="178"/>
      <c r="BC142" s="178"/>
      <c r="BD142" s="178"/>
      <c r="BE142" s="178"/>
      <c r="BF142" s="178"/>
      <c r="BG142" s="178"/>
      <c r="BH142" s="178"/>
      <c r="BI142" s="178"/>
      <c r="BJ142" s="178"/>
    </row>
    <row r="143" spans="1:62" ht="15.75" customHeight="1">
      <c r="A143" s="164"/>
      <c r="B143" s="164"/>
      <c r="C143" s="164"/>
      <c r="D143" s="231"/>
      <c r="E143" s="165"/>
      <c r="F143" s="165"/>
      <c r="G143" s="165"/>
      <c r="H143" s="165"/>
      <c r="I143" s="165"/>
      <c r="J143" s="165"/>
      <c r="K143" s="165"/>
      <c r="L143" s="165"/>
      <c r="M143" s="165"/>
      <c r="N143" s="165"/>
      <c r="O143" s="165"/>
      <c r="P143" s="166"/>
      <c r="Q143" s="166"/>
      <c r="R143" s="165"/>
      <c r="S143" s="167"/>
      <c r="T143" s="167"/>
      <c r="U143" s="167"/>
      <c r="V143" s="167"/>
      <c r="W143" s="166"/>
      <c r="X143" s="166"/>
      <c r="Y143" s="168"/>
      <c r="Z143" s="169"/>
      <c r="AA143" s="167"/>
      <c r="AB143" s="165"/>
      <c r="AC143" s="170"/>
      <c r="AD143" s="171"/>
      <c r="AE143" s="172"/>
      <c r="AF143" s="176"/>
      <c r="AG143" s="176"/>
      <c r="AH143" s="176"/>
      <c r="AI143" s="176"/>
      <c r="AJ143" s="176"/>
      <c r="AK143" s="176"/>
      <c r="AL143" s="176"/>
      <c r="AM143" s="176"/>
      <c r="AN143" s="176"/>
      <c r="AO143" s="176"/>
      <c r="AP143" s="176"/>
      <c r="AQ143" s="176"/>
      <c r="AR143" s="176"/>
      <c r="AS143" s="176"/>
      <c r="AT143" s="176"/>
      <c r="AU143" s="176"/>
      <c r="AV143" s="176"/>
      <c r="AW143" s="176"/>
      <c r="AX143" s="176"/>
      <c r="AY143" s="176"/>
      <c r="AZ143" s="176"/>
      <c r="BA143" s="176"/>
      <c r="BB143" s="176"/>
      <c r="BC143" s="176"/>
      <c r="BD143" s="176"/>
      <c r="BE143" s="176"/>
      <c r="BF143" s="176"/>
      <c r="BG143" s="176"/>
      <c r="BH143" s="176"/>
      <c r="BI143" s="176"/>
      <c r="BJ143" s="176"/>
    </row>
  </sheetData>
  <sheetProtection formatCells="0" formatColumns="0" formatRows="0" insertColumns="0" insertRows="0" insertHyperlinks="0" deleteColumns="0" deleteRows="0" sort="0" autoFilter="0" pivotTables="0"/>
  <dataConsolidate/>
  <mergeCells count="44">
    <mergeCell ref="BH3:BK3"/>
    <mergeCell ref="BH2:BK2"/>
    <mergeCell ref="AV3:AY3"/>
    <mergeCell ref="AV2:AY2"/>
    <mergeCell ref="AZ3:BC3"/>
    <mergeCell ref="AZ2:BC2"/>
    <mergeCell ref="BD3:BG3"/>
    <mergeCell ref="BD2:BG2"/>
    <mergeCell ref="AF3:AI3"/>
    <mergeCell ref="AF2:AI2"/>
    <mergeCell ref="AJ3:AM3"/>
    <mergeCell ref="AJ2:AM2"/>
    <mergeCell ref="AR3:AU3"/>
    <mergeCell ref="AR2:AU2"/>
    <mergeCell ref="AN3:AQ3"/>
    <mergeCell ref="AN2:AQ2"/>
    <mergeCell ref="AC3:AC4"/>
    <mergeCell ref="AD3:AD4"/>
    <mergeCell ref="A3:A4"/>
    <mergeCell ref="B3:B4"/>
    <mergeCell ref="C3:C4"/>
    <mergeCell ref="D3:D4"/>
    <mergeCell ref="E3:N4"/>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O29:O33"/>
    <mergeCell ref="AC36:AC38"/>
    <mergeCell ref="AC127:AC128"/>
    <mergeCell ref="AC123:AC125"/>
    <mergeCell ref="AC13:AC14"/>
  </mergeCells>
  <phoneticPr fontId="1" type="noConversion"/>
  <conditionalFormatting sqref="D5:AD142">
    <cfRule type="expression" dxfId="1" priority="2">
      <formula>($B5="G")</formula>
    </cfRule>
  </conditionalFormatting>
  <conditionalFormatting sqref="W5:X142">
    <cfRule type="expression" dxfId="0" priority="1">
      <formula>($P5&amp;$Q5&lt;&gt;$W5&amp;$X5)</formula>
    </cfRule>
  </conditionalFormatting>
  <hyperlinks>
    <hyperlink ref="AF1:BJ1" r:id="rId1" display="https://xlworks.net/xlgantt-project-scheduler/" xr:uid="{19F72BD3-088F-4FEC-B61B-F02C6EE7395C}"/>
  </hyperlinks>
  <pageMargins left="0.19685039370078741" right="0.23622047244094491" top="0.43307086614173229" bottom="0.23622047244094491" header="0.23622047244094491" footer="0.19685039370078741"/>
  <pageSetup paperSize="9" scale="23"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A49" sqref="A49"/>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62" t="s">
        <v>1601</v>
      </c>
      <c r="B1" s="2"/>
      <c r="C1" s="2"/>
      <c r="D1" s="2"/>
      <c r="E1" s="2"/>
      <c r="F1" s="2"/>
      <c r="G1" s="2"/>
      <c r="H1" s="2"/>
      <c r="I1" s="2"/>
      <c r="J1" s="2"/>
      <c r="K1" s="2"/>
      <c r="L1" s="311"/>
      <c r="M1" s="312"/>
      <c r="N1" s="312"/>
      <c r="O1" s="3"/>
      <c r="P1" s="3"/>
      <c r="Q1" s="3"/>
    </row>
    <row r="2" spans="1:17" s="7" customFormat="1" ht="12.75">
      <c r="A2" s="5" t="s">
        <v>1431</v>
      </c>
      <c r="B2" s="6"/>
    </row>
    <row r="3" spans="1:17" s="7" customFormat="1" ht="12.75">
      <c r="A3" s="5" t="s">
        <v>1432</v>
      </c>
      <c r="B3" s="6"/>
    </row>
    <row r="4" spans="1:17" s="7" customFormat="1" ht="12.75">
      <c r="A4" s="313"/>
      <c r="B4" s="313"/>
      <c r="C4" s="8"/>
      <c r="D4" s="9"/>
      <c r="E4" s="9"/>
      <c r="F4" s="9"/>
    </row>
    <row r="5" spans="1:17" s="15" customFormat="1" ht="12.75">
      <c r="A5" s="10"/>
      <c r="B5" s="11"/>
      <c r="C5" s="12"/>
      <c r="D5" s="13"/>
      <c r="E5" s="14"/>
      <c r="F5" s="14"/>
      <c r="G5" s="14"/>
    </row>
    <row r="6" spans="1:17" s="15" customFormat="1" ht="12.75">
      <c r="A6" s="16" t="s">
        <v>1433</v>
      </c>
      <c r="B6" s="17">
        <v>224.99</v>
      </c>
      <c r="C6" s="15" t="s">
        <v>0</v>
      </c>
      <c r="D6" s="310" t="s">
        <v>1434</v>
      </c>
      <c r="E6" s="310"/>
      <c r="F6" s="310"/>
      <c r="G6" s="310"/>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1435</v>
      </c>
      <c r="B9" s="17">
        <v>0</v>
      </c>
      <c r="C9" s="15" t="s">
        <v>0</v>
      </c>
      <c r="D9" s="309" t="s">
        <v>1436</v>
      </c>
      <c r="E9" s="309"/>
      <c r="F9" s="309"/>
      <c r="G9" s="309"/>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1429</v>
      </c>
      <c r="B12" s="17">
        <v>9.6999999999999993</v>
      </c>
      <c r="C12" s="15" t="s">
        <v>0</v>
      </c>
      <c r="D12" s="314" t="s">
        <v>1430</v>
      </c>
      <c r="E12" s="309"/>
      <c r="F12" s="309"/>
      <c r="G12" s="309"/>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1437</v>
      </c>
      <c r="B15" s="17">
        <v>7.7</v>
      </c>
      <c r="C15" s="15" t="s">
        <v>0</v>
      </c>
      <c r="D15" s="309" t="s">
        <v>1438</v>
      </c>
      <c r="E15" s="309"/>
      <c r="F15" s="309"/>
      <c r="G15" s="309"/>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1439</v>
      </c>
      <c r="B18" s="39">
        <v>0</v>
      </c>
      <c r="D18" s="309" t="s">
        <v>1440</v>
      </c>
      <c r="E18" s="309"/>
      <c r="F18" s="309"/>
      <c r="G18" s="309"/>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1441</v>
      </c>
      <c r="B21" s="39">
        <v>4.3113027245655355E-2</v>
      </c>
      <c r="D21" s="309" t="s">
        <v>1442</v>
      </c>
      <c r="E21" s="309"/>
      <c r="F21" s="309"/>
      <c r="G21" s="309"/>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1443</v>
      </c>
      <c r="B24" s="49">
        <f>ACTUAL_RATE-PLANNED_RATE</f>
        <v>4.3113027245655355E-2</v>
      </c>
      <c r="D24" s="310" t="s">
        <v>1444</v>
      </c>
      <c r="E24" s="310"/>
      <c r="F24" s="310"/>
      <c r="G24" s="310"/>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O47"/>
  <sheetViews>
    <sheetView showGridLines="0" zoomScale="80" zoomScaleNormal="80" workbookViewId="0">
      <pane ySplit="6" topLeftCell="A7" activePane="bottomLeft" state="frozen"/>
      <selection pane="bottomLeft" activeCell="H33" sqref="H12:O33"/>
    </sheetView>
  </sheetViews>
  <sheetFormatPr defaultColWidth="9.125" defaultRowHeight="15" outlineLevelRow="2"/>
  <cols>
    <col min="1" max="1" width="20.625" style="117" customWidth="1"/>
    <col min="2" max="2" width="11.125" style="117" bestFit="1" customWidth="1"/>
    <col min="3" max="3" width="33.75" style="117" bestFit="1" customWidth="1"/>
    <col min="4" max="5" width="10.625" style="117" bestFit="1" customWidth="1"/>
    <col min="6" max="6" width="9" style="210" bestFit="1" customWidth="1"/>
    <col min="7" max="9" width="9.25" style="76" bestFit="1" customWidth="1"/>
    <col min="10" max="10" width="6.5" style="76" bestFit="1" customWidth="1"/>
    <col min="11" max="11" width="8.375" style="76" bestFit="1" customWidth="1"/>
    <col min="12" max="12" width="8.75" style="76" bestFit="1" customWidth="1"/>
    <col min="13" max="14" width="10.625" style="117" bestFit="1" customWidth="1"/>
    <col min="15" max="15" width="9.25" style="117" bestFit="1" customWidth="1"/>
    <col min="16" max="16384" width="9.125" style="117"/>
  </cols>
  <sheetData>
    <row r="1" spans="1:15" ht="36.950000000000003" customHeight="1">
      <c r="A1" s="62" t="s">
        <v>1464</v>
      </c>
    </row>
    <row r="2" spans="1:15">
      <c r="A2" s="117" t="s">
        <v>1465</v>
      </c>
    </row>
    <row r="3" spans="1:15">
      <c r="A3" s="117" t="s">
        <v>1466</v>
      </c>
    </row>
    <row r="6" spans="1:15" ht="45">
      <c r="A6" s="63" t="s">
        <v>1459</v>
      </c>
      <c r="B6" s="75" t="s">
        <v>295</v>
      </c>
      <c r="C6" s="75" t="s">
        <v>1467</v>
      </c>
      <c r="D6" s="75" t="s">
        <v>1468</v>
      </c>
      <c r="E6" s="75" t="s">
        <v>1469</v>
      </c>
      <c r="F6" s="212" t="s">
        <v>1470</v>
      </c>
      <c r="G6" s="213" t="s">
        <v>1471</v>
      </c>
      <c r="H6" s="213" t="s">
        <v>1472</v>
      </c>
      <c r="I6" s="213" t="s">
        <v>1473</v>
      </c>
      <c r="J6" s="213" t="s">
        <v>1474</v>
      </c>
      <c r="K6" s="213" t="s">
        <v>1475</v>
      </c>
      <c r="L6" s="213" t="s">
        <v>1476</v>
      </c>
      <c r="M6" s="75" t="s">
        <v>1763</v>
      </c>
      <c r="N6" s="75" t="s">
        <v>1764</v>
      </c>
      <c r="O6" s="247" t="s">
        <v>1765</v>
      </c>
    </row>
    <row r="7" spans="1:15" outlineLevel="2">
      <c r="A7" s="219" t="s">
        <v>1598</v>
      </c>
      <c r="B7" s="220" t="s">
        <v>1560</v>
      </c>
      <c r="C7" s="219" t="s">
        <v>1554</v>
      </c>
      <c r="D7" s="221">
        <v>44757</v>
      </c>
      <c r="E7" s="221">
        <v>44773</v>
      </c>
      <c r="F7" s="210">
        <v>1</v>
      </c>
      <c r="G7" s="76">
        <v>11</v>
      </c>
      <c r="H7" s="76">
        <v>0</v>
      </c>
      <c r="I7" s="76">
        <v>0</v>
      </c>
      <c r="J7" s="210">
        <v>0</v>
      </c>
      <c r="K7" s="210">
        <v>0</v>
      </c>
      <c r="L7" s="210">
        <f t="shared" ref="L7:L45" si="0">K7-J7</f>
        <v>0</v>
      </c>
      <c r="O7" s="117">
        <v>0</v>
      </c>
    </row>
    <row r="8" spans="1:15" outlineLevel="2">
      <c r="A8" s="219" t="s">
        <v>1598</v>
      </c>
      <c r="B8" s="220" t="s">
        <v>1561</v>
      </c>
      <c r="C8" s="219" t="s">
        <v>1558</v>
      </c>
      <c r="D8" s="221">
        <v>44774</v>
      </c>
      <c r="E8" s="221">
        <v>44819</v>
      </c>
      <c r="F8" s="210">
        <v>1</v>
      </c>
      <c r="G8" s="76">
        <v>31</v>
      </c>
      <c r="H8" s="76">
        <v>0</v>
      </c>
      <c r="I8" s="76">
        <v>0</v>
      </c>
      <c r="J8" s="210">
        <v>0</v>
      </c>
      <c r="K8" s="210">
        <v>0</v>
      </c>
      <c r="L8" s="210">
        <f t="shared" si="0"/>
        <v>0</v>
      </c>
      <c r="O8" s="117">
        <v>0</v>
      </c>
    </row>
    <row r="9" spans="1:15" outlineLevel="2">
      <c r="A9" s="219" t="s">
        <v>1598</v>
      </c>
      <c r="B9" s="220" t="s">
        <v>1562</v>
      </c>
      <c r="C9" s="219" t="s">
        <v>1559</v>
      </c>
      <c r="D9" s="221">
        <v>44805</v>
      </c>
      <c r="E9" s="221">
        <v>44819</v>
      </c>
      <c r="F9" s="210">
        <v>1</v>
      </c>
      <c r="G9" s="76">
        <v>9</v>
      </c>
      <c r="H9" s="76">
        <v>0</v>
      </c>
      <c r="I9" s="76">
        <v>0</v>
      </c>
      <c r="J9" s="210">
        <v>0</v>
      </c>
      <c r="K9" s="210">
        <v>0</v>
      </c>
      <c r="L9" s="210">
        <f t="shared" si="0"/>
        <v>0</v>
      </c>
      <c r="O9" s="117">
        <v>0</v>
      </c>
    </row>
    <row r="10" spans="1:15" outlineLevel="2">
      <c r="A10" s="219" t="s">
        <v>1598</v>
      </c>
      <c r="B10" s="220" t="s">
        <v>1563</v>
      </c>
      <c r="C10" s="219" t="s">
        <v>1556</v>
      </c>
      <c r="D10" s="221">
        <v>44820</v>
      </c>
      <c r="E10" s="221">
        <v>44834</v>
      </c>
      <c r="F10" s="210">
        <v>1</v>
      </c>
      <c r="G10" s="76">
        <v>11</v>
      </c>
      <c r="H10" s="76">
        <v>0</v>
      </c>
      <c r="I10" s="76">
        <v>0</v>
      </c>
      <c r="J10" s="210">
        <v>0</v>
      </c>
      <c r="K10" s="210">
        <v>0</v>
      </c>
      <c r="L10" s="210">
        <f t="shared" si="0"/>
        <v>0</v>
      </c>
      <c r="O10" s="117">
        <v>0</v>
      </c>
    </row>
    <row r="11" spans="1:15" outlineLevel="1">
      <c r="A11" s="222" t="s">
        <v>1766</v>
      </c>
      <c r="B11" s="223"/>
      <c r="C11" s="224"/>
      <c r="D11" s="225"/>
      <c r="E11" s="225"/>
      <c r="F11" s="226"/>
      <c r="G11" s="227">
        <f>SUBTOTAL(9,G7:G10)</f>
        <v>62</v>
      </c>
      <c r="H11" s="227">
        <f>SUBTOTAL(9,H7:H10)</f>
        <v>0</v>
      </c>
      <c r="I11" s="227">
        <f>SUBTOTAL(9,I7:I10)</f>
        <v>0</v>
      </c>
      <c r="J11" s="226">
        <f>H11/G11</f>
        <v>0</v>
      </c>
      <c r="K11" s="226">
        <f>I11/G11</f>
        <v>0</v>
      </c>
      <c r="L11" s="226">
        <f t="shared" si="0"/>
        <v>0</v>
      </c>
      <c r="M11" s="229"/>
      <c r="N11" s="229"/>
      <c r="O11" s="229">
        <f>SUBTOTAL(9,O7:O10)</f>
        <v>0</v>
      </c>
    </row>
    <row r="12" spans="1:15" outlineLevel="2">
      <c r="A12" s="219" t="s">
        <v>1602</v>
      </c>
      <c r="B12" s="220" t="s">
        <v>1378</v>
      </c>
      <c r="C12" s="219" t="s">
        <v>1616</v>
      </c>
      <c r="D12" s="221">
        <v>44727</v>
      </c>
      <c r="E12" s="221">
        <v>44727</v>
      </c>
      <c r="F12" s="210">
        <v>1</v>
      </c>
      <c r="G12" s="76">
        <v>1</v>
      </c>
      <c r="H12" s="76">
        <v>0</v>
      </c>
      <c r="I12" s="76">
        <v>1</v>
      </c>
      <c r="J12" s="210">
        <v>0</v>
      </c>
      <c r="K12" s="210">
        <v>1</v>
      </c>
      <c r="L12" s="210">
        <f t="shared" si="0"/>
        <v>1</v>
      </c>
      <c r="M12" s="221">
        <v>44727</v>
      </c>
      <c r="N12" s="221">
        <v>44727</v>
      </c>
      <c r="O12" s="117">
        <v>1</v>
      </c>
    </row>
    <row r="13" spans="1:15" outlineLevel="2">
      <c r="A13" s="219" t="s">
        <v>1602</v>
      </c>
      <c r="B13" s="220" t="s">
        <v>1605</v>
      </c>
      <c r="C13" s="219" t="s">
        <v>1617</v>
      </c>
      <c r="D13" s="221">
        <v>44727</v>
      </c>
      <c r="E13" s="221">
        <v>44736</v>
      </c>
      <c r="F13" s="210">
        <v>1</v>
      </c>
      <c r="G13" s="76">
        <v>8</v>
      </c>
      <c r="H13" s="76">
        <v>0</v>
      </c>
      <c r="I13" s="76">
        <v>8</v>
      </c>
      <c r="J13" s="210">
        <v>0</v>
      </c>
      <c r="K13" s="210">
        <v>1</v>
      </c>
      <c r="L13" s="210">
        <f t="shared" si="0"/>
        <v>1</v>
      </c>
      <c r="M13" s="221">
        <v>44729</v>
      </c>
      <c r="N13" s="221">
        <v>44736</v>
      </c>
      <c r="O13" s="117">
        <v>6</v>
      </c>
    </row>
    <row r="14" spans="1:15" outlineLevel="2">
      <c r="A14" s="219" t="s">
        <v>1602</v>
      </c>
      <c r="B14" s="220" t="s">
        <v>1380</v>
      </c>
      <c r="C14" s="219" t="s">
        <v>1569</v>
      </c>
      <c r="D14" s="221">
        <v>44834</v>
      </c>
      <c r="E14" s="221">
        <v>44834</v>
      </c>
      <c r="F14" s="210">
        <v>1</v>
      </c>
      <c r="G14" s="76">
        <v>1</v>
      </c>
      <c r="H14" s="76">
        <v>0</v>
      </c>
      <c r="I14" s="76">
        <v>0.7</v>
      </c>
      <c r="J14" s="210">
        <v>0</v>
      </c>
      <c r="K14" s="210">
        <v>0.7</v>
      </c>
      <c r="L14" s="210">
        <f t="shared" si="0"/>
        <v>0.7</v>
      </c>
      <c r="M14" s="221">
        <v>44834</v>
      </c>
      <c r="O14" s="117">
        <v>0.7</v>
      </c>
    </row>
    <row r="15" spans="1:15" outlineLevel="2">
      <c r="A15" s="219" t="s">
        <v>1602</v>
      </c>
      <c r="B15" s="220" t="s">
        <v>1381</v>
      </c>
      <c r="C15" s="219" t="s">
        <v>1571</v>
      </c>
      <c r="D15" s="221">
        <v>44921</v>
      </c>
      <c r="E15" s="221">
        <v>44925</v>
      </c>
      <c r="F15" s="210">
        <v>1</v>
      </c>
      <c r="G15" s="76">
        <v>5</v>
      </c>
      <c r="H15" s="76">
        <v>0</v>
      </c>
      <c r="I15" s="76">
        <v>0</v>
      </c>
      <c r="J15" s="210">
        <v>0</v>
      </c>
      <c r="K15" s="210">
        <v>0</v>
      </c>
      <c r="L15" s="210">
        <f t="shared" si="0"/>
        <v>0</v>
      </c>
      <c r="O15" s="117">
        <v>0</v>
      </c>
    </row>
    <row r="16" spans="1:15" outlineLevel="2">
      <c r="A16" s="219" t="s">
        <v>1602</v>
      </c>
      <c r="B16" s="220" t="s">
        <v>1382</v>
      </c>
      <c r="C16" s="219" t="s">
        <v>1572</v>
      </c>
      <c r="D16" s="221">
        <v>44921</v>
      </c>
      <c r="E16" s="221">
        <v>44925</v>
      </c>
      <c r="F16" s="210">
        <v>1</v>
      </c>
      <c r="G16" s="76">
        <v>5</v>
      </c>
      <c r="H16" s="76">
        <v>0</v>
      </c>
      <c r="I16" s="76">
        <v>0</v>
      </c>
      <c r="J16" s="210">
        <v>0</v>
      </c>
      <c r="K16" s="210">
        <v>0</v>
      </c>
      <c r="L16" s="210">
        <f t="shared" si="0"/>
        <v>0</v>
      </c>
      <c r="O16" s="117">
        <v>0</v>
      </c>
    </row>
    <row r="17" spans="1:15" outlineLevel="2">
      <c r="A17" s="219" t="s">
        <v>1602</v>
      </c>
      <c r="B17" s="220" t="s">
        <v>1531</v>
      </c>
      <c r="C17" s="219" t="s">
        <v>1512</v>
      </c>
      <c r="D17" s="221">
        <v>44727</v>
      </c>
      <c r="E17" s="221">
        <v>44734</v>
      </c>
      <c r="F17" s="210">
        <v>1</v>
      </c>
      <c r="G17" s="76">
        <v>6</v>
      </c>
      <c r="H17" s="76">
        <v>0</v>
      </c>
      <c r="I17" s="76">
        <v>0</v>
      </c>
      <c r="J17" s="210">
        <v>0</v>
      </c>
      <c r="K17" s="210">
        <v>0</v>
      </c>
      <c r="L17" s="210">
        <f t="shared" si="0"/>
        <v>0</v>
      </c>
      <c r="O17" s="117">
        <v>0</v>
      </c>
    </row>
    <row r="18" spans="1:15" outlineLevel="2">
      <c r="A18" s="219" t="s">
        <v>1602</v>
      </c>
      <c r="B18" s="220" t="s">
        <v>1533</v>
      </c>
      <c r="C18" s="219" t="s">
        <v>1516</v>
      </c>
      <c r="D18" s="221">
        <v>44727</v>
      </c>
      <c r="E18" s="221">
        <v>44728</v>
      </c>
      <c r="F18" s="210">
        <v>1</v>
      </c>
      <c r="G18" s="76">
        <v>2</v>
      </c>
      <c r="H18" s="76">
        <v>0</v>
      </c>
      <c r="I18" s="76">
        <v>0</v>
      </c>
      <c r="J18" s="210">
        <v>0</v>
      </c>
      <c r="K18" s="210">
        <v>0</v>
      </c>
      <c r="L18" s="210">
        <f t="shared" si="0"/>
        <v>0</v>
      </c>
      <c r="O18" s="117">
        <v>0</v>
      </c>
    </row>
    <row r="19" spans="1:15" outlineLevel="2">
      <c r="A19" s="219" t="s">
        <v>1602</v>
      </c>
      <c r="B19" s="220" t="s">
        <v>1607</v>
      </c>
      <c r="C19" s="219" t="s">
        <v>1606</v>
      </c>
      <c r="D19" s="221">
        <v>44756</v>
      </c>
      <c r="E19" s="221">
        <v>44771</v>
      </c>
      <c r="F19" s="210">
        <v>1</v>
      </c>
      <c r="G19" s="76">
        <v>12</v>
      </c>
      <c r="H19" s="76">
        <v>0</v>
      </c>
      <c r="I19" s="76">
        <v>0</v>
      </c>
      <c r="J19" s="210">
        <v>0</v>
      </c>
      <c r="K19" s="210">
        <v>0</v>
      </c>
      <c r="L19" s="210">
        <f t="shared" si="0"/>
        <v>0</v>
      </c>
      <c r="O19" s="117">
        <v>0</v>
      </c>
    </row>
    <row r="20" spans="1:15" outlineLevel="2">
      <c r="A20" s="219" t="s">
        <v>1602</v>
      </c>
      <c r="B20" s="220" t="s">
        <v>1534</v>
      </c>
      <c r="C20" s="219" t="s">
        <v>1517</v>
      </c>
      <c r="D20" s="221">
        <v>44729</v>
      </c>
      <c r="E20" s="221">
        <v>44732</v>
      </c>
      <c r="F20" s="210">
        <v>1</v>
      </c>
      <c r="G20" s="76">
        <v>2</v>
      </c>
      <c r="H20" s="76">
        <v>0</v>
      </c>
      <c r="I20" s="76">
        <v>0</v>
      </c>
      <c r="J20" s="210">
        <v>0</v>
      </c>
      <c r="K20" s="210">
        <v>0</v>
      </c>
      <c r="L20" s="210">
        <f t="shared" si="0"/>
        <v>0</v>
      </c>
      <c r="O20" s="117">
        <v>0</v>
      </c>
    </row>
    <row r="21" spans="1:15" outlineLevel="2">
      <c r="A21" s="219" t="s">
        <v>1602</v>
      </c>
      <c r="B21" s="220" t="s">
        <v>1535</v>
      </c>
      <c r="C21" s="219" t="s">
        <v>1518</v>
      </c>
      <c r="D21" s="221">
        <v>44733</v>
      </c>
      <c r="E21" s="221">
        <v>44734</v>
      </c>
      <c r="F21" s="210">
        <v>1</v>
      </c>
      <c r="G21" s="76">
        <v>2</v>
      </c>
      <c r="H21" s="76">
        <v>0</v>
      </c>
      <c r="I21" s="76">
        <v>0</v>
      </c>
      <c r="J21" s="210">
        <v>0</v>
      </c>
      <c r="K21" s="210">
        <v>0</v>
      </c>
      <c r="L21" s="210">
        <f t="shared" si="0"/>
        <v>0</v>
      </c>
      <c r="O21" s="117">
        <v>0</v>
      </c>
    </row>
    <row r="22" spans="1:15" outlineLevel="2">
      <c r="A22" s="219" t="s">
        <v>1602</v>
      </c>
      <c r="B22" s="220" t="s">
        <v>1536</v>
      </c>
      <c r="C22" s="219" t="s">
        <v>1519</v>
      </c>
      <c r="D22" s="221">
        <v>44735</v>
      </c>
      <c r="E22" s="221">
        <v>44736</v>
      </c>
      <c r="F22" s="210">
        <v>1</v>
      </c>
      <c r="G22" s="76">
        <v>2</v>
      </c>
      <c r="H22" s="76">
        <v>0</v>
      </c>
      <c r="I22" s="76">
        <v>0</v>
      </c>
      <c r="J22" s="210">
        <v>0</v>
      </c>
      <c r="K22" s="210">
        <v>0</v>
      </c>
      <c r="L22" s="210">
        <f t="shared" si="0"/>
        <v>0</v>
      </c>
      <c r="O22" s="117">
        <v>0</v>
      </c>
    </row>
    <row r="23" spans="1:15" outlineLevel="2">
      <c r="A23" s="219" t="s">
        <v>1602</v>
      </c>
      <c r="B23" s="220" t="s">
        <v>1537</v>
      </c>
      <c r="C23" s="219" t="s">
        <v>1520</v>
      </c>
      <c r="D23" s="221">
        <v>44739</v>
      </c>
      <c r="E23" s="221">
        <v>44740</v>
      </c>
      <c r="F23" s="210">
        <v>1</v>
      </c>
      <c r="G23" s="76">
        <v>2</v>
      </c>
      <c r="H23" s="76">
        <v>0</v>
      </c>
      <c r="I23" s="76">
        <v>0</v>
      </c>
      <c r="J23" s="210">
        <v>0</v>
      </c>
      <c r="K23" s="210">
        <v>0</v>
      </c>
      <c r="L23" s="210">
        <f t="shared" si="0"/>
        <v>0</v>
      </c>
      <c r="O23" s="117">
        <v>0</v>
      </c>
    </row>
    <row r="24" spans="1:15" outlineLevel="2">
      <c r="A24" s="219" t="s">
        <v>1602</v>
      </c>
      <c r="B24" s="220" t="s">
        <v>1538</v>
      </c>
      <c r="C24" s="219" t="s">
        <v>1521</v>
      </c>
      <c r="D24" s="221">
        <v>44741</v>
      </c>
      <c r="E24" s="221">
        <v>44742</v>
      </c>
      <c r="F24" s="210">
        <v>1</v>
      </c>
      <c r="G24" s="76">
        <v>2</v>
      </c>
      <c r="H24" s="76">
        <v>0</v>
      </c>
      <c r="I24" s="76">
        <v>0</v>
      </c>
      <c r="J24" s="210">
        <v>0</v>
      </c>
      <c r="K24" s="210">
        <v>0</v>
      </c>
      <c r="L24" s="210">
        <f t="shared" si="0"/>
        <v>0</v>
      </c>
      <c r="O24" s="117">
        <v>0</v>
      </c>
    </row>
    <row r="25" spans="1:15" outlineLevel="2">
      <c r="A25" s="219" t="s">
        <v>1602</v>
      </c>
      <c r="B25" s="220" t="s">
        <v>1539</v>
      </c>
      <c r="C25" s="219" t="s">
        <v>1522</v>
      </c>
      <c r="D25" s="221">
        <v>44743</v>
      </c>
      <c r="E25" s="221">
        <v>44746</v>
      </c>
      <c r="F25" s="210">
        <v>1</v>
      </c>
      <c r="G25" s="76">
        <v>2</v>
      </c>
      <c r="H25" s="76">
        <v>0</v>
      </c>
      <c r="I25" s="76">
        <v>0</v>
      </c>
      <c r="J25" s="210">
        <v>0</v>
      </c>
      <c r="K25" s="210">
        <v>0</v>
      </c>
      <c r="L25" s="210">
        <f t="shared" si="0"/>
        <v>0</v>
      </c>
      <c r="O25" s="117">
        <v>0</v>
      </c>
    </row>
    <row r="26" spans="1:15" outlineLevel="2">
      <c r="A26" s="219" t="s">
        <v>1602</v>
      </c>
      <c r="B26" s="220" t="s">
        <v>1540</v>
      </c>
      <c r="C26" s="219" t="s">
        <v>1523</v>
      </c>
      <c r="D26" s="221">
        <v>44747</v>
      </c>
      <c r="E26" s="221">
        <v>44747</v>
      </c>
      <c r="F26" s="210">
        <v>1</v>
      </c>
      <c r="G26" s="76">
        <v>1</v>
      </c>
      <c r="H26" s="76">
        <v>0</v>
      </c>
      <c r="I26" s="76">
        <v>0</v>
      </c>
      <c r="J26" s="210">
        <v>0</v>
      </c>
      <c r="K26" s="210">
        <v>0</v>
      </c>
      <c r="L26" s="210">
        <f t="shared" si="0"/>
        <v>0</v>
      </c>
      <c r="O26" s="117">
        <v>0</v>
      </c>
    </row>
    <row r="27" spans="1:15" outlineLevel="2">
      <c r="A27" s="219" t="s">
        <v>1602</v>
      </c>
      <c r="B27" s="220" t="s">
        <v>1541</v>
      </c>
      <c r="C27" s="219" t="s">
        <v>1524</v>
      </c>
      <c r="D27" s="221">
        <v>44748</v>
      </c>
      <c r="E27" s="221">
        <v>44755</v>
      </c>
      <c r="F27" s="210">
        <v>1</v>
      </c>
      <c r="G27" s="76">
        <v>6</v>
      </c>
      <c r="H27" s="76">
        <v>0</v>
      </c>
      <c r="I27" s="76">
        <v>0</v>
      </c>
      <c r="J27" s="210">
        <v>0</v>
      </c>
      <c r="K27" s="210">
        <v>0</v>
      </c>
      <c r="L27" s="210">
        <f t="shared" si="0"/>
        <v>0</v>
      </c>
      <c r="O27" s="117">
        <v>0</v>
      </c>
    </row>
    <row r="28" spans="1:15" outlineLevel="2">
      <c r="A28" s="219" t="s">
        <v>1602</v>
      </c>
      <c r="B28" s="220" t="s">
        <v>1543</v>
      </c>
      <c r="C28" s="219" t="s">
        <v>1608</v>
      </c>
      <c r="D28" s="221">
        <v>44743</v>
      </c>
      <c r="E28" s="221">
        <v>44757</v>
      </c>
      <c r="F28" s="210">
        <v>0.5</v>
      </c>
      <c r="G28" s="76">
        <v>5.5</v>
      </c>
      <c r="H28" s="76">
        <v>0</v>
      </c>
      <c r="I28" s="76">
        <v>0</v>
      </c>
      <c r="J28" s="210">
        <v>0</v>
      </c>
      <c r="K28" s="210">
        <v>0</v>
      </c>
      <c r="L28" s="210">
        <f t="shared" si="0"/>
        <v>0</v>
      </c>
      <c r="O28" s="117">
        <v>0</v>
      </c>
    </row>
    <row r="29" spans="1:15" outlineLevel="2">
      <c r="A29" s="219" t="s">
        <v>1602</v>
      </c>
      <c r="B29" s="220" t="s">
        <v>1544</v>
      </c>
      <c r="C29" s="219" t="s">
        <v>1609</v>
      </c>
      <c r="D29" s="221">
        <v>44743</v>
      </c>
      <c r="E29" s="221">
        <v>44757</v>
      </c>
      <c r="F29" s="210">
        <v>0.5</v>
      </c>
      <c r="G29" s="76">
        <v>5.5</v>
      </c>
      <c r="H29" s="76">
        <v>0</v>
      </c>
      <c r="I29" s="76">
        <v>0</v>
      </c>
      <c r="J29" s="210">
        <v>0</v>
      </c>
      <c r="K29" s="210">
        <v>0</v>
      </c>
      <c r="L29" s="210">
        <f t="shared" si="0"/>
        <v>0</v>
      </c>
      <c r="O29" s="117">
        <v>0</v>
      </c>
    </row>
    <row r="30" spans="1:15" outlineLevel="2">
      <c r="A30" s="219" t="s">
        <v>1602</v>
      </c>
      <c r="B30" s="220" t="s">
        <v>1545</v>
      </c>
      <c r="C30" s="219" t="s">
        <v>1514</v>
      </c>
      <c r="D30" s="221">
        <v>44760</v>
      </c>
      <c r="E30" s="221">
        <v>44773</v>
      </c>
      <c r="F30" s="210">
        <v>1</v>
      </c>
      <c r="G30" s="76">
        <v>10</v>
      </c>
      <c r="H30" s="76">
        <v>0</v>
      </c>
      <c r="I30" s="76">
        <v>0</v>
      </c>
      <c r="J30" s="210">
        <v>0</v>
      </c>
      <c r="K30" s="210">
        <v>0</v>
      </c>
      <c r="L30" s="210">
        <f t="shared" si="0"/>
        <v>0</v>
      </c>
      <c r="O30" s="117">
        <v>0</v>
      </c>
    </row>
    <row r="31" spans="1:15" outlineLevel="2">
      <c r="A31" s="219" t="s">
        <v>1602</v>
      </c>
      <c r="B31" s="220" t="s">
        <v>1552</v>
      </c>
      <c r="C31" s="219" t="s">
        <v>1489</v>
      </c>
      <c r="D31" s="221">
        <v>44881</v>
      </c>
      <c r="E31" s="221">
        <v>44888</v>
      </c>
      <c r="F31" s="210">
        <v>1</v>
      </c>
      <c r="G31" s="76">
        <v>6</v>
      </c>
      <c r="H31" s="76">
        <v>0</v>
      </c>
      <c r="I31" s="76">
        <v>0</v>
      </c>
      <c r="J31" s="210">
        <v>0</v>
      </c>
      <c r="K31" s="210">
        <v>0</v>
      </c>
      <c r="L31" s="210">
        <f t="shared" si="0"/>
        <v>0</v>
      </c>
      <c r="O31" s="117">
        <v>0</v>
      </c>
    </row>
    <row r="32" spans="1:15" outlineLevel="2">
      <c r="A32" s="219" t="s">
        <v>1602</v>
      </c>
      <c r="B32" s="220" t="s">
        <v>1613</v>
      </c>
      <c r="C32" s="219" t="s">
        <v>1612</v>
      </c>
      <c r="D32" s="221">
        <v>44889</v>
      </c>
      <c r="E32" s="221">
        <v>44895</v>
      </c>
      <c r="F32" s="210">
        <v>1</v>
      </c>
      <c r="G32" s="76">
        <v>5</v>
      </c>
      <c r="H32" s="76">
        <v>0</v>
      </c>
      <c r="I32" s="76">
        <v>0</v>
      </c>
      <c r="J32" s="210">
        <v>0</v>
      </c>
      <c r="K32" s="210">
        <v>0</v>
      </c>
      <c r="L32" s="210">
        <f t="shared" si="0"/>
        <v>0</v>
      </c>
      <c r="O32" s="117">
        <v>0</v>
      </c>
    </row>
    <row r="33" spans="1:15" outlineLevel="2">
      <c r="A33" s="219" t="s">
        <v>1602</v>
      </c>
      <c r="B33" s="220" t="s">
        <v>1551</v>
      </c>
      <c r="C33" s="219" t="s">
        <v>1591</v>
      </c>
      <c r="D33" s="221">
        <v>44896</v>
      </c>
      <c r="E33" s="221">
        <v>44896</v>
      </c>
      <c r="F33" s="210">
        <v>1</v>
      </c>
      <c r="G33" s="76">
        <v>1</v>
      </c>
      <c r="H33" s="76">
        <v>0</v>
      </c>
      <c r="I33" s="76">
        <v>0</v>
      </c>
      <c r="J33" s="210">
        <v>0</v>
      </c>
      <c r="K33" s="210">
        <v>0</v>
      </c>
      <c r="L33" s="210">
        <f t="shared" si="0"/>
        <v>0</v>
      </c>
      <c r="O33" s="117">
        <v>0</v>
      </c>
    </row>
    <row r="34" spans="1:15" outlineLevel="2">
      <c r="A34" s="219" t="s">
        <v>1602</v>
      </c>
      <c r="B34" s="220" t="s">
        <v>1590</v>
      </c>
      <c r="C34" s="219" t="s">
        <v>1573</v>
      </c>
      <c r="D34" s="221">
        <v>44896</v>
      </c>
      <c r="E34" s="221">
        <v>44926</v>
      </c>
      <c r="F34" s="210">
        <v>1</v>
      </c>
      <c r="G34" s="76">
        <v>22</v>
      </c>
      <c r="H34" s="76">
        <v>0</v>
      </c>
      <c r="I34" s="76">
        <v>0</v>
      </c>
      <c r="J34" s="210">
        <v>0</v>
      </c>
      <c r="K34" s="210">
        <v>0</v>
      </c>
      <c r="L34" s="210">
        <f t="shared" si="0"/>
        <v>0</v>
      </c>
      <c r="O34" s="117">
        <v>0</v>
      </c>
    </row>
    <row r="35" spans="1:15" outlineLevel="1">
      <c r="A35" s="222" t="s">
        <v>1767</v>
      </c>
      <c r="B35" s="223"/>
      <c r="C35" s="224"/>
      <c r="D35" s="225"/>
      <c r="E35" s="225"/>
      <c r="F35" s="226"/>
      <c r="G35" s="227">
        <f>SUBTOTAL(9,G12:G34)</f>
        <v>114</v>
      </c>
      <c r="H35" s="227">
        <f>SUBTOTAL(9,H12:H34)</f>
        <v>0</v>
      </c>
      <c r="I35" s="227">
        <f>SUBTOTAL(9,I12:I34)</f>
        <v>9.6999999999999993</v>
      </c>
      <c r="J35" s="226">
        <f>H35/G35</f>
        <v>0</v>
      </c>
      <c r="K35" s="226">
        <f>I35/G35</f>
        <v>8.5087719298245601E-2</v>
      </c>
      <c r="L35" s="226">
        <f t="shared" si="0"/>
        <v>8.5087719298245601E-2</v>
      </c>
      <c r="M35" s="229"/>
      <c r="N35" s="229"/>
      <c r="O35" s="229">
        <f>SUBTOTAL(9,O12:O34)</f>
        <v>7.7</v>
      </c>
    </row>
    <row r="36" spans="1:15" outlineLevel="2">
      <c r="A36" s="219" t="s">
        <v>1603</v>
      </c>
      <c r="B36" s="220" t="s">
        <v>1679</v>
      </c>
      <c r="C36" s="219" t="s">
        <v>1618</v>
      </c>
      <c r="D36" s="221">
        <v>44760</v>
      </c>
      <c r="E36" s="221">
        <v>44760</v>
      </c>
      <c r="F36" s="210">
        <v>1</v>
      </c>
      <c r="G36" s="76">
        <v>1</v>
      </c>
      <c r="H36" s="76">
        <v>0</v>
      </c>
      <c r="I36" s="76">
        <v>0</v>
      </c>
      <c r="J36" s="210">
        <v>0</v>
      </c>
      <c r="K36" s="210">
        <v>0</v>
      </c>
      <c r="L36" s="210">
        <f t="shared" si="0"/>
        <v>0</v>
      </c>
      <c r="O36" s="117">
        <v>0</v>
      </c>
    </row>
    <row r="37" spans="1:15" outlineLevel="2">
      <c r="A37" s="219" t="s">
        <v>1603</v>
      </c>
      <c r="B37" s="220" t="s">
        <v>1690</v>
      </c>
      <c r="C37" s="219" t="s">
        <v>1629</v>
      </c>
      <c r="D37" s="221">
        <v>44764</v>
      </c>
      <c r="E37" s="221">
        <v>44764</v>
      </c>
      <c r="F37" s="210">
        <v>1</v>
      </c>
      <c r="G37" s="76">
        <v>1</v>
      </c>
      <c r="H37" s="76">
        <v>0</v>
      </c>
      <c r="I37" s="76">
        <v>0</v>
      </c>
      <c r="J37" s="210">
        <v>0</v>
      </c>
      <c r="K37" s="210">
        <v>0</v>
      </c>
      <c r="L37" s="210">
        <f t="shared" si="0"/>
        <v>0</v>
      </c>
      <c r="O37" s="117">
        <v>0</v>
      </c>
    </row>
    <row r="38" spans="1:15" outlineLevel="2">
      <c r="A38" s="219" t="s">
        <v>1603</v>
      </c>
      <c r="B38" s="220" t="s">
        <v>1586</v>
      </c>
      <c r="C38" s="219" t="s">
        <v>1574</v>
      </c>
      <c r="D38" s="221">
        <v>44851</v>
      </c>
      <c r="E38" s="221">
        <v>44864</v>
      </c>
      <c r="F38" s="210">
        <v>1</v>
      </c>
      <c r="G38" s="76">
        <v>10</v>
      </c>
      <c r="H38" s="76">
        <v>0</v>
      </c>
      <c r="I38" s="76">
        <v>0</v>
      </c>
      <c r="J38" s="210">
        <v>0</v>
      </c>
      <c r="K38" s="210">
        <v>0</v>
      </c>
      <c r="L38" s="210">
        <f t="shared" si="0"/>
        <v>0</v>
      </c>
      <c r="O38" s="117">
        <v>0</v>
      </c>
    </row>
    <row r="39" spans="1:15" outlineLevel="2">
      <c r="A39" s="219" t="s">
        <v>1603</v>
      </c>
      <c r="B39" s="220" t="s">
        <v>1587</v>
      </c>
      <c r="C39" s="219" t="s">
        <v>1575</v>
      </c>
      <c r="D39" s="221">
        <v>44866</v>
      </c>
      <c r="E39" s="221">
        <v>44869</v>
      </c>
      <c r="F39" s="210">
        <v>1</v>
      </c>
      <c r="G39" s="76">
        <v>4</v>
      </c>
      <c r="H39" s="76">
        <v>0</v>
      </c>
      <c r="I39" s="76">
        <v>0</v>
      </c>
      <c r="J39" s="210">
        <v>0</v>
      </c>
      <c r="K39" s="210">
        <v>0</v>
      </c>
      <c r="L39" s="210">
        <f t="shared" si="0"/>
        <v>0</v>
      </c>
      <c r="O39" s="117">
        <v>0</v>
      </c>
    </row>
    <row r="40" spans="1:15" outlineLevel="2">
      <c r="A40" s="219" t="s">
        <v>1603</v>
      </c>
      <c r="B40" s="220" t="s">
        <v>1588</v>
      </c>
      <c r="C40" s="219" t="s">
        <v>1528</v>
      </c>
      <c r="D40" s="221">
        <v>44872</v>
      </c>
      <c r="E40" s="221">
        <v>44880</v>
      </c>
      <c r="F40" s="210">
        <v>1</v>
      </c>
      <c r="G40" s="76">
        <v>7</v>
      </c>
      <c r="H40" s="76">
        <v>0</v>
      </c>
      <c r="I40" s="76">
        <v>0</v>
      </c>
      <c r="J40" s="210">
        <v>0</v>
      </c>
      <c r="K40" s="210">
        <v>0</v>
      </c>
      <c r="L40" s="210">
        <f t="shared" si="0"/>
        <v>0</v>
      </c>
      <c r="O40" s="117">
        <v>0</v>
      </c>
    </row>
    <row r="41" spans="1:15" outlineLevel="1">
      <c r="A41" s="222" t="s">
        <v>1768</v>
      </c>
      <c r="B41" s="223"/>
      <c r="C41" s="224"/>
      <c r="D41" s="225"/>
      <c r="E41" s="225"/>
      <c r="F41" s="226"/>
      <c r="G41" s="227">
        <f>SUBTOTAL(9,G36:G40)</f>
        <v>23</v>
      </c>
      <c r="H41" s="227">
        <f>SUBTOTAL(9,H36:H40)</f>
        <v>0</v>
      </c>
      <c r="I41" s="227">
        <f>SUBTOTAL(9,I36:I40)</f>
        <v>0</v>
      </c>
      <c r="J41" s="226">
        <f>H41/G41</f>
        <v>0</v>
      </c>
      <c r="K41" s="226">
        <f>I41/G41</f>
        <v>0</v>
      </c>
      <c r="L41" s="226">
        <f t="shared" si="0"/>
        <v>0</v>
      </c>
      <c r="M41" s="229"/>
      <c r="N41" s="229"/>
      <c r="O41" s="229">
        <f>SUBTOTAL(9,O36:O40)</f>
        <v>0</v>
      </c>
    </row>
    <row r="42" spans="1:15" outlineLevel="2">
      <c r="A42" s="219" t="s">
        <v>1599</v>
      </c>
      <c r="B42" s="220" t="s">
        <v>1564</v>
      </c>
      <c r="C42" s="219" t="s">
        <v>1554</v>
      </c>
      <c r="D42" s="221">
        <v>44805</v>
      </c>
      <c r="E42" s="221">
        <v>44819</v>
      </c>
      <c r="F42" s="210">
        <v>1</v>
      </c>
      <c r="G42" s="76">
        <v>9</v>
      </c>
      <c r="H42" s="76">
        <v>0</v>
      </c>
      <c r="I42" s="76">
        <v>0</v>
      </c>
      <c r="J42" s="210">
        <v>0</v>
      </c>
      <c r="K42" s="210">
        <v>0</v>
      </c>
      <c r="L42" s="210">
        <f t="shared" si="0"/>
        <v>0</v>
      </c>
      <c r="O42" s="117">
        <v>0</v>
      </c>
    </row>
    <row r="43" spans="1:15" outlineLevel="2">
      <c r="A43" s="219" t="s">
        <v>1599</v>
      </c>
      <c r="B43" s="220" t="s">
        <v>1565</v>
      </c>
      <c r="C43" s="219" t="s">
        <v>1555</v>
      </c>
      <c r="D43" s="221">
        <v>44820</v>
      </c>
      <c r="E43" s="221">
        <v>44834</v>
      </c>
      <c r="F43" s="210">
        <v>1</v>
      </c>
      <c r="G43" s="76">
        <v>11</v>
      </c>
      <c r="H43" s="76">
        <v>0</v>
      </c>
      <c r="I43" s="76">
        <v>0</v>
      </c>
      <c r="J43" s="210">
        <v>0</v>
      </c>
      <c r="K43" s="210">
        <v>0</v>
      </c>
      <c r="L43" s="210">
        <f t="shared" si="0"/>
        <v>0</v>
      </c>
      <c r="O43" s="117">
        <v>0</v>
      </c>
    </row>
    <row r="44" spans="1:15" outlineLevel="2">
      <c r="A44" s="219" t="s">
        <v>1599</v>
      </c>
      <c r="B44" s="220" t="s">
        <v>1566</v>
      </c>
      <c r="C44" s="219" t="s">
        <v>1556</v>
      </c>
      <c r="D44" s="221">
        <v>44835</v>
      </c>
      <c r="E44" s="221">
        <v>44849</v>
      </c>
      <c r="F44" s="210">
        <v>1</v>
      </c>
      <c r="G44" s="76">
        <v>8</v>
      </c>
      <c r="H44" s="76">
        <v>0</v>
      </c>
      <c r="I44" s="76">
        <v>0</v>
      </c>
      <c r="J44" s="210">
        <v>0</v>
      </c>
      <c r="K44" s="210">
        <v>0</v>
      </c>
      <c r="L44" s="210">
        <f t="shared" si="0"/>
        <v>0</v>
      </c>
      <c r="O44" s="117">
        <v>0</v>
      </c>
    </row>
    <row r="45" spans="1:15" outlineLevel="1">
      <c r="A45" s="222" t="s">
        <v>1769</v>
      </c>
      <c r="B45" s="223"/>
      <c r="C45" s="224"/>
      <c r="D45" s="225"/>
      <c r="E45" s="225"/>
      <c r="F45" s="226"/>
      <c r="G45" s="227">
        <f>SUBTOTAL(9,G42:G44)</f>
        <v>28</v>
      </c>
      <c r="H45" s="227">
        <f>SUBTOTAL(9,H42:H44)</f>
        <v>0</v>
      </c>
      <c r="I45" s="227">
        <f>SUBTOTAL(9,I42:I44)</f>
        <v>0</v>
      </c>
      <c r="J45" s="226">
        <f>H45/G45</f>
        <v>0</v>
      </c>
      <c r="K45" s="226">
        <f>I45/G45</f>
        <v>0</v>
      </c>
      <c r="L45" s="226">
        <f t="shared" si="0"/>
        <v>0</v>
      </c>
      <c r="M45" s="229"/>
      <c r="N45" s="229"/>
      <c r="O45" s="229">
        <f>SUBTOTAL(9,O42:O44)</f>
        <v>0</v>
      </c>
    </row>
    <row r="46" spans="1:15" outlineLevel="1">
      <c r="J46" s="210"/>
      <c r="K46" s="210"/>
      <c r="L46" s="210"/>
    </row>
    <row r="47" spans="1:15" outlineLevel="1">
      <c r="A47" s="228" t="s">
        <v>1477</v>
      </c>
      <c r="B47" s="229"/>
      <c r="C47" s="229"/>
      <c r="D47" s="229"/>
      <c r="E47" s="229"/>
      <c r="F47" s="226"/>
      <c r="G47" s="227">
        <f>SUBTOTAL(9,G7:G46)</f>
        <v>227</v>
      </c>
      <c r="H47" s="227">
        <f>SUBTOTAL(9,H7:H46)</f>
        <v>0</v>
      </c>
      <c r="I47" s="227">
        <f>SUBTOTAL(9,I7:I46)</f>
        <v>9.6999999999999993</v>
      </c>
      <c r="J47" s="226">
        <f>H47/G47</f>
        <v>0</v>
      </c>
      <c r="K47" s="226">
        <f>I47/G47</f>
        <v>4.2731277533039645E-2</v>
      </c>
      <c r="L47" s="226">
        <f>K47-J47</f>
        <v>4.2731277533039645E-2</v>
      </c>
      <c r="M47" s="229"/>
      <c r="N47" s="229"/>
      <c r="O47" s="229">
        <f>SUBTOTAL(9,O7:O46)</f>
        <v>7.7</v>
      </c>
    </row>
  </sheetData>
  <sortState ref="A7:O46">
    <sortCondition ref="A7:A54"/>
    <sortCondition ref="B7:B54"/>
  </sortState>
  <dataConsolidate/>
  <phoneticPr fontId="1" type="noConversion"/>
  <hyperlinks>
    <hyperlink ref="B12" location="Schedule!$D$7" display="1.1.1" xr:uid="{83E7A66F-D778-46BF-B614-58E889D97601}"/>
    <hyperlink ref="B13" location="Schedule!$D$9" display="1.1.2.1" xr:uid="{622EEA48-51B2-4CE4-A17E-18167D7BAC68}"/>
    <hyperlink ref="B14" location="Schedule!$D$11" display="1.2.1" xr:uid="{FA850E80-5243-42D3-A728-FF4CA8FED3E9}"/>
    <hyperlink ref="B15" location="Schedule!$D$13" display="1.3.1" xr:uid="{D22086BD-9C29-467D-A166-3EBCE22FA197}"/>
    <hyperlink ref="B16" location="Schedule!$D$14" display="1.3.2" xr:uid="{F7B40706-0928-4BE9-A3FE-EA8806711441}"/>
    <hyperlink ref="B17" location="Schedule!$D$18" display="2.1.1" xr:uid="{EAA4E02C-07FD-418A-88BC-260AD78B42A8}"/>
    <hyperlink ref="B18" location="Schedule!$D$20" display="2.1.2.1" xr:uid="{D2C0CE02-ABFE-441E-86EA-4F8F57D53CBB}"/>
    <hyperlink ref="B20" location="Schedule!$D$21" display="2.1.2.2" xr:uid="{DBA74EF7-DF89-4088-85F9-823F52EAD23A}"/>
    <hyperlink ref="B21" location="Schedule!$D$22" display="2.1.2.3" xr:uid="{AD9E59EF-6ED7-4121-9901-28C506923EF5}"/>
    <hyperlink ref="B22" location="Schedule!$D$23" display="2.1.2.4" xr:uid="{8C9321EF-9058-4A67-87F0-47E04E738D5B}"/>
    <hyperlink ref="B23" location="Schedule!$D$24" display="2.1.2.5" xr:uid="{DA13E080-0F5B-4925-BAA9-B2A3421440C3}"/>
    <hyperlink ref="B24" location="Schedule!$D$25" display="2.1.2.6" xr:uid="{BD57B9A7-A967-4513-97F3-8BEF8E5606DC}"/>
    <hyperlink ref="B25" location="Schedule!$D$26" display="2.1.2.7" xr:uid="{04059A11-08C1-4F08-A98C-B413A2BE5F30}"/>
    <hyperlink ref="B26" location="Schedule!$D$27" display="2.1.2.8" xr:uid="{E4189F06-E7B2-4324-B9E4-8A4E98C57CC8}"/>
    <hyperlink ref="B27" location="Schedule!$D$28" display="2.1.2.9" xr:uid="{EFD97940-B790-4002-9CA3-84577FC58212}"/>
    <hyperlink ref="B19" location="Schedule!$D$29" display="2.1.2.10" xr:uid="{74C8AFE4-6403-44A8-806E-4A05941D63A0}"/>
    <hyperlink ref="B28" location="Schedule!$D$31" display="2.2.1" xr:uid="{C3BA84CA-903D-4222-A492-26B06426989F}"/>
    <hyperlink ref="B29" location="Schedule!$D$32" display="2.2.2" xr:uid="{E22FFEF2-2BF1-4461-A3A6-A4746680D902}"/>
    <hyperlink ref="B30" location="Schedule!$D$33" display="2.2.3" xr:uid="{A89A4B5C-E80A-4FFD-9CAC-99D078B272A5}"/>
    <hyperlink ref="B36" location="Schedule!$D$37" display="2.3.1.1.1" xr:uid="{FEA5011D-88D5-4C5C-BC4E-32917F2496F0}"/>
    <hyperlink ref="B37" location="Schedule!$D$48" display="2.3.1.1.12" xr:uid="{2C257A6C-7766-4540-AF02-D4EBF875C96E}"/>
    <hyperlink ref="B38" location="Schedule!$D$118" display="2.3.2.1.1" xr:uid="{48F84C1A-907A-4CF7-ABBE-3F81D23CB23A}"/>
    <hyperlink ref="B39" location="Schedule!$D$119" display="2.3.2.1.2" xr:uid="{A43B9F18-6A20-49D3-8DC8-03A057B4706F}"/>
    <hyperlink ref="B40" location="Schedule!$D$120" display="2.3.2.1.3" xr:uid="{53A88D5F-CA1D-4B14-BFD6-D88ECFDC49C0}"/>
    <hyperlink ref="B31" location="Schedule!$D$122" display="2.4.1" xr:uid="{A8114E4B-E292-4E11-9F3F-E2D524569A7B}"/>
    <hyperlink ref="B32" location="Schedule!$D$123" display="2.4.2" xr:uid="{E6D0F76C-C38A-4376-B5CF-F624EE98E42D}"/>
    <hyperlink ref="B33" location="Schedule!$D$125" display="2.5.1" xr:uid="{05886F8F-3865-4F07-A01A-1A8C092C96D2}"/>
    <hyperlink ref="B34" location="Schedule!$D$127" display="2.6.1" xr:uid="{0AF2097B-5629-4187-BC0F-EE3D245DE476}"/>
    <hyperlink ref="B7" location="Schedule!$D$130" display="3.1" xr:uid="{2AB87C53-9B4D-4395-9D89-AE3FFB89A809}"/>
    <hyperlink ref="B8" location="Schedule!$D$131" display="3.2" xr:uid="{E58BF106-6733-49A6-9FB8-88C115368CBF}"/>
    <hyperlink ref="B9" location="Schedule!$D$132" display="3.3" xr:uid="{AA2AC349-5404-46B2-9F36-590A8F384F31}"/>
    <hyperlink ref="B10" location="Schedule!$D$133" display="3.4" xr:uid="{1770AE37-F2AD-428D-B392-A963389BCB64}"/>
    <hyperlink ref="B42" location="Schedule!$D$135" display="4.1" xr:uid="{EF1B6B85-894F-4975-AE48-B6F9CE19B4B1}"/>
    <hyperlink ref="B43" location="Schedule!$D$136" display="4.2" xr:uid="{C17833D2-647F-4B46-8EDF-C4AFF4B5760D}"/>
    <hyperlink ref="B44" location="Schedule!$D$137" display="4.3" xr:uid="{E8DEA4B9-BB7E-402D-AFDB-C3694C864D27}"/>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J33" sqref="J33"/>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62" t="s">
        <v>1478</v>
      </c>
      <c r="B1" s="1"/>
      <c r="C1" s="1"/>
      <c r="D1" s="1"/>
      <c r="E1" s="1"/>
      <c r="F1" s="1"/>
      <c r="G1" s="1"/>
      <c r="H1" s="1"/>
    </row>
    <row r="2" spans="1:9" s="65" customFormat="1" ht="78.75" customHeight="1">
      <c r="A2" s="315" t="s">
        <v>1479</v>
      </c>
      <c r="B2" s="315"/>
      <c r="C2" s="315"/>
      <c r="D2" s="315"/>
      <c r="E2" s="315"/>
      <c r="F2" s="315"/>
      <c r="G2" s="315"/>
      <c r="H2" s="315"/>
    </row>
    <row r="3" spans="1:9" s="65" customFormat="1" ht="24.75" customHeight="1">
      <c r="A3" s="316" t="s">
        <v>1480</v>
      </c>
      <c r="B3" s="316"/>
      <c r="D3" s="316" t="s">
        <v>1481</v>
      </c>
      <c r="E3" s="316"/>
      <c r="G3" s="316" t="s">
        <v>1482</v>
      </c>
      <c r="H3" s="316"/>
    </row>
    <row r="4" spans="1:9" s="67" customFormat="1" ht="19.5" customHeight="1">
      <c r="A4" s="66" t="s">
        <v>1483</v>
      </c>
      <c r="B4" s="66" t="s">
        <v>1484</v>
      </c>
      <c r="D4" s="66" t="s">
        <v>1483</v>
      </c>
      <c r="E4" s="66" t="s">
        <v>1484</v>
      </c>
      <c r="G4" s="66" t="s">
        <v>1483</v>
      </c>
      <c r="H4" s="66" t="s">
        <v>1484</v>
      </c>
    </row>
    <row r="5" spans="1:9" s="79" customFormat="1" ht="16.5">
      <c r="A5" s="77" t="s">
        <v>1592</v>
      </c>
      <c r="B5" s="78">
        <v>44788</v>
      </c>
      <c r="C5" s="79" t="str">
        <f t="shared" ref="C5:C68" si="0">IF(B5&gt;0,TEXT(B5,"(aaa)"),"")</f>
        <v>(월)</v>
      </c>
      <c r="D5" s="80"/>
      <c r="E5" s="81"/>
      <c r="F5" s="79" t="str">
        <f t="shared" ref="F5:F68" si="1">IF(E5&gt;0,TEXT(E5,"(aaa)"),"")</f>
        <v/>
      </c>
      <c r="G5" s="80"/>
      <c r="H5" s="81"/>
      <c r="I5" s="79" t="str">
        <f t="shared" ref="I5:I68" si="2">IF(H5&gt;0,TEXT(H5,"(aaa)"),"")</f>
        <v/>
      </c>
    </row>
    <row r="6" spans="1:9" s="79" customFormat="1" ht="16.5">
      <c r="A6" s="77" t="s">
        <v>1593</v>
      </c>
      <c r="B6" s="78">
        <v>44813</v>
      </c>
      <c r="C6" s="79" t="str">
        <f t="shared" si="0"/>
        <v>(금)</v>
      </c>
      <c r="D6" s="80"/>
      <c r="E6" s="81"/>
      <c r="F6" s="79" t="str">
        <f t="shared" si="1"/>
        <v/>
      </c>
      <c r="G6" s="80"/>
      <c r="H6" s="81"/>
      <c r="I6" s="79" t="str">
        <f t="shared" si="2"/>
        <v/>
      </c>
    </row>
    <row r="7" spans="1:9" s="79" customFormat="1" ht="16.5">
      <c r="A7" s="80" t="s">
        <v>1594</v>
      </c>
      <c r="B7" s="78">
        <v>44816</v>
      </c>
      <c r="C7" s="79" t="str">
        <f t="shared" si="0"/>
        <v>(월)</v>
      </c>
      <c r="D7" s="80"/>
      <c r="E7" s="81"/>
      <c r="F7" s="79" t="str">
        <f t="shared" si="1"/>
        <v/>
      </c>
      <c r="G7" s="80"/>
      <c r="H7" s="81"/>
      <c r="I7" s="79" t="str">
        <f t="shared" si="2"/>
        <v/>
      </c>
    </row>
    <row r="8" spans="1:9" s="79" customFormat="1" ht="16.5">
      <c r="A8" s="80" t="s">
        <v>1595</v>
      </c>
      <c r="B8" s="81">
        <v>44837</v>
      </c>
      <c r="C8" s="79" t="str">
        <f t="shared" si="0"/>
        <v>(월)</v>
      </c>
      <c r="D8" s="80"/>
      <c r="E8" s="81"/>
      <c r="F8" s="79" t="str">
        <f t="shared" si="1"/>
        <v/>
      </c>
      <c r="G8" s="80"/>
      <c r="H8" s="81"/>
      <c r="I8" s="79" t="str">
        <f t="shared" si="2"/>
        <v/>
      </c>
    </row>
    <row r="9" spans="1:9" s="79" customFormat="1" ht="16.5">
      <c r="A9" s="77" t="s">
        <v>1596</v>
      </c>
      <c r="B9" s="78">
        <v>44844</v>
      </c>
      <c r="C9" s="79" t="str">
        <f t="shared" si="0"/>
        <v>(월)</v>
      </c>
      <c r="D9" s="80"/>
      <c r="E9" s="81"/>
      <c r="F9" s="79" t="str">
        <f t="shared" si="1"/>
        <v/>
      </c>
      <c r="G9" s="80"/>
      <c r="H9" s="81"/>
      <c r="I9" s="79" t="str">
        <f t="shared" si="2"/>
        <v/>
      </c>
    </row>
    <row r="10" spans="1:9" s="79" customFormat="1" ht="16.5">
      <c r="A10" s="80"/>
      <c r="B10" s="78"/>
      <c r="C10" s="79" t="str">
        <f t="shared" si="0"/>
        <v/>
      </c>
      <c r="D10" s="80"/>
      <c r="E10" s="81"/>
      <c r="F10" s="79" t="str">
        <f t="shared" si="1"/>
        <v/>
      </c>
      <c r="G10" s="80"/>
      <c r="H10" s="81"/>
      <c r="I10" s="79" t="str">
        <f t="shared" si="2"/>
        <v/>
      </c>
    </row>
    <row r="11" spans="1:9" s="79" customFormat="1" ht="16.5">
      <c r="A11" s="77"/>
      <c r="B11" s="78"/>
      <c r="C11" s="79" t="str">
        <f t="shared" si="0"/>
        <v/>
      </c>
      <c r="D11" s="80"/>
      <c r="E11" s="81"/>
      <c r="F11" s="79" t="str">
        <f t="shared" si="1"/>
        <v/>
      </c>
      <c r="G11" s="80"/>
      <c r="H11" s="81"/>
      <c r="I11" s="79" t="str">
        <f t="shared" si="2"/>
        <v/>
      </c>
    </row>
    <row r="12" spans="1:9" s="79" customFormat="1" ht="16.5">
      <c r="A12" s="80"/>
      <c r="B12" s="78"/>
      <c r="C12" s="79" t="str">
        <f t="shared" si="0"/>
        <v/>
      </c>
      <c r="D12" s="80"/>
      <c r="E12" s="81"/>
      <c r="F12" s="79" t="str">
        <f t="shared" si="1"/>
        <v/>
      </c>
      <c r="G12" s="80"/>
      <c r="H12" s="81"/>
      <c r="I12" s="79" t="str">
        <f t="shared" si="2"/>
        <v/>
      </c>
    </row>
    <row r="13" spans="1:9" s="79" customFormat="1" ht="16.5">
      <c r="A13" s="80"/>
      <c r="B13" s="78"/>
      <c r="C13" s="79" t="str">
        <f t="shared" si="0"/>
        <v/>
      </c>
      <c r="D13" s="80"/>
      <c r="E13" s="81"/>
      <c r="F13" s="79" t="str">
        <f t="shared" si="1"/>
        <v/>
      </c>
      <c r="G13" s="80"/>
      <c r="H13" s="81"/>
      <c r="I13" s="79" t="str">
        <f t="shared" si="2"/>
        <v/>
      </c>
    </row>
    <row r="14" spans="1:9" s="79" customFormat="1" ht="16.5">
      <c r="A14" s="80"/>
      <c r="B14" s="78"/>
      <c r="C14" s="79" t="str">
        <f t="shared" si="0"/>
        <v/>
      </c>
      <c r="D14" s="80"/>
      <c r="E14" s="81"/>
      <c r="F14" s="79" t="str">
        <f t="shared" si="1"/>
        <v/>
      </c>
      <c r="G14" s="80"/>
      <c r="H14" s="81"/>
      <c r="I14" s="79" t="str">
        <f t="shared" si="2"/>
        <v/>
      </c>
    </row>
    <row r="15" spans="1:9" s="79" customFormat="1" ht="16.5">
      <c r="A15" s="80"/>
      <c r="B15" s="78"/>
      <c r="C15" s="79" t="str">
        <f t="shared" si="0"/>
        <v/>
      </c>
      <c r="D15" s="80"/>
      <c r="E15" s="81"/>
      <c r="F15" s="79" t="str">
        <f t="shared" si="1"/>
        <v/>
      </c>
      <c r="G15" s="80"/>
      <c r="H15" s="81"/>
      <c r="I15" s="79" t="str">
        <f t="shared" si="2"/>
        <v/>
      </c>
    </row>
    <row r="16" spans="1:9" s="79" customFormat="1" ht="16.5">
      <c r="A16" s="80"/>
      <c r="B16" s="78"/>
      <c r="C16" s="79" t="str">
        <f t="shared" si="0"/>
        <v/>
      </c>
      <c r="D16" s="80"/>
      <c r="E16" s="81"/>
      <c r="F16" s="79" t="str">
        <f t="shared" si="1"/>
        <v/>
      </c>
      <c r="G16" s="80"/>
      <c r="H16" s="81"/>
      <c r="I16" s="79" t="str">
        <f t="shared" si="2"/>
        <v/>
      </c>
    </row>
    <row r="17" spans="1:10" s="79" customFormat="1" ht="16.5">
      <c r="A17" s="80"/>
      <c r="B17" s="78"/>
      <c r="C17" s="79" t="str">
        <f t="shared" si="0"/>
        <v/>
      </c>
      <c r="D17" s="80"/>
      <c r="E17" s="81"/>
      <c r="F17" s="79" t="str">
        <f t="shared" si="1"/>
        <v/>
      </c>
      <c r="G17" s="80"/>
      <c r="H17" s="81"/>
      <c r="I17" s="79" t="str">
        <f t="shared" si="2"/>
        <v/>
      </c>
    </row>
    <row r="18" spans="1:10" s="79" customFormat="1" ht="16.5">
      <c r="A18" s="80"/>
      <c r="B18" s="78"/>
      <c r="C18" s="79" t="str">
        <f t="shared" si="0"/>
        <v/>
      </c>
      <c r="D18" s="80"/>
      <c r="E18" s="81"/>
      <c r="F18" s="79" t="str">
        <f t="shared" si="1"/>
        <v/>
      </c>
      <c r="G18" s="80"/>
      <c r="H18" s="81"/>
      <c r="I18" s="79" t="str">
        <f t="shared" si="2"/>
        <v/>
      </c>
    </row>
    <row r="19" spans="1:10" s="79" customFormat="1" ht="17.25">
      <c r="A19" s="80"/>
      <c r="B19" s="78"/>
      <c r="C19" s="79" t="str">
        <f t="shared" si="0"/>
        <v/>
      </c>
      <c r="D19" s="80"/>
      <c r="E19" s="81"/>
      <c r="F19" s="79" t="str">
        <f t="shared" si="1"/>
        <v/>
      </c>
      <c r="G19" s="80"/>
      <c r="H19" s="81"/>
      <c r="I19" s="79" t="str">
        <f t="shared" si="2"/>
        <v/>
      </c>
      <c r="J19" s="82"/>
    </row>
    <row r="20" spans="1:10" s="79" customFormat="1" ht="17.25">
      <c r="A20" s="80"/>
      <c r="B20" s="78"/>
      <c r="C20" s="79" t="str">
        <f t="shared" si="0"/>
        <v/>
      </c>
      <c r="D20" s="80"/>
      <c r="E20" s="81"/>
      <c r="F20" s="79" t="str">
        <f t="shared" si="1"/>
        <v/>
      </c>
      <c r="G20" s="80"/>
      <c r="H20" s="81"/>
      <c r="I20" s="79" t="str">
        <f t="shared" si="2"/>
        <v/>
      </c>
      <c r="J20" s="82"/>
    </row>
    <row r="21" spans="1:10" s="79" customFormat="1" ht="16.5">
      <c r="A21" s="77"/>
      <c r="B21" s="78"/>
      <c r="C21" s="79" t="str">
        <f t="shared" si="0"/>
        <v/>
      </c>
      <c r="D21" s="80"/>
      <c r="E21" s="81"/>
      <c r="F21" s="79" t="str">
        <f t="shared" si="1"/>
        <v/>
      </c>
      <c r="G21" s="80"/>
      <c r="H21" s="81"/>
      <c r="I21" s="79" t="str">
        <f t="shared" si="2"/>
        <v/>
      </c>
    </row>
    <row r="22" spans="1:10" s="79" customFormat="1" ht="16.5">
      <c r="A22" s="77"/>
      <c r="B22" s="78"/>
      <c r="C22" s="79" t="str">
        <f t="shared" si="0"/>
        <v/>
      </c>
      <c r="D22" s="80"/>
      <c r="E22" s="81"/>
      <c r="F22" s="79" t="str">
        <f t="shared" si="1"/>
        <v/>
      </c>
      <c r="G22" s="80"/>
      <c r="H22" s="81"/>
      <c r="I22" s="79" t="str">
        <f t="shared" si="2"/>
        <v/>
      </c>
    </row>
    <row r="23" spans="1:10" s="79" customFormat="1" ht="16.5">
      <c r="A23" s="77"/>
      <c r="B23" s="78"/>
      <c r="C23" s="79" t="str">
        <f t="shared" si="0"/>
        <v/>
      </c>
      <c r="D23" s="80"/>
      <c r="E23" s="81"/>
      <c r="F23" s="79" t="str">
        <f t="shared" si="1"/>
        <v/>
      </c>
      <c r="G23" s="80"/>
      <c r="H23" s="81"/>
      <c r="I23" s="79" t="str">
        <f t="shared" si="2"/>
        <v/>
      </c>
    </row>
    <row r="24" spans="1:10" s="79" customFormat="1" ht="16.5">
      <c r="A24" s="77"/>
      <c r="B24" s="78"/>
      <c r="C24" s="79" t="str">
        <f t="shared" si="0"/>
        <v/>
      </c>
      <c r="D24" s="80"/>
      <c r="E24" s="81"/>
      <c r="F24" s="79" t="str">
        <f t="shared" si="1"/>
        <v/>
      </c>
      <c r="G24" s="80"/>
      <c r="H24" s="81"/>
      <c r="I24" s="79" t="str">
        <f t="shared" si="2"/>
        <v/>
      </c>
    </row>
    <row r="25" spans="1:10" s="79" customFormat="1" ht="16.5">
      <c r="A25" s="77"/>
      <c r="B25" s="78"/>
      <c r="C25" s="79" t="str">
        <f t="shared" si="0"/>
        <v/>
      </c>
      <c r="D25" s="80"/>
      <c r="E25" s="81"/>
      <c r="F25" s="79" t="str">
        <f t="shared" si="1"/>
        <v/>
      </c>
      <c r="G25" s="80"/>
      <c r="H25" s="81"/>
      <c r="I25" s="79" t="str">
        <f t="shared" si="2"/>
        <v/>
      </c>
    </row>
    <row r="26" spans="1:10" s="79" customFormat="1" ht="16.5">
      <c r="A26" s="77"/>
      <c r="B26" s="78"/>
      <c r="C26" s="79" t="str">
        <f t="shared" si="0"/>
        <v/>
      </c>
      <c r="D26" s="80"/>
      <c r="E26" s="81"/>
      <c r="F26" s="79" t="str">
        <f t="shared" si="1"/>
        <v/>
      </c>
      <c r="G26" s="80"/>
      <c r="H26" s="81"/>
      <c r="I26" s="79" t="str">
        <f t="shared" si="2"/>
        <v/>
      </c>
    </row>
    <row r="27" spans="1:10" s="79" customFormat="1" ht="16.5">
      <c r="A27" s="77"/>
      <c r="B27" s="78"/>
      <c r="C27" s="79" t="str">
        <f t="shared" si="0"/>
        <v/>
      </c>
      <c r="D27" s="80"/>
      <c r="E27" s="81"/>
      <c r="F27" s="79" t="str">
        <f t="shared" si="1"/>
        <v/>
      </c>
      <c r="G27" s="80"/>
      <c r="H27" s="81"/>
      <c r="I27" s="79" t="str">
        <f t="shared" si="2"/>
        <v/>
      </c>
    </row>
    <row r="28" spans="1:10" s="79" customFormat="1" ht="16.5">
      <c r="A28" s="77"/>
      <c r="B28" s="78"/>
      <c r="C28" s="79" t="str">
        <f t="shared" si="0"/>
        <v/>
      </c>
      <c r="D28" s="80"/>
      <c r="E28" s="81"/>
      <c r="F28" s="79" t="str">
        <f t="shared" si="1"/>
        <v/>
      </c>
      <c r="G28" s="80"/>
      <c r="H28" s="81"/>
      <c r="I28" s="79" t="str">
        <f t="shared" si="2"/>
        <v/>
      </c>
    </row>
    <row r="29" spans="1:10" s="79" customFormat="1" ht="16.5">
      <c r="A29" s="77"/>
      <c r="B29" s="78"/>
      <c r="C29" s="79" t="str">
        <f t="shared" si="0"/>
        <v/>
      </c>
      <c r="D29" s="80"/>
      <c r="E29" s="81"/>
      <c r="F29" s="79" t="str">
        <f t="shared" si="1"/>
        <v/>
      </c>
      <c r="G29" s="80"/>
      <c r="H29" s="81"/>
      <c r="I29" s="79" t="str">
        <f t="shared" si="2"/>
        <v/>
      </c>
    </row>
    <row r="30" spans="1:10" s="79" customFormat="1" ht="16.5">
      <c r="A30" s="77"/>
      <c r="B30" s="78"/>
      <c r="C30" s="79" t="str">
        <f t="shared" si="0"/>
        <v/>
      </c>
      <c r="D30" s="80"/>
      <c r="E30" s="81"/>
      <c r="F30" s="79" t="str">
        <f t="shared" si="1"/>
        <v/>
      </c>
      <c r="G30" s="80"/>
      <c r="H30" s="81"/>
      <c r="I30" s="79" t="str">
        <f t="shared" si="2"/>
        <v/>
      </c>
    </row>
    <row r="31" spans="1:10" s="79" customFormat="1" ht="16.5">
      <c r="A31" s="77"/>
      <c r="B31" s="78"/>
      <c r="C31" s="79" t="str">
        <f t="shared" si="0"/>
        <v/>
      </c>
      <c r="D31" s="80"/>
      <c r="E31" s="81"/>
      <c r="F31" s="79" t="str">
        <f t="shared" si="1"/>
        <v/>
      </c>
      <c r="G31" s="80"/>
      <c r="H31" s="81"/>
      <c r="I31" s="79" t="str">
        <f t="shared" si="2"/>
        <v/>
      </c>
    </row>
    <row r="32" spans="1:10" s="79" customFormat="1" ht="16.5">
      <c r="A32" s="77"/>
      <c r="B32" s="78"/>
      <c r="C32" s="79" t="str">
        <f t="shared" si="0"/>
        <v/>
      </c>
      <c r="D32" s="80"/>
      <c r="E32" s="81"/>
      <c r="F32" s="79" t="str">
        <f t="shared" si="1"/>
        <v/>
      </c>
      <c r="G32" s="80"/>
      <c r="H32" s="81"/>
      <c r="I32" s="79" t="str">
        <f t="shared" si="2"/>
        <v/>
      </c>
    </row>
    <row r="33" spans="1:9" s="79" customFormat="1" ht="16.5">
      <c r="A33" s="77"/>
      <c r="B33" s="78"/>
      <c r="C33" s="79" t="str">
        <f t="shared" si="0"/>
        <v/>
      </c>
      <c r="D33" s="80"/>
      <c r="E33" s="81"/>
      <c r="F33" s="79" t="str">
        <f t="shared" si="1"/>
        <v/>
      </c>
      <c r="G33" s="80"/>
      <c r="H33" s="81"/>
      <c r="I33" s="79" t="str">
        <f t="shared" si="2"/>
        <v/>
      </c>
    </row>
    <row r="34" spans="1:9" s="79" customFormat="1" ht="16.5">
      <c r="A34" s="77"/>
      <c r="B34" s="78"/>
      <c r="C34" s="79" t="str">
        <f t="shared" si="0"/>
        <v/>
      </c>
      <c r="D34" s="80"/>
      <c r="E34" s="81"/>
      <c r="F34" s="79" t="str">
        <f t="shared" si="1"/>
        <v/>
      </c>
      <c r="G34" s="80"/>
      <c r="H34" s="81"/>
      <c r="I34" s="79" t="str">
        <f t="shared" si="2"/>
        <v/>
      </c>
    </row>
    <row r="35" spans="1:9" s="79" customFormat="1" ht="16.5">
      <c r="A35" s="77"/>
      <c r="B35" s="78"/>
      <c r="C35" s="79" t="str">
        <f t="shared" si="0"/>
        <v/>
      </c>
      <c r="D35" s="80"/>
      <c r="E35" s="81"/>
      <c r="F35" s="79" t="str">
        <f t="shared" si="1"/>
        <v/>
      </c>
      <c r="G35" s="80"/>
      <c r="H35" s="81"/>
      <c r="I35" s="79" t="str">
        <f t="shared" si="2"/>
        <v/>
      </c>
    </row>
    <row r="36" spans="1:9" s="79" customFormat="1" ht="16.5">
      <c r="A36" s="77"/>
      <c r="B36" s="78"/>
      <c r="C36" s="79" t="str">
        <f t="shared" si="0"/>
        <v/>
      </c>
      <c r="D36" s="80"/>
      <c r="E36" s="81"/>
      <c r="F36" s="79" t="str">
        <f t="shared" si="1"/>
        <v/>
      </c>
      <c r="G36" s="80"/>
      <c r="H36" s="81"/>
      <c r="I36" s="79" t="str">
        <f t="shared" si="2"/>
        <v/>
      </c>
    </row>
    <row r="37" spans="1:9" s="79" customFormat="1" ht="16.5">
      <c r="A37" s="77"/>
      <c r="B37" s="78"/>
      <c r="C37" s="79" t="str">
        <f t="shared" si="0"/>
        <v/>
      </c>
      <c r="D37" s="80"/>
      <c r="E37" s="81"/>
      <c r="F37" s="79" t="str">
        <f t="shared" si="1"/>
        <v/>
      </c>
      <c r="G37" s="80"/>
      <c r="H37" s="81"/>
      <c r="I37" s="79" t="str">
        <f t="shared" si="2"/>
        <v/>
      </c>
    </row>
    <row r="38" spans="1:9" s="79" customFormat="1" ht="16.5">
      <c r="A38" s="77"/>
      <c r="B38" s="78"/>
      <c r="C38" s="79" t="str">
        <f t="shared" si="0"/>
        <v/>
      </c>
      <c r="D38" s="80"/>
      <c r="E38" s="81"/>
      <c r="F38" s="79" t="str">
        <f t="shared" si="1"/>
        <v/>
      </c>
      <c r="G38" s="80"/>
      <c r="H38" s="81"/>
      <c r="I38" s="79" t="str">
        <f t="shared" si="2"/>
        <v/>
      </c>
    </row>
    <row r="39" spans="1:9" s="79" customFormat="1" ht="16.5">
      <c r="A39" s="77"/>
      <c r="B39" s="78"/>
      <c r="C39" s="79" t="str">
        <f t="shared" si="0"/>
        <v/>
      </c>
      <c r="D39" s="80"/>
      <c r="E39" s="81"/>
      <c r="F39" s="79" t="str">
        <f t="shared" si="1"/>
        <v/>
      </c>
      <c r="G39" s="80"/>
      <c r="H39" s="81"/>
      <c r="I39" s="79" t="str">
        <f t="shared" si="2"/>
        <v/>
      </c>
    </row>
    <row r="40" spans="1:9" s="79" customFormat="1" ht="16.5">
      <c r="A40" s="77"/>
      <c r="B40" s="78"/>
      <c r="C40" s="79" t="str">
        <f t="shared" si="0"/>
        <v/>
      </c>
      <c r="D40" s="80"/>
      <c r="E40" s="81"/>
      <c r="F40" s="79" t="str">
        <f t="shared" si="1"/>
        <v/>
      </c>
      <c r="G40" s="80"/>
      <c r="H40" s="81"/>
      <c r="I40" s="79" t="str">
        <f t="shared" si="2"/>
        <v/>
      </c>
    </row>
    <row r="41" spans="1:9" s="79" customFormat="1" ht="16.5">
      <c r="A41" s="77"/>
      <c r="B41" s="78"/>
      <c r="C41" s="79" t="str">
        <f t="shared" si="0"/>
        <v/>
      </c>
      <c r="D41" s="80"/>
      <c r="E41" s="81"/>
      <c r="F41" s="79" t="str">
        <f t="shared" si="1"/>
        <v/>
      </c>
      <c r="G41" s="80"/>
      <c r="H41" s="81"/>
      <c r="I41" s="79" t="str">
        <f t="shared" si="2"/>
        <v/>
      </c>
    </row>
    <row r="42" spans="1:9" s="79" customFormat="1" ht="16.5">
      <c r="A42" s="77"/>
      <c r="B42" s="78"/>
      <c r="C42" s="79" t="str">
        <f t="shared" si="0"/>
        <v/>
      </c>
      <c r="D42" s="80"/>
      <c r="E42" s="81"/>
      <c r="F42" s="79" t="str">
        <f t="shared" si="1"/>
        <v/>
      </c>
      <c r="G42" s="80"/>
      <c r="H42" s="81"/>
      <c r="I42" s="79" t="str">
        <f t="shared" si="2"/>
        <v/>
      </c>
    </row>
    <row r="43" spans="1:9" s="79" customFormat="1" ht="16.5">
      <c r="A43" s="77"/>
      <c r="B43" s="78"/>
      <c r="C43" s="79" t="str">
        <f t="shared" si="0"/>
        <v/>
      </c>
      <c r="D43" s="80"/>
      <c r="E43" s="81"/>
      <c r="F43" s="79" t="str">
        <f t="shared" si="1"/>
        <v/>
      </c>
      <c r="G43" s="80"/>
      <c r="H43" s="81"/>
      <c r="I43" s="79" t="str">
        <f t="shared" si="2"/>
        <v/>
      </c>
    </row>
    <row r="44" spans="1:9" s="79" customFormat="1" ht="16.5">
      <c r="A44" s="77"/>
      <c r="B44" s="78"/>
      <c r="C44" s="79" t="str">
        <f t="shared" si="0"/>
        <v/>
      </c>
      <c r="D44" s="80"/>
      <c r="E44" s="81"/>
      <c r="F44" s="79" t="str">
        <f t="shared" si="1"/>
        <v/>
      </c>
      <c r="G44" s="80"/>
      <c r="H44" s="81"/>
      <c r="I44" s="79" t="str">
        <f t="shared" si="2"/>
        <v/>
      </c>
    </row>
    <row r="45" spans="1:9" s="79" customFormat="1" ht="16.5">
      <c r="A45" s="77"/>
      <c r="B45" s="78"/>
      <c r="C45" s="79" t="str">
        <f t="shared" si="0"/>
        <v/>
      </c>
      <c r="D45" s="80"/>
      <c r="E45" s="81"/>
      <c r="F45" s="79" t="str">
        <f t="shared" si="1"/>
        <v/>
      </c>
      <c r="G45" s="80"/>
      <c r="H45" s="81"/>
      <c r="I45" s="79" t="str">
        <f t="shared" si="2"/>
        <v/>
      </c>
    </row>
    <row r="46" spans="1:9" s="79" customFormat="1" ht="16.5">
      <c r="A46" s="77"/>
      <c r="B46" s="78"/>
      <c r="C46" s="79" t="str">
        <f t="shared" si="0"/>
        <v/>
      </c>
      <c r="D46" s="80"/>
      <c r="E46" s="81"/>
      <c r="F46" s="79" t="str">
        <f t="shared" si="1"/>
        <v/>
      </c>
      <c r="G46" s="80"/>
      <c r="H46" s="81"/>
      <c r="I46" s="79" t="str">
        <f t="shared" si="2"/>
        <v/>
      </c>
    </row>
    <row r="47" spans="1:9" s="79" customFormat="1" ht="16.5">
      <c r="A47" s="77"/>
      <c r="B47" s="78"/>
      <c r="C47" s="79" t="str">
        <f t="shared" si="0"/>
        <v/>
      </c>
      <c r="D47" s="80"/>
      <c r="E47" s="81"/>
      <c r="F47" s="79" t="str">
        <f t="shared" si="1"/>
        <v/>
      </c>
      <c r="G47" s="80"/>
      <c r="H47" s="81"/>
      <c r="I47" s="79" t="str">
        <f t="shared" si="2"/>
        <v/>
      </c>
    </row>
    <row r="48" spans="1:9" s="79" customFormat="1" ht="16.5">
      <c r="A48" s="77"/>
      <c r="B48" s="78"/>
      <c r="C48" s="79" t="str">
        <f t="shared" si="0"/>
        <v/>
      </c>
      <c r="D48" s="80"/>
      <c r="E48" s="81"/>
      <c r="F48" s="79" t="str">
        <f t="shared" si="1"/>
        <v/>
      </c>
      <c r="G48" s="80"/>
      <c r="H48" s="81"/>
      <c r="I48" s="79" t="str">
        <f t="shared" si="2"/>
        <v/>
      </c>
    </row>
    <row r="49" spans="1:9" s="79" customFormat="1" ht="16.5">
      <c r="A49" s="77"/>
      <c r="B49" s="78"/>
      <c r="C49" s="79" t="str">
        <f t="shared" si="0"/>
        <v/>
      </c>
      <c r="D49" s="80"/>
      <c r="E49" s="81"/>
      <c r="F49" s="79" t="str">
        <f t="shared" si="1"/>
        <v/>
      </c>
      <c r="G49" s="80"/>
      <c r="H49" s="81"/>
      <c r="I49" s="79" t="str">
        <f t="shared" si="2"/>
        <v/>
      </c>
    </row>
    <row r="50" spans="1:9" s="79" customFormat="1" ht="16.5">
      <c r="A50" s="77"/>
      <c r="B50" s="78"/>
      <c r="C50" s="79" t="str">
        <f t="shared" si="0"/>
        <v/>
      </c>
      <c r="D50" s="80"/>
      <c r="E50" s="81"/>
      <c r="F50" s="79" t="str">
        <f t="shared" si="1"/>
        <v/>
      </c>
      <c r="G50" s="80"/>
      <c r="H50" s="81"/>
      <c r="I50" s="79" t="str">
        <f t="shared" si="2"/>
        <v/>
      </c>
    </row>
    <row r="51" spans="1:9" s="79" customFormat="1" ht="16.5">
      <c r="A51" s="77"/>
      <c r="B51" s="78"/>
      <c r="C51" s="79" t="str">
        <f t="shared" si="0"/>
        <v/>
      </c>
      <c r="D51" s="80"/>
      <c r="E51" s="81"/>
      <c r="F51" s="79" t="str">
        <f t="shared" si="1"/>
        <v/>
      </c>
      <c r="G51" s="80"/>
      <c r="H51" s="81"/>
      <c r="I51" s="79" t="str">
        <f t="shared" si="2"/>
        <v/>
      </c>
    </row>
    <row r="52" spans="1:9" s="79" customFormat="1" ht="16.5">
      <c r="A52" s="77"/>
      <c r="B52" s="78"/>
      <c r="C52" s="79" t="str">
        <f t="shared" si="0"/>
        <v/>
      </c>
      <c r="D52" s="80"/>
      <c r="E52" s="81"/>
      <c r="F52" s="79" t="str">
        <f t="shared" si="1"/>
        <v/>
      </c>
      <c r="G52" s="80"/>
      <c r="H52" s="81"/>
      <c r="I52" s="79" t="str">
        <f t="shared" si="2"/>
        <v/>
      </c>
    </row>
    <row r="53" spans="1:9" s="79" customFormat="1" ht="16.5">
      <c r="A53" s="77"/>
      <c r="B53" s="78"/>
      <c r="C53" s="79" t="str">
        <f t="shared" si="0"/>
        <v/>
      </c>
      <c r="D53" s="80"/>
      <c r="E53" s="81"/>
      <c r="F53" s="79" t="str">
        <f t="shared" si="1"/>
        <v/>
      </c>
      <c r="G53" s="80"/>
      <c r="H53" s="81"/>
      <c r="I53" s="79" t="str">
        <f t="shared" si="2"/>
        <v/>
      </c>
    </row>
    <row r="54" spans="1:9" s="79" customFormat="1" ht="16.5">
      <c r="A54" s="77"/>
      <c r="B54" s="78"/>
      <c r="C54" s="79" t="str">
        <f t="shared" si="0"/>
        <v/>
      </c>
      <c r="D54" s="80"/>
      <c r="E54" s="81"/>
      <c r="F54" s="79" t="str">
        <f t="shared" si="1"/>
        <v/>
      </c>
      <c r="G54" s="80"/>
      <c r="H54" s="81"/>
      <c r="I54" s="79" t="str">
        <f t="shared" si="2"/>
        <v/>
      </c>
    </row>
    <row r="55" spans="1:9" s="79" customFormat="1" ht="16.5">
      <c r="A55" s="77"/>
      <c r="B55" s="78"/>
      <c r="C55" s="79" t="str">
        <f t="shared" si="0"/>
        <v/>
      </c>
      <c r="D55" s="80"/>
      <c r="E55" s="81"/>
      <c r="F55" s="79" t="str">
        <f t="shared" si="1"/>
        <v/>
      </c>
      <c r="G55" s="80"/>
      <c r="H55" s="81"/>
      <c r="I55" s="79" t="str">
        <f t="shared" si="2"/>
        <v/>
      </c>
    </row>
    <row r="56" spans="1:9" s="79" customFormat="1" ht="16.5">
      <c r="A56" s="77"/>
      <c r="B56" s="78"/>
      <c r="C56" s="79" t="str">
        <f t="shared" si="0"/>
        <v/>
      </c>
      <c r="D56" s="80"/>
      <c r="E56" s="81"/>
      <c r="F56" s="79" t="str">
        <f t="shared" si="1"/>
        <v/>
      </c>
      <c r="G56" s="80"/>
      <c r="H56" s="81"/>
      <c r="I56" s="79" t="str">
        <f t="shared" si="2"/>
        <v/>
      </c>
    </row>
    <row r="57" spans="1:9" s="79" customFormat="1" ht="16.5">
      <c r="A57" s="77"/>
      <c r="B57" s="78"/>
      <c r="C57" s="79" t="str">
        <f t="shared" si="0"/>
        <v/>
      </c>
      <c r="D57" s="80"/>
      <c r="E57" s="81"/>
      <c r="F57" s="79" t="str">
        <f t="shared" si="1"/>
        <v/>
      </c>
      <c r="G57" s="80"/>
      <c r="H57" s="81"/>
      <c r="I57" s="79" t="str">
        <f t="shared" si="2"/>
        <v/>
      </c>
    </row>
    <row r="58" spans="1:9" s="79" customFormat="1" ht="16.5">
      <c r="A58" s="77"/>
      <c r="B58" s="78"/>
      <c r="C58" s="79" t="str">
        <f t="shared" si="0"/>
        <v/>
      </c>
      <c r="D58" s="80"/>
      <c r="E58" s="81"/>
      <c r="F58" s="79" t="str">
        <f t="shared" si="1"/>
        <v/>
      </c>
      <c r="G58" s="80"/>
      <c r="H58" s="81"/>
      <c r="I58" s="79" t="str">
        <f t="shared" si="2"/>
        <v/>
      </c>
    </row>
    <row r="59" spans="1:9" s="79" customFormat="1" ht="16.5">
      <c r="A59" s="77"/>
      <c r="B59" s="78"/>
      <c r="C59" s="79" t="str">
        <f t="shared" si="0"/>
        <v/>
      </c>
      <c r="D59" s="80"/>
      <c r="E59" s="81"/>
      <c r="F59" s="79" t="str">
        <f t="shared" si="1"/>
        <v/>
      </c>
      <c r="G59" s="80"/>
      <c r="H59" s="81"/>
      <c r="I59" s="79" t="str">
        <f t="shared" si="2"/>
        <v/>
      </c>
    </row>
    <row r="60" spans="1:9" s="79" customFormat="1" ht="16.5">
      <c r="A60" s="77"/>
      <c r="B60" s="78"/>
      <c r="C60" s="79" t="str">
        <f t="shared" si="0"/>
        <v/>
      </c>
      <c r="D60" s="80"/>
      <c r="E60" s="81"/>
      <c r="F60" s="79" t="str">
        <f t="shared" si="1"/>
        <v/>
      </c>
      <c r="G60" s="80"/>
      <c r="H60" s="81"/>
      <c r="I60" s="79" t="str">
        <f t="shared" si="2"/>
        <v/>
      </c>
    </row>
    <row r="61" spans="1:9" s="79" customFormat="1" ht="16.5">
      <c r="A61" s="77"/>
      <c r="B61" s="78"/>
      <c r="C61" s="79" t="str">
        <f t="shared" si="0"/>
        <v/>
      </c>
      <c r="D61" s="80"/>
      <c r="E61" s="81"/>
      <c r="F61" s="79" t="str">
        <f t="shared" si="1"/>
        <v/>
      </c>
      <c r="G61" s="80"/>
      <c r="H61" s="81"/>
      <c r="I61" s="79" t="str">
        <f t="shared" si="2"/>
        <v/>
      </c>
    </row>
    <row r="62" spans="1:9" s="79" customFormat="1" ht="16.5">
      <c r="A62" s="77"/>
      <c r="B62" s="78"/>
      <c r="C62" s="79" t="str">
        <f t="shared" si="0"/>
        <v/>
      </c>
      <c r="D62" s="80"/>
      <c r="E62" s="81"/>
      <c r="F62" s="79" t="str">
        <f t="shared" si="1"/>
        <v/>
      </c>
      <c r="G62" s="80"/>
      <c r="H62" s="81"/>
      <c r="I62" s="79" t="str">
        <f t="shared" si="2"/>
        <v/>
      </c>
    </row>
    <row r="63" spans="1:9" s="79" customFormat="1" ht="16.5">
      <c r="A63" s="77"/>
      <c r="B63" s="78"/>
      <c r="C63" s="79" t="str">
        <f t="shared" si="0"/>
        <v/>
      </c>
      <c r="D63" s="80"/>
      <c r="E63" s="81"/>
      <c r="F63" s="79" t="str">
        <f t="shared" si="1"/>
        <v/>
      </c>
      <c r="G63" s="80"/>
      <c r="H63" s="81"/>
      <c r="I63" s="79" t="str">
        <f t="shared" si="2"/>
        <v/>
      </c>
    </row>
    <row r="64" spans="1:9" s="79" customFormat="1" ht="16.5">
      <c r="A64" s="77"/>
      <c r="B64" s="78"/>
      <c r="C64" s="79" t="str">
        <f t="shared" si="0"/>
        <v/>
      </c>
      <c r="D64" s="80"/>
      <c r="E64" s="81"/>
      <c r="F64" s="79" t="str">
        <f t="shared" si="1"/>
        <v/>
      </c>
      <c r="G64" s="80"/>
      <c r="H64" s="81"/>
      <c r="I64" s="79" t="str">
        <f t="shared" si="2"/>
        <v/>
      </c>
    </row>
    <row r="65" spans="1:9" s="79" customFormat="1" ht="16.5">
      <c r="A65" s="77"/>
      <c r="B65" s="78"/>
      <c r="C65" s="79" t="str">
        <f t="shared" si="0"/>
        <v/>
      </c>
      <c r="D65" s="80"/>
      <c r="E65" s="81"/>
      <c r="F65" s="79" t="str">
        <f t="shared" si="1"/>
        <v/>
      </c>
      <c r="G65" s="80"/>
      <c r="H65" s="81"/>
      <c r="I65" s="79" t="str">
        <f t="shared" si="2"/>
        <v/>
      </c>
    </row>
    <row r="66" spans="1:9" s="79" customFormat="1" ht="16.5">
      <c r="A66" s="77"/>
      <c r="B66" s="78"/>
      <c r="C66" s="79" t="str">
        <f t="shared" si="0"/>
        <v/>
      </c>
      <c r="D66" s="80"/>
      <c r="E66" s="81"/>
      <c r="F66" s="79" t="str">
        <f t="shared" si="1"/>
        <v/>
      </c>
      <c r="G66" s="80"/>
      <c r="H66" s="81"/>
      <c r="I66" s="79" t="str">
        <f t="shared" si="2"/>
        <v/>
      </c>
    </row>
    <row r="67" spans="1:9" s="79" customFormat="1" ht="16.5">
      <c r="A67" s="77"/>
      <c r="B67" s="78"/>
      <c r="C67" s="79" t="str">
        <f t="shared" si="0"/>
        <v/>
      </c>
      <c r="D67" s="80"/>
      <c r="E67" s="81"/>
      <c r="F67" s="79" t="str">
        <f t="shared" si="1"/>
        <v/>
      </c>
      <c r="G67" s="80"/>
      <c r="H67" s="81"/>
      <c r="I67" s="79" t="str">
        <f t="shared" si="2"/>
        <v/>
      </c>
    </row>
    <row r="68" spans="1:9" s="79" customFormat="1" ht="16.5">
      <c r="A68" s="77"/>
      <c r="B68" s="78"/>
      <c r="C68" s="79" t="str">
        <f t="shared" si="0"/>
        <v/>
      </c>
      <c r="D68" s="80"/>
      <c r="E68" s="81"/>
      <c r="F68" s="79" t="str">
        <f t="shared" si="1"/>
        <v/>
      </c>
      <c r="G68" s="80"/>
      <c r="H68" s="81"/>
      <c r="I68" s="79" t="str">
        <f t="shared" si="2"/>
        <v/>
      </c>
    </row>
    <row r="69" spans="1:9" s="79" customFormat="1" ht="16.5">
      <c r="A69" s="77"/>
      <c r="B69" s="78"/>
      <c r="C69" s="79" t="str">
        <f t="shared" ref="C69:C132" si="3">IF(B69&gt;0,TEXT(B69,"(aaa)"),"")</f>
        <v/>
      </c>
      <c r="D69" s="80"/>
      <c r="E69" s="81"/>
      <c r="F69" s="79" t="str">
        <f t="shared" ref="F69:F132" si="4">IF(E69&gt;0,TEXT(E69,"(aaa)"),"")</f>
        <v/>
      </c>
      <c r="G69" s="80"/>
      <c r="H69" s="81"/>
      <c r="I69" s="79" t="str">
        <f t="shared" ref="I69:I132" si="5">IF(H69&gt;0,TEXT(H69,"(aaa)"),"")</f>
        <v/>
      </c>
    </row>
    <row r="70" spans="1:9" s="79" customFormat="1" ht="16.5">
      <c r="A70" s="77"/>
      <c r="B70" s="78"/>
      <c r="C70" s="79" t="str">
        <f t="shared" si="3"/>
        <v/>
      </c>
      <c r="D70" s="80"/>
      <c r="E70" s="81"/>
      <c r="F70" s="79" t="str">
        <f t="shared" si="4"/>
        <v/>
      </c>
      <c r="G70" s="80"/>
      <c r="H70" s="81"/>
      <c r="I70" s="79" t="str">
        <f t="shared" si="5"/>
        <v/>
      </c>
    </row>
    <row r="71" spans="1:9" s="79" customFormat="1" ht="16.5">
      <c r="A71" s="77"/>
      <c r="B71" s="78"/>
      <c r="C71" s="79" t="str">
        <f t="shared" si="3"/>
        <v/>
      </c>
      <c r="D71" s="80"/>
      <c r="E71" s="81"/>
      <c r="F71" s="79" t="str">
        <f t="shared" si="4"/>
        <v/>
      </c>
      <c r="G71" s="80"/>
      <c r="H71" s="81"/>
      <c r="I71" s="79" t="str">
        <f t="shared" si="5"/>
        <v/>
      </c>
    </row>
    <row r="72" spans="1:9" s="79" customFormat="1" ht="16.5">
      <c r="A72" s="77"/>
      <c r="B72" s="78"/>
      <c r="C72" s="79" t="str">
        <f t="shared" si="3"/>
        <v/>
      </c>
      <c r="D72" s="80"/>
      <c r="E72" s="81"/>
      <c r="F72" s="79" t="str">
        <f t="shared" si="4"/>
        <v/>
      </c>
      <c r="G72" s="80"/>
      <c r="H72" s="81"/>
      <c r="I72" s="79" t="str">
        <f t="shared" si="5"/>
        <v/>
      </c>
    </row>
    <row r="73" spans="1:9" s="79" customFormat="1" ht="16.5">
      <c r="A73" s="77"/>
      <c r="B73" s="78"/>
      <c r="C73" s="79" t="str">
        <f t="shared" si="3"/>
        <v/>
      </c>
      <c r="D73" s="80"/>
      <c r="E73" s="81"/>
      <c r="F73" s="79" t="str">
        <f t="shared" si="4"/>
        <v/>
      </c>
      <c r="G73" s="80"/>
      <c r="H73" s="81"/>
      <c r="I73" s="79" t="str">
        <f t="shared" si="5"/>
        <v/>
      </c>
    </row>
    <row r="74" spans="1:9" s="79" customFormat="1" ht="16.5">
      <c r="A74" s="77"/>
      <c r="B74" s="78"/>
      <c r="C74" s="79" t="str">
        <f t="shared" si="3"/>
        <v/>
      </c>
      <c r="D74" s="80"/>
      <c r="E74" s="81"/>
      <c r="F74" s="79" t="str">
        <f t="shared" si="4"/>
        <v/>
      </c>
      <c r="G74" s="80"/>
      <c r="H74" s="81"/>
      <c r="I74" s="79" t="str">
        <f t="shared" si="5"/>
        <v/>
      </c>
    </row>
    <row r="75" spans="1:9" s="79" customFormat="1" ht="16.5">
      <c r="A75" s="77"/>
      <c r="B75" s="78"/>
      <c r="C75" s="79" t="str">
        <f t="shared" si="3"/>
        <v/>
      </c>
      <c r="D75" s="80"/>
      <c r="E75" s="81"/>
      <c r="F75" s="79" t="str">
        <f t="shared" si="4"/>
        <v/>
      </c>
      <c r="G75" s="80"/>
      <c r="H75" s="81"/>
      <c r="I75" s="79" t="str">
        <f t="shared" si="5"/>
        <v/>
      </c>
    </row>
    <row r="76" spans="1:9" s="79" customFormat="1" ht="16.5">
      <c r="A76" s="77"/>
      <c r="B76" s="78"/>
      <c r="C76" s="79" t="str">
        <f t="shared" si="3"/>
        <v/>
      </c>
      <c r="D76" s="80"/>
      <c r="E76" s="81"/>
      <c r="F76" s="79" t="str">
        <f t="shared" si="4"/>
        <v/>
      </c>
      <c r="G76" s="80"/>
      <c r="H76" s="81"/>
      <c r="I76" s="79" t="str">
        <f t="shared" si="5"/>
        <v/>
      </c>
    </row>
    <row r="77" spans="1:9" s="79" customFormat="1" ht="16.5">
      <c r="A77" s="77"/>
      <c r="B77" s="78"/>
      <c r="C77" s="79" t="str">
        <f t="shared" si="3"/>
        <v/>
      </c>
      <c r="D77" s="80"/>
      <c r="E77" s="81"/>
      <c r="F77" s="79" t="str">
        <f t="shared" si="4"/>
        <v/>
      </c>
      <c r="G77" s="80"/>
      <c r="H77" s="81"/>
      <c r="I77" s="79" t="str">
        <f t="shared" si="5"/>
        <v/>
      </c>
    </row>
    <row r="78" spans="1:9" s="79" customFormat="1" ht="16.5">
      <c r="A78" s="77"/>
      <c r="B78" s="78"/>
      <c r="C78" s="79" t="str">
        <f t="shared" si="3"/>
        <v/>
      </c>
      <c r="D78" s="80"/>
      <c r="E78" s="81"/>
      <c r="F78" s="79" t="str">
        <f t="shared" si="4"/>
        <v/>
      </c>
      <c r="G78" s="80"/>
      <c r="H78" s="81"/>
      <c r="I78" s="79" t="str">
        <f t="shared" si="5"/>
        <v/>
      </c>
    </row>
    <row r="79" spans="1:9" s="79" customFormat="1" ht="16.5">
      <c r="A79" s="77"/>
      <c r="B79" s="78"/>
      <c r="C79" s="79" t="str">
        <f t="shared" si="3"/>
        <v/>
      </c>
      <c r="D79" s="80"/>
      <c r="E79" s="81"/>
      <c r="F79" s="79" t="str">
        <f t="shared" si="4"/>
        <v/>
      </c>
      <c r="G79" s="80"/>
      <c r="H79" s="81"/>
      <c r="I79" s="79" t="str">
        <f t="shared" si="5"/>
        <v/>
      </c>
    </row>
    <row r="80" spans="1:9" s="79" customFormat="1" ht="16.5">
      <c r="A80" s="77"/>
      <c r="B80" s="78"/>
      <c r="C80" s="79" t="str">
        <f t="shared" si="3"/>
        <v/>
      </c>
      <c r="D80" s="80"/>
      <c r="E80" s="81"/>
      <c r="F80" s="79" t="str">
        <f t="shared" si="4"/>
        <v/>
      </c>
      <c r="G80" s="80"/>
      <c r="H80" s="81"/>
      <c r="I80" s="79" t="str">
        <f t="shared" si="5"/>
        <v/>
      </c>
    </row>
    <row r="81" spans="1:9" s="79" customFormat="1" ht="16.5">
      <c r="A81" s="77"/>
      <c r="B81" s="78"/>
      <c r="C81" s="79" t="str">
        <f t="shared" si="3"/>
        <v/>
      </c>
      <c r="D81" s="80"/>
      <c r="E81" s="81"/>
      <c r="F81" s="79" t="str">
        <f t="shared" si="4"/>
        <v/>
      </c>
      <c r="G81" s="80"/>
      <c r="H81" s="81"/>
      <c r="I81" s="79" t="str">
        <f t="shared" si="5"/>
        <v/>
      </c>
    </row>
    <row r="82" spans="1:9" s="79" customFormat="1" ht="16.5">
      <c r="A82" s="77"/>
      <c r="B82" s="78"/>
      <c r="C82" s="79" t="str">
        <f t="shared" si="3"/>
        <v/>
      </c>
      <c r="D82" s="80"/>
      <c r="E82" s="81"/>
      <c r="F82" s="79" t="str">
        <f t="shared" si="4"/>
        <v/>
      </c>
      <c r="G82" s="80"/>
      <c r="H82" s="81"/>
      <c r="I82" s="79" t="str">
        <f t="shared" si="5"/>
        <v/>
      </c>
    </row>
    <row r="83" spans="1:9" s="79" customFormat="1" ht="16.5">
      <c r="A83" s="77"/>
      <c r="B83" s="78"/>
      <c r="C83" s="79" t="str">
        <f t="shared" si="3"/>
        <v/>
      </c>
      <c r="D83" s="80"/>
      <c r="E83" s="81"/>
      <c r="F83" s="79" t="str">
        <f t="shared" si="4"/>
        <v/>
      </c>
      <c r="G83" s="80"/>
      <c r="H83" s="81"/>
      <c r="I83" s="79" t="str">
        <f t="shared" si="5"/>
        <v/>
      </c>
    </row>
    <row r="84" spans="1:9" s="79" customFormat="1" ht="16.5">
      <c r="A84" s="77"/>
      <c r="B84" s="78"/>
      <c r="C84" s="79" t="str">
        <f t="shared" si="3"/>
        <v/>
      </c>
      <c r="D84" s="80"/>
      <c r="E84" s="81"/>
      <c r="F84" s="79" t="str">
        <f t="shared" si="4"/>
        <v/>
      </c>
      <c r="G84" s="80"/>
      <c r="H84" s="81"/>
      <c r="I84" s="79" t="str">
        <f t="shared" si="5"/>
        <v/>
      </c>
    </row>
    <row r="85" spans="1:9" s="79" customFormat="1" ht="16.5">
      <c r="A85" s="77"/>
      <c r="B85" s="78"/>
      <c r="C85" s="79" t="str">
        <f t="shared" si="3"/>
        <v/>
      </c>
      <c r="D85" s="80"/>
      <c r="E85" s="81"/>
      <c r="F85" s="79" t="str">
        <f t="shared" si="4"/>
        <v/>
      </c>
      <c r="G85" s="80"/>
      <c r="H85" s="81"/>
      <c r="I85" s="79" t="str">
        <f t="shared" si="5"/>
        <v/>
      </c>
    </row>
    <row r="86" spans="1:9" s="79" customFormat="1" ht="16.5">
      <c r="A86" s="77"/>
      <c r="B86" s="78"/>
      <c r="C86" s="79" t="str">
        <f t="shared" si="3"/>
        <v/>
      </c>
      <c r="D86" s="80"/>
      <c r="E86" s="81"/>
      <c r="F86" s="79" t="str">
        <f t="shared" si="4"/>
        <v/>
      </c>
      <c r="G86" s="80"/>
      <c r="H86" s="81"/>
      <c r="I86" s="79" t="str">
        <f t="shared" si="5"/>
        <v/>
      </c>
    </row>
    <row r="87" spans="1:9" s="79" customFormat="1" ht="16.5">
      <c r="A87" s="77"/>
      <c r="B87" s="78"/>
      <c r="C87" s="79" t="str">
        <f t="shared" si="3"/>
        <v/>
      </c>
      <c r="D87" s="80"/>
      <c r="E87" s="81"/>
      <c r="F87" s="79" t="str">
        <f t="shared" si="4"/>
        <v/>
      </c>
      <c r="G87" s="80"/>
      <c r="H87" s="81"/>
      <c r="I87" s="79" t="str">
        <f t="shared" si="5"/>
        <v/>
      </c>
    </row>
    <row r="88" spans="1:9" s="79" customFormat="1" ht="16.5">
      <c r="A88" s="77"/>
      <c r="B88" s="78"/>
      <c r="C88" s="79" t="str">
        <f t="shared" si="3"/>
        <v/>
      </c>
      <c r="D88" s="80"/>
      <c r="E88" s="81"/>
      <c r="F88" s="79" t="str">
        <f t="shared" si="4"/>
        <v/>
      </c>
      <c r="G88" s="80"/>
      <c r="H88" s="81"/>
      <c r="I88" s="79" t="str">
        <f t="shared" si="5"/>
        <v/>
      </c>
    </row>
    <row r="89" spans="1:9" s="79" customFormat="1" ht="16.5">
      <c r="A89" s="77"/>
      <c r="B89" s="78"/>
      <c r="C89" s="79" t="str">
        <f t="shared" si="3"/>
        <v/>
      </c>
      <c r="D89" s="80"/>
      <c r="E89" s="81"/>
      <c r="F89" s="79" t="str">
        <f t="shared" si="4"/>
        <v/>
      </c>
      <c r="G89" s="80"/>
      <c r="H89" s="81"/>
      <c r="I89" s="79" t="str">
        <f t="shared" si="5"/>
        <v/>
      </c>
    </row>
    <row r="90" spans="1:9" s="79" customFormat="1" ht="16.5">
      <c r="A90" s="77"/>
      <c r="B90" s="78"/>
      <c r="C90" s="79" t="str">
        <f t="shared" si="3"/>
        <v/>
      </c>
      <c r="D90" s="80"/>
      <c r="E90" s="81"/>
      <c r="F90" s="79" t="str">
        <f t="shared" si="4"/>
        <v/>
      </c>
      <c r="G90" s="80"/>
      <c r="H90" s="81"/>
      <c r="I90" s="79" t="str">
        <f t="shared" si="5"/>
        <v/>
      </c>
    </row>
    <row r="91" spans="1:9" s="79" customFormat="1" ht="16.5">
      <c r="A91" s="77"/>
      <c r="B91" s="78"/>
      <c r="C91" s="79" t="str">
        <f t="shared" si="3"/>
        <v/>
      </c>
      <c r="D91" s="80"/>
      <c r="E91" s="81"/>
      <c r="F91" s="79" t="str">
        <f t="shared" si="4"/>
        <v/>
      </c>
      <c r="G91" s="80"/>
      <c r="H91" s="81"/>
      <c r="I91" s="79" t="str">
        <f t="shared" si="5"/>
        <v/>
      </c>
    </row>
    <row r="92" spans="1:9" s="79" customFormat="1" ht="16.5">
      <c r="A92" s="77"/>
      <c r="B92" s="78"/>
      <c r="C92" s="79" t="str">
        <f t="shared" si="3"/>
        <v/>
      </c>
      <c r="D92" s="80"/>
      <c r="E92" s="81"/>
      <c r="F92" s="79" t="str">
        <f t="shared" si="4"/>
        <v/>
      </c>
      <c r="G92" s="80"/>
      <c r="H92" s="81"/>
      <c r="I92" s="79" t="str">
        <f t="shared" si="5"/>
        <v/>
      </c>
    </row>
    <row r="93" spans="1:9" s="79" customFormat="1" ht="16.5">
      <c r="A93" s="77"/>
      <c r="B93" s="78"/>
      <c r="C93" s="79" t="str">
        <f t="shared" si="3"/>
        <v/>
      </c>
      <c r="D93" s="80"/>
      <c r="E93" s="81"/>
      <c r="F93" s="79" t="str">
        <f t="shared" si="4"/>
        <v/>
      </c>
      <c r="G93" s="80"/>
      <c r="H93" s="81"/>
      <c r="I93" s="79" t="str">
        <f t="shared" si="5"/>
        <v/>
      </c>
    </row>
    <row r="94" spans="1:9" s="79" customFormat="1" ht="16.5">
      <c r="A94" s="77"/>
      <c r="B94" s="78"/>
      <c r="C94" s="79" t="str">
        <f t="shared" si="3"/>
        <v/>
      </c>
      <c r="D94" s="80"/>
      <c r="E94" s="81"/>
      <c r="F94" s="79" t="str">
        <f t="shared" si="4"/>
        <v/>
      </c>
      <c r="G94" s="80"/>
      <c r="H94" s="81"/>
      <c r="I94" s="79" t="str">
        <f t="shared" si="5"/>
        <v/>
      </c>
    </row>
    <row r="95" spans="1:9" s="79" customFormat="1" ht="16.5">
      <c r="A95" s="77"/>
      <c r="B95" s="78"/>
      <c r="C95" s="79" t="str">
        <f t="shared" si="3"/>
        <v/>
      </c>
      <c r="D95" s="80"/>
      <c r="E95" s="81"/>
      <c r="F95" s="79" t="str">
        <f t="shared" si="4"/>
        <v/>
      </c>
      <c r="G95" s="80"/>
      <c r="H95" s="81"/>
      <c r="I95" s="79" t="str">
        <f t="shared" si="5"/>
        <v/>
      </c>
    </row>
    <row r="96" spans="1:9" s="79" customFormat="1" ht="16.5">
      <c r="A96" s="77"/>
      <c r="B96" s="78"/>
      <c r="C96" s="79" t="str">
        <f t="shared" si="3"/>
        <v/>
      </c>
      <c r="D96" s="80"/>
      <c r="E96" s="81"/>
      <c r="F96" s="79" t="str">
        <f t="shared" si="4"/>
        <v/>
      </c>
      <c r="G96" s="80"/>
      <c r="H96" s="81"/>
      <c r="I96" s="79" t="str">
        <f t="shared" si="5"/>
        <v/>
      </c>
    </row>
    <row r="97" spans="1:9" s="79" customFormat="1" ht="16.5">
      <c r="A97" s="77"/>
      <c r="B97" s="78"/>
      <c r="C97" s="79" t="str">
        <f t="shared" si="3"/>
        <v/>
      </c>
      <c r="D97" s="80"/>
      <c r="E97" s="81"/>
      <c r="F97" s="79" t="str">
        <f t="shared" si="4"/>
        <v/>
      </c>
      <c r="G97" s="80"/>
      <c r="H97" s="81"/>
      <c r="I97" s="79" t="str">
        <f t="shared" si="5"/>
        <v/>
      </c>
    </row>
    <row r="98" spans="1:9" s="79" customFormat="1" ht="16.5">
      <c r="A98" s="77"/>
      <c r="B98" s="78"/>
      <c r="C98" s="79" t="str">
        <f t="shared" si="3"/>
        <v/>
      </c>
      <c r="D98" s="80"/>
      <c r="E98" s="81"/>
      <c r="F98" s="79" t="str">
        <f t="shared" si="4"/>
        <v/>
      </c>
      <c r="G98" s="80"/>
      <c r="H98" s="81"/>
      <c r="I98" s="79" t="str">
        <f t="shared" si="5"/>
        <v/>
      </c>
    </row>
    <row r="99" spans="1:9" s="79" customFormat="1" ht="16.5">
      <c r="A99" s="77"/>
      <c r="B99" s="78"/>
      <c r="C99" s="79" t="str">
        <f t="shared" si="3"/>
        <v/>
      </c>
      <c r="D99" s="80"/>
      <c r="E99" s="81"/>
      <c r="F99" s="79" t="str">
        <f t="shared" si="4"/>
        <v/>
      </c>
      <c r="G99" s="80"/>
      <c r="H99" s="81"/>
      <c r="I99" s="79" t="str">
        <f t="shared" si="5"/>
        <v/>
      </c>
    </row>
    <row r="100" spans="1:9" s="79" customFormat="1" ht="16.5">
      <c r="A100" s="77"/>
      <c r="B100" s="78"/>
      <c r="C100" s="79" t="str">
        <f t="shared" si="3"/>
        <v/>
      </c>
      <c r="D100" s="80"/>
      <c r="E100" s="81"/>
      <c r="F100" s="79" t="str">
        <f t="shared" si="4"/>
        <v/>
      </c>
      <c r="G100" s="80"/>
      <c r="H100" s="81"/>
      <c r="I100" s="79" t="str">
        <f t="shared" si="5"/>
        <v/>
      </c>
    </row>
    <row r="101" spans="1:9" s="79" customFormat="1" ht="16.5">
      <c r="A101" s="77"/>
      <c r="B101" s="78"/>
      <c r="C101" s="79" t="str">
        <f t="shared" si="3"/>
        <v/>
      </c>
      <c r="D101" s="80"/>
      <c r="E101" s="81"/>
      <c r="F101" s="79" t="str">
        <f t="shared" si="4"/>
        <v/>
      </c>
      <c r="G101" s="80"/>
      <c r="H101" s="81"/>
      <c r="I101" s="79" t="str">
        <f t="shared" si="5"/>
        <v/>
      </c>
    </row>
    <row r="102" spans="1:9" s="79" customFormat="1" ht="16.5">
      <c r="A102" s="77"/>
      <c r="B102" s="78"/>
      <c r="C102" s="79" t="str">
        <f t="shared" si="3"/>
        <v/>
      </c>
      <c r="D102" s="80"/>
      <c r="E102" s="81"/>
      <c r="F102" s="79" t="str">
        <f t="shared" si="4"/>
        <v/>
      </c>
      <c r="G102" s="80"/>
      <c r="H102" s="81"/>
      <c r="I102" s="79" t="str">
        <f t="shared" si="5"/>
        <v/>
      </c>
    </row>
    <row r="103" spans="1:9" s="79" customFormat="1" ht="16.5">
      <c r="A103" s="77"/>
      <c r="B103" s="78"/>
      <c r="C103" s="79" t="str">
        <f t="shared" si="3"/>
        <v/>
      </c>
      <c r="D103" s="80"/>
      <c r="E103" s="81"/>
      <c r="F103" s="79" t="str">
        <f t="shared" si="4"/>
        <v/>
      </c>
      <c r="G103" s="80"/>
      <c r="H103" s="81"/>
      <c r="I103" s="79" t="str">
        <f t="shared" si="5"/>
        <v/>
      </c>
    </row>
    <row r="104" spans="1:9" s="79" customFormat="1" ht="16.5">
      <c r="A104" s="77"/>
      <c r="B104" s="78"/>
      <c r="C104" s="79" t="str">
        <f t="shared" si="3"/>
        <v/>
      </c>
      <c r="D104" s="80"/>
      <c r="E104" s="81"/>
      <c r="F104" s="79" t="str">
        <f t="shared" si="4"/>
        <v/>
      </c>
      <c r="G104" s="80"/>
      <c r="H104" s="81"/>
      <c r="I104" s="79" t="str">
        <f t="shared" si="5"/>
        <v/>
      </c>
    </row>
    <row r="105" spans="1:9" s="79" customFormat="1" ht="16.5">
      <c r="A105" s="77"/>
      <c r="B105" s="78"/>
      <c r="C105" s="79" t="str">
        <f t="shared" si="3"/>
        <v/>
      </c>
      <c r="D105" s="80"/>
      <c r="E105" s="81"/>
      <c r="F105" s="79" t="str">
        <f t="shared" si="4"/>
        <v/>
      </c>
      <c r="G105" s="80"/>
      <c r="H105" s="81"/>
      <c r="I105" s="79" t="str">
        <f t="shared" si="5"/>
        <v/>
      </c>
    </row>
    <row r="106" spans="1:9" s="79" customFormat="1" ht="16.5">
      <c r="A106" s="77"/>
      <c r="B106" s="78"/>
      <c r="C106" s="79" t="str">
        <f t="shared" si="3"/>
        <v/>
      </c>
      <c r="D106" s="80"/>
      <c r="E106" s="81"/>
      <c r="F106" s="79" t="str">
        <f t="shared" si="4"/>
        <v/>
      </c>
      <c r="G106" s="80"/>
      <c r="H106" s="81"/>
      <c r="I106" s="79" t="str">
        <f t="shared" si="5"/>
        <v/>
      </c>
    </row>
    <row r="107" spans="1:9" s="79" customFormat="1" ht="16.5">
      <c r="A107" s="77"/>
      <c r="B107" s="78"/>
      <c r="C107" s="79" t="str">
        <f t="shared" si="3"/>
        <v/>
      </c>
      <c r="D107" s="80"/>
      <c r="E107" s="81"/>
      <c r="F107" s="79" t="str">
        <f t="shared" si="4"/>
        <v/>
      </c>
      <c r="G107" s="80"/>
      <c r="H107" s="81"/>
      <c r="I107" s="79" t="str">
        <f t="shared" si="5"/>
        <v/>
      </c>
    </row>
    <row r="108" spans="1:9" s="79" customFormat="1" ht="16.5">
      <c r="A108" s="77"/>
      <c r="B108" s="78"/>
      <c r="C108" s="79" t="str">
        <f t="shared" si="3"/>
        <v/>
      </c>
      <c r="D108" s="80"/>
      <c r="E108" s="81"/>
      <c r="F108" s="79" t="str">
        <f t="shared" si="4"/>
        <v/>
      </c>
      <c r="G108" s="80"/>
      <c r="H108" s="81"/>
      <c r="I108" s="79" t="str">
        <f t="shared" si="5"/>
        <v/>
      </c>
    </row>
    <row r="109" spans="1:9" s="79" customFormat="1" ht="16.5">
      <c r="A109" s="77"/>
      <c r="B109" s="78"/>
      <c r="C109" s="79" t="str">
        <f t="shared" si="3"/>
        <v/>
      </c>
      <c r="D109" s="80"/>
      <c r="E109" s="81"/>
      <c r="F109" s="79" t="str">
        <f t="shared" si="4"/>
        <v/>
      </c>
      <c r="G109" s="80"/>
      <c r="H109" s="81"/>
      <c r="I109" s="79" t="str">
        <f t="shared" si="5"/>
        <v/>
      </c>
    </row>
    <row r="110" spans="1:9" s="79" customFormat="1" ht="16.5">
      <c r="A110" s="77"/>
      <c r="B110" s="78"/>
      <c r="C110" s="79" t="str">
        <f t="shared" si="3"/>
        <v/>
      </c>
      <c r="D110" s="80"/>
      <c r="E110" s="81"/>
      <c r="F110" s="79" t="str">
        <f t="shared" si="4"/>
        <v/>
      </c>
      <c r="G110" s="80"/>
      <c r="H110" s="81"/>
      <c r="I110" s="79" t="str">
        <f t="shared" si="5"/>
        <v/>
      </c>
    </row>
    <row r="111" spans="1:9" s="79" customFormat="1" ht="16.5">
      <c r="A111" s="77"/>
      <c r="B111" s="78"/>
      <c r="C111" s="79" t="str">
        <f t="shared" si="3"/>
        <v/>
      </c>
      <c r="D111" s="80"/>
      <c r="E111" s="81"/>
      <c r="F111" s="79" t="str">
        <f t="shared" si="4"/>
        <v/>
      </c>
      <c r="G111" s="80"/>
      <c r="H111" s="81"/>
      <c r="I111" s="79" t="str">
        <f t="shared" si="5"/>
        <v/>
      </c>
    </row>
    <row r="112" spans="1:9" s="79" customFormat="1" ht="16.5">
      <c r="A112" s="77"/>
      <c r="B112" s="78"/>
      <c r="C112" s="79" t="str">
        <f t="shared" si="3"/>
        <v/>
      </c>
      <c r="D112" s="80"/>
      <c r="E112" s="81"/>
      <c r="F112" s="79" t="str">
        <f t="shared" si="4"/>
        <v/>
      </c>
      <c r="G112" s="80"/>
      <c r="H112" s="81"/>
      <c r="I112" s="79" t="str">
        <f t="shared" si="5"/>
        <v/>
      </c>
    </row>
    <row r="113" spans="1:9" s="79" customFormat="1" ht="16.5">
      <c r="A113" s="77"/>
      <c r="B113" s="78"/>
      <c r="C113" s="79" t="str">
        <f t="shared" si="3"/>
        <v/>
      </c>
      <c r="D113" s="80"/>
      <c r="E113" s="81"/>
      <c r="F113" s="79" t="str">
        <f t="shared" si="4"/>
        <v/>
      </c>
      <c r="G113" s="80"/>
      <c r="H113" s="81"/>
      <c r="I113" s="79" t="str">
        <f t="shared" si="5"/>
        <v/>
      </c>
    </row>
    <row r="114" spans="1:9" s="79" customFormat="1" ht="16.5">
      <c r="A114" s="77"/>
      <c r="B114" s="78"/>
      <c r="C114" s="79" t="str">
        <f t="shared" si="3"/>
        <v/>
      </c>
      <c r="D114" s="80"/>
      <c r="E114" s="81"/>
      <c r="F114" s="79" t="str">
        <f t="shared" si="4"/>
        <v/>
      </c>
      <c r="G114" s="80"/>
      <c r="H114" s="81"/>
      <c r="I114" s="79" t="str">
        <f t="shared" si="5"/>
        <v/>
      </c>
    </row>
    <row r="115" spans="1:9" s="79" customFormat="1" ht="16.5">
      <c r="A115" s="77"/>
      <c r="B115" s="78"/>
      <c r="C115" s="79" t="str">
        <f t="shared" si="3"/>
        <v/>
      </c>
      <c r="D115" s="80"/>
      <c r="E115" s="81"/>
      <c r="F115" s="79" t="str">
        <f t="shared" si="4"/>
        <v/>
      </c>
      <c r="G115" s="80"/>
      <c r="H115" s="81"/>
      <c r="I115" s="79" t="str">
        <f t="shared" si="5"/>
        <v/>
      </c>
    </row>
    <row r="116" spans="1:9" s="79" customFormat="1" ht="16.5">
      <c r="A116" s="77"/>
      <c r="B116" s="78"/>
      <c r="C116" s="79" t="str">
        <f t="shared" si="3"/>
        <v/>
      </c>
      <c r="D116" s="80"/>
      <c r="E116" s="81"/>
      <c r="F116" s="79" t="str">
        <f t="shared" si="4"/>
        <v/>
      </c>
      <c r="G116" s="80"/>
      <c r="H116" s="81"/>
      <c r="I116" s="79" t="str">
        <f t="shared" si="5"/>
        <v/>
      </c>
    </row>
    <row r="117" spans="1:9" s="79" customFormat="1" ht="16.5">
      <c r="A117" s="77"/>
      <c r="B117" s="78"/>
      <c r="C117" s="79" t="str">
        <f t="shared" si="3"/>
        <v/>
      </c>
      <c r="D117" s="80"/>
      <c r="E117" s="81"/>
      <c r="F117" s="79" t="str">
        <f t="shared" si="4"/>
        <v/>
      </c>
      <c r="G117" s="80"/>
      <c r="H117" s="81"/>
      <c r="I117" s="79" t="str">
        <f t="shared" si="5"/>
        <v/>
      </c>
    </row>
    <row r="118" spans="1:9" s="79" customFormat="1" ht="16.5">
      <c r="A118" s="77"/>
      <c r="B118" s="78"/>
      <c r="C118" s="79" t="str">
        <f t="shared" si="3"/>
        <v/>
      </c>
      <c r="D118" s="80"/>
      <c r="E118" s="81"/>
      <c r="F118" s="79" t="str">
        <f t="shared" si="4"/>
        <v/>
      </c>
      <c r="G118" s="80"/>
      <c r="H118" s="81"/>
      <c r="I118" s="79" t="str">
        <f t="shared" si="5"/>
        <v/>
      </c>
    </row>
    <row r="119" spans="1:9" s="79" customFormat="1" ht="16.5">
      <c r="A119" s="77"/>
      <c r="B119" s="78"/>
      <c r="C119" s="79" t="str">
        <f t="shared" si="3"/>
        <v/>
      </c>
      <c r="D119" s="80"/>
      <c r="E119" s="81"/>
      <c r="F119" s="79" t="str">
        <f t="shared" si="4"/>
        <v/>
      </c>
      <c r="G119" s="80"/>
      <c r="H119" s="81"/>
      <c r="I119" s="79" t="str">
        <f t="shared" si="5"/>
        <v/>
      </c>
    </row>
    <row r="120" spans="1:9" s="79" customFormat="1" ht="16.5">
      <c r="A120" s="77"/>
      <c r="B120" s="78"/>
      <c r="C120" s="79" t="str">
        <f t="shared" si="3"/>
        <v/>
      </c>
      <c r="D120" s="80"/>
      <c r="E120" s="81"/>
      <c r="F120" s="79" t="str">
        <f t="shared" si="4"/>
        <v/>
      </c>
      <c r="G120" s="80"/>
      <c r="H120" s="81"/>
      <c r="I120" s="79" t="str">
        <f t="shared" si="5"/>
        <v/>
      </c>
    </row>
    <row r="121" spans="1:9" s="79" customFormat="1" ht="16.5">
      <c r="A121" s="77"/>
      <c r="B121" s="78"/>
      <c r="C121" s="79" t="str">
        <f t="shared" si="3"/>
        <v/>
      </c>
      <c r="D121" s="80"/>
      <c r="E121" s="81"/>
      <c r="F121" s="79" t="str">
        <f t="shared" si="4"/>
        <v/>
      </c>
      <c r="G121" s="80"/>
      <c r="H121" s="81"/>
      <c r="I121" s="79" t="str">
        <f t="shared" si="5"/>
        <v/>
      </c>
    </row>
    <row r="122" spans="1:9" s="79" customFormat="1" ht="16.5">
      <c r="A122" s="77"/>
      <c r="B122" s="78"/>
      <c r="C122" s="79" t="str">
        <f t="shared" si="3"/>
        <v/>
      </c>
      <c r="D122" s="80"/>
      <c r="E122" s="81"/>
      <c r="F122" s="79" t="str">
        <f t="shared" si="4"/>
        <v/>
      </c>
      <c r="G122" s="80"/>
      <c r="H122" s="81"/>
      <c r="I122" s="79" t="str">
        <f t="shared" si="5"/>
        <v/>
      </c>
    </row>
    <row r="123" spans="1:9" s="79" customFormat="1" ht="16.5">
      <c r="A123" s="77"/>
      <c r="B123" s="83"/>
      <c r="C123" s="79" t="str">
        <f t="shared" si="3"/>
        <v/>
      </c>
      <c r="D123" s="80"/>
      <c r="E123" s="81"/>
      <c r="F123" s="79" t="str">
        <f t="shared" si="4"/>
        <v/>
      </c>
      <c r="G123" s="80"/>
      <c r="H123" s="81"/>
      <c r="I123" s="79" t="str">
        <f t="shared" si="5"/>
        <v/>
      </c>
    </row>
    <row r="124" spans="1:9" s="79" customFormat="1" ht="16.5">
      <c r="A124" s="77"/>
      <c r="B124" s="78"/>
      <c r="C124" s="79" t="str">
        <f t="shared" si="3"/>
        <v/>
      </c>
      <c r="D124" s="80"/>
      <c r="E124" s="81"/>
      <c r="F124" s="79" t="str">
        <f t="shared" si="4"/>
        <v/>
      </c>
      <c r="G124" s="80"/>
      <c r="H124" s="81"/>
      <c r="I124" s="79" t="str">
        <f t="shared" si="5"/>
        <v/>
      </c>
    </row>
    <row r="125" spans="1:9" s="79" customFormat="1" ht="16.5">
      <c r="A125" s="77"/>
      <c r="B125" s="78"/>
      <c r="C125" s="79" t="str">
        <f t="shared" si="3"/>
        <v/>
      </c>
      <c r="D125" s="80"/>
      <c r="E125" s="81"/>
      <c r="F125" s="79" t="str">
        <f t="shared" si="4"/>
        <v/>
      </c>
      <c r="G125" s="80"/>
      <c r="H125" s="81"/>
      <c r="I125" s="79" t="str">
        <f t="shared" si="5"/>
        <v/>
      </c>
    </row>
    <row r="126" spans="1:9" s="79" customFormat="1" ht="16.5">
      <c r="A126" s="77"/>
      <c r="B126" s="78"/>
      <c r="C126" s="79" t="str">
        <f t="shared" si="3"/>
        <v/>
      </c>
      <c r="D126" s="80"/>
      <c r="E126" s="81"/>
      <c r="F126" s="79" t="str">
        <f t="shared" si="4"/>
        <v/>
      </c>
      <c r="G126" s="80"/>
      <c r="H126" s="81"/>
      <c r="I126" s="79" t="str">
        <f t="shared" si="5"/>
        <v/>
      </c>
    </row>
    <row r="127" spans="1:9" s="79" customFormat="1" ht="16.5">
      <c r="A127" s="77"/>
      <c r="B127" s="78"/>
      <c r="C127" s="79" t="str">
        <f t="shared" si="3"/>
        <v/>
      </c>
      <c r="D127" s="80"/>
      <c r="E127" s="81"/>
      <c r="F127" s="79" t="str">
        <f t="shared" si="4"/>
        <v/>
      </c>
      <c r="G127" s="80"/>
      <c r="H127" s="81"/>
      <c r="I127" s="79" t="str">
        <f t="shared" si="5"/>
        <v/>
      </c>
    </row>
    <row r="128" spans="1:9" s="79" customFormat="1" ht="16.5">
      <c r="A128" s="77"/>
      <c r="B128" s="78"/>
      <c r="C128" s="79" t="str">
        <f t="shared" si="3"/>
        <v/>
      </c>
      <c r="D128" s="80"/>
      <c r="E128" s="81"/>
      <c r="F128" s="79" t="str">
        <f t="shared" si="4"/>
        <v/>
      </c>
      <c r="G128" s="80"/>
      <c r="H128" s="81"/>
      <c r="I128" s="79" t="str">
        <f t="shared" si="5"/>
        <v/>
      </c>
    </row>
    <row r="129" spans="1:9" s="79" customFormat="1" ht="16.5">
      <c r="A129" s="77"/>
      <c r="B129" s="78"/>
      <c r="C129" s="79" t="str">
        <f t="shared" si="3"/>
        <v/>
      </c>
      <c r="D129" s="80"/>
      <c r="E129" s="81"/>
      <c r="F129" s="79" t="str">
        <f t="shared" si="4"/>
        <v/>
      </c>
      <c r="G129" s="80"/>
      <c r="H129" s="81"/>
      <c r="I129" s="79" t="str">
        <f t="shared" si="5"/>
        <v/>
      </c>
    </row>
    <row r="130" spans="1:9" s="79" customFormat="1" ht="16.5">
      <c r="A130" s="77"/>
      <c r="B130" s="78"/>
      <c r="C130" s="79" t="str">
        <f t="shared" si="3"/>
        <v/>
      </c>
      <c r="D130" s="80"/>
      <c r="E130" s="81"/>
      <c r="F130" s="79" t="str">
        <f t="shared" si="4"/>
        <v/>
      </c>
      <c r="G130" s="80"/>
      <c r="H130" s="81"/>
      <c r="I130" s="79" t="str">
        <f t="shared" si="5"/>
        <v/>
      </c>
    </row>
    <row r="131" spans="1:9" s="79" customFormat="1" ht="16.5">
      <c r="A131" s="77"/>
      <c r="B131" s="78"/>
      <c r="C131" s="79" t="str">
        <f t="shared" si="3"/>
        <v/>
      </c>
      <c r="D131" s="80"/>
      <c r="E131" s="81"/>
      <c r="F131" s="79" t="str">
        <f t="shared" si="4"/>
        <v/>
      </c>
      <c r="G131" s="80"/>
      <c r="H131" s="81"/>
      <c r="I131" s="79" t="str">
        <f t="shared" si="5"/>
        <v/>
      </c>
    </row>
    <row r="132" spans="1:9" s="79" customFormat="1" ht="16.5">
      <c r="A132" s="77"/>
      <c r="B132" s="78"/>
      <c r="C132" s="79" t="str">
        <f t="shared" si="3"/>
        <v/>
      </c>
      <c r="D132" s="80"/>
      <c r="E132" s="81"/>
      <c r="F132" s="79" t="str">
        <f t="shared" si="4"/>
        <v/>
      </c>
      <c r="G132" s="80"/>
      <c r="H132" s="81"/>
      <c r="I132" s="79" t="str">
        <f t="shared" si="5"/>
        <v/>
      </c>
    </row>
    <row r="133" spans="1:9" s="79" customFormat="1" ht="16.5">
      <c r="A133" s="77"/>
      <c r="B133" s="78"/>
      <c r="C133" s="79" t="str">
        <f t="shared" ref="C133:C196" si="6">IF(B133&gt;0,TEXT(B133,"(aaa)"),"")</f>
        <v/>
      </c>
      <c r="D133" s="80"/>
      <c r="E133" s="81"/>
      <c r="F133" s="79" t="str">
        <f t="shared" ref="F133:F196" si="7">IF(E133&gt;0,TEXT(E133,"(aaa)"),"")</f>
        <v/>
      </c>
      <c r="G133" s="80"/>
      <c r="H133" s="81"/>
      <c r="I133" s="79" t="str">
        <f t="shared" ref="I133:I196" si="8">IF(H133&gt;0,TEXT(H133,"(aaa)"),"")</f>
        <v/>
      </c>
    </row>
    <row r="134" spans="1:9" s="79" customFormat="1" ht="16.5">
      <c r="A134" s="77"/>
      <c r="B134" s="78"/>
      <c r="C134" s="79" t="str">
        <f t="shared" si="6"/>
        <v/>
      </c>
      <c r="D134" s="80"/>
      <c r="E134" s="81"/>
      <c r="F134" s="79" t="str">
        <f t="shared" si="7"/>
        <v/>
      </c>
      <c r="G134" s="80"/>
      <c r="H134" s="81"/>
      <c r="I134" s="79" t="str">
        <f t="shared" si="8"/>
        <v/>
      </c>
    </row>
    <row r="135" spans="1:9" s="79" customFormat="1" ht="16.5">
      <c r="A135" s="77"/>
      <c r="B135" s="78"/>
      <c r="C135" s="79" t="str">
        <f t="shared" si="6"/>
        <v/>
      </c>
      <c r="D135" s="80"/>
      <c r="E135" s="81"/>
      <c r="F135" s="79" t="str">
        <f t="shared" si="7"/>
        <v/>
      </c>
      <c r="G135" s="80"/>
      <c r="H135" s="81"/>
      <c r="I135" s="79" t="str">
        <f t="shared" si="8"/>
        <v/>
      </c>
    </row>
    <row r="136" spans="1:9" s="79" customFormat="1" ht="16.5">
      <c r="A136" s="77"/>
      <c r="B136" s="78"/>
      <c r="C136" s="79" t="str">
        <f t="shared" si="6"/>
        <v/>
      </c>
      <c r="D136" s="80"/>
      <c r="E136" s="81"/>
      <c r="F136" s="79" t="str">
        <f t="shared" si="7"/>
        <v/>
      </c>
      <c r="G136" s="80"/>
      <c r="H136" s="81"/>
      <c r="I136" s="79" t="str">
        <f t="shared" si="8"/>
        <v/>
      </c>
    </row>
    <row r="137" spans="1:9" s="79" customFormat="1" ht="16.5">
      <c r="A137" s="77"/>
      <c r="B137" s="78"/>
      <c r="C137" s="79" t="str">
        <f t="shared" si="6"/>
        <v/>
      </c>
      <c r="D137" s="80"/>
      <c r="E137" s="81"/>
      <c r="F137" s="79" t="str">
        <f t="shared" si="7"/>
        <v/>
      </c>
      <c r="G137" s="80"/>
      <c r="H137" s="81"/>
      <c r="I137" s="79" t="str">
        <f t="shared" si="8"/>
        <v/>
      </c>
    </row>
    <row r="138" spans="1:9" s="79" customFormat="1" ht="16.5">
      <c r="A138" s="77"/>
      <c r="B138" s="78"/>
      <c r="C138" s="79" t="str">
        <f t="shared" si="6"/>
        <v/>
      </c>
      <c r="D138" s="80"/>
      <c r="E138" s="81"/>
      <c r="F138" s="79" t="str">
        <f t="shared" si="7"/>
        <v/>
      </c>
      <c r="G138" s="80"/>
      <c r="H138" s="81"/>
      <c r="I138" s="79" t="str">
        <f t="shared" si="8"/>
        <v/>
      </c>
    </row>
    <row r="139" spans="1:9" s="79" customFormat="1" ht="16.5">
      <c r="A139" s="77"/>
      <c r="B139" s="78"/>
      <c r="C139" s="79" t="str">
        <f t="shared" si="6"/>
        <v/>
      </c>
      <c r="D139" s="80"/>
      <c r="E139" s="81"/>
      <c r="F139" s="79" t="str">
        <f t="shared" si="7"/>
        <v/>
      </c>
      <c r="G139" s="80"/>
      <c r="H139" s="81"/>
      <c r="I139" s="79" t="str">
        <f t="shared" si="8"/>
        <v/>
      </c>
    </row>
    <row r="140" spans="1:9" s="79" customFormat="1" ht="16.5">
      <c r="A140" s="77"/>
      <c r="B140" s="78"/>
      <c r="C140" s="79" t="str">
        <f t="shared" si="6"/>
        <v/>
      </c>
      <c r="D140" s="80"/>
      <c r="E140" s="81"/>
      <c r="F140" s="79" t="str">
        <f t="shared" si="7"/>
        <v/>
      </c>
      <c r="G140" s="80"/>
      <c r="H140" s="81"/>
      <c r="I140" s="79" t="str">
        <f t="shared" si="8"/>
        <v/>
      </c>
    </row>
    <row r="141" spans="1:9" s="79" customFormat="1" ht="16.5">
      <c r="A141" s="77"/>
      <c r="B141" s="78"/>
      <c r="C141" s="79" t="str">
        <f t="shared" si="6"/>
        <v/>
      </c>
      <c r="D141" s="80"/>
      <c r="E141" s="81"/>
      <c r="F141" s="79" t="str">
        <f t="shared" si="7"/>
        <v/>
      </c>
      <c r="G141" s="80"/>
      <c r="H141" s="81"/>
      <c r="I141" s="79" t="str">
        <f t="shared" si="8"/>
        <v/>
      </c>
    </row>
    <row r="142" spans="1:9" s="79" customFormat="1" ht="16.5">
      <c r="A142" s="77"/>
      <c r="B142" s="78"/>
      <c r="C142" s="79" t="str">
        <f t="shared" si="6"/>
        <v/>
      </c>
      <c r="D142" s="80"/>
      <c r="E142" s="81"/>
      <c r="F142" s="79" t="str">
        <f t="shared" si="7"/>
        <v/>
      </c>
      <c r="G142" s="80"/>
      <c r="H142" s="81"/>
      <c r="I142" s="79" t="str">
        <f t="shared" si="8"/>
        <v/>
      </c>
    </row>
    <row r="143" spans="1:9" s="79" customFormat="1" ht="16.5">
      <c r="A143" s="77"/>
      <c r="B143" s="78"/>
      <c r="C143" s="79" t="str">
        <f t="shared" si="6"/>
        <v/>
      </c>
      <c r="D143" s="80"/>
      <c r="E143" s="81"/>
      <c r="F143" s="79" t="str">
        <f t="shared" si="7"/>
        <v/>
      </c>
      <c r="G143" s="80"/>
      <c r="H143" s="81"/>
      <c r="I143" s="79" t="str">
        <f t="shared" si="8"/>
        <v/>
      </c>
    </row>
    <row r="144" spans="1:9" s="79" customFormat="1" ht="16.5">
      <c r="A144" s="77"/>
      <c r="B144" s="78"/>
      <c r="C144" s="79" t="str">
        <f t="shared" si="6"/>
        <v/>
      </c>
      <c r="D144" s="80"/>
      <c r="E144" s="81"/>
      <c r="F144" s="79" t="str">
        <f t="shared" si="7"/>
        <v/>
      </c>
      <c r="G144" s="80"/>
      <c r="H144" s="81"/>
      <c r="I144" s="79" t="str">
        <f t="shared" si="8"/>
        <v/>
      </c>
    </row>
    <row r="145" spans="1:9" s="79" customFormat="1" ht="16.5">
      <c r="A145" s="77"/>
      <c r="B145" s="78"/>
      <c r="C145" s="79" t="str">
        <f t="shared" si="6"/>
        <v/>
      </c>
      <c r="D145" s="80"/>
      <c r="E145" s="81"/>
      <c r="F145" s="79" t="str">
        <f t="shared" si="7"/>
        <v/>
      </c>
      <c r="G145" s="80"/>
      <c r="H145" s="81"/>
      <c r="I145" s="79" t="str">
        <f t="shared" si="8"/>
        <v/>
      </c>
    </row>
    <row r="146" spans="1:9" s="79" customFormat="1" ht="16.5">
      <c r="A146" s="77"/>
      <c r="B146" s="78"/>
      <c r="C146" s="79" t="str">
        <f t="shared" si="6"/>
        <v/>
      </c>
      <c r="D146" s="80"/>
      <c r="E146" s="81"/>
      <c r="F146" s="79" t="str">
        <f t="shared" si="7"/>
        <v/>
      </c>
      <c r="G146" s="80"/>
      <c r="H146" s="81"/>
      <c r="I146" s="79" t="str">
        <f t="shared" si="8"/>
        <v/>
      </c>
    </row>
    <row r="147" spans="1:9" s="79" customFormat="1" ht="16.5">
      <c r="A147" s="77"/>
      <c r="B147" s="78"/>
      <c r="C147" s="79" t="str">
        <f t="shared" si="6"/>
        <v/>
      </c>
      <c r="D147" s="80"/>
      <c r="E147" s="81"/>
      <c r="F147" s="79" t="str">
        <f t="shared" si="7"/>
        <v/>
      </c>
      <c r="G147" s="80"/>
      <c r="H147" s="81"/>
      <c r="I147" s="79" t="str">
        <f t="shared" si="8"/>
        <v/>
      </c>
    </row>
    <row r="148" spans="1:9" s="79" customFormat="1" ht="16.5">
      <c r="A148" s="77"/>
      <c r="B148" s="78"/>
      <c r="C148" s="79" t="str">
        <f t="shared" si="6"/>
        <v/>
      </c>
      <c r="D148" s="80"/>
      <c r="E148" s="81"/>
      <c r="F148" s="79" t="str">
        <f t="shared" si="7"/>
        <v/>
      </c>
      <c r="G148" s="80"/>
      <c r="H148" s="81"/>
      <c r="I148" s="79" t="str">
        <f t="shared" si="8"/>
        <v/>
      </c>
    </row>
    <row r="149" spans="1:9" s="79" customFormat="1" ht="16.5">
      <c r="A149" s="77"/>
      <c r="B149" s="78"/>
      <c r="C149" s="79" t="str">
        <f t="shared" si="6"/>
        <v/>
      </c>
      <c r="D149" s="80"/>
      <c r="E149" s="81"/>
      <c r="F149" s="79" t="str">
        <f t="shared" si="7"/>
        <v/>
      </c>
      <c r="G149" s="80"/>
      <c r="H149" s="81"/>
      <c r="I149" s="79" t="str">
        <f t="shared" si="8"/>
        <v/>
      </c>
    </row>
    <row r="150" spans="1:9" s="79" customFormat="1" ht="16.5">
      <c r="A150" s="77"/>
      <c r="B150" s="78"/>
      <c r="C150" s="79" t="str">
        <f t="shared" si="6"/>
        <v/>
      </c>
      <c r="D150" s="80"/>
      <c r="E150" s="81"/>
      <c r="F150" s="79" t="str">
        <f t="shared" si="7"/>
        <v/>
      </c>
      <c r="G150" s="80"/>
      <c r="H150" s="81"/>
      <c r="I150" s="79" t="str">
        <f t="shared" si="8"/>
        <v/>
      </c>
    </row>
    <row r="151" spans="1:9" s="79" customFormat="1" ht="16.5">
      <c r="A151" s="77"/>
      <c r="B151" s="78"/>
      <c r="C151" s="79" t="str">
        <f t="shared" si="6"/>
        <v/>
      </c>
      <c r="D151" s="80"/>
      <c r="E151" s="81"/>
      <c r="F151" s="79" t="str">
        <f t="shared" si="7"/>
        <v/>
      </c>
      <c r="G151" s="80"/>
      <c r="H151" s="81"/>
      <c r="I151" s="79" t="str">
        <f t="shared" si="8"/>
        <v/>
      </c>
    </row>
    <row r="152" spans="1:9" s="79" customFormat="1" ht="16.5">
      <c r="A152" s="77"/>
      <c r="B152" s="78"/>
      <c r="C152" s="79" t="str">
        <f t="shared" si="6"/>
        <v/>
      </c>
      <c r="D152" s="80"/>
      <c r="E152" s="81"/>
      <c r="F152" s="79" t="str">
        <f t="shared" si="7"/>
        <v/>
      </c>
      <c r="G152" s="80"/>
      <c r="H152" s="81"/>
      <c r="I152" s="79" t="str">
        <f t="shared" si="8"/>
        <v/>
      </c>
    </row>
    <row r="153" spans="1:9" s="79" customFormat="1" ht="16.5">
      <c r="A153" s="77"/>
      <c r="B153" s="78"/>
      <c r="C153" s="79" t="str">
        <f t="shared" si="6"/>
        <v/>
      </c>
      <c r="D153" s="80"/>
      <c r="E153" s="81"/>
      <c r="F153" s="79" t="str">
        <f t="shared" si="7"/>
        <v/>
      </c>
      <c r="G153" s="80"/>
      <c r="H153" s="81"/>
      <c r="I153" s="79" t="str">
        <f t="shared" si="8"/>
        <v/>
      </c>
    </row>
    <row r="154" spans="1:9" s="79" customFormat="1" ht="16.5">
      <c r="A154" s="77"/>
      <c r="B154" s="78"/>
      <c r="C154" s="79" t="str">
        <f t="shared" si="6"/>
        <v/>
      </c>
      <c r="D154" s="80"/>
      <c r="E154" s="81"/>
      <c r="F154" s="79" t="str">
        <f t="shared" si="7"/>
        <v/>
      </c>
      <c r="G154" s="80"/>
      <c r="H154" s="81"/>
      <c r="I154" s="79" t="str">
        <f t="shared" si="8"/>
        <v/>
      </c>
    </row>
    <row r="155" spans="1:9" s="79" customFormat="1" ht="16.5">
      <c r="A155" s="77"/>
      <c r="B155" s="78"/>
      <c r="C155" s="79" t="str">
        <f t="shared" si="6"/>
        <v/>
      </c>
      <c r="D155" s="80"/>
      <c r="E155" s="81"/>
      <c r="F155" s="79" t="str">
        <f t="shared" si="7"/>
        <v/>
      </c>
      <c r="G155" s="80"/>
      <c r="H155" s="81"/>
      <c r="I155" s="79" t="str">
        <f t="shared" si="8"/>
        <v/>
      </c>
    </row>
    <row r="156" spans="1:9" s="79" customFormat="1" ht="16.5">
      <c r="A156" s="77"/>
      <c r="B156" s="78"/>
      <c r="C156" s="79" t="str">
        <f t="shared" si="6"/>
        <v/>
      </c>
      <c r="D156" s="80"/>
      <c r="E156" s="81"/>
      <c r="F156" s="79" t="str">
        <f t="shared" si="7"/>
        <v/>
      </c>
      <c r="G156" s="80"/>
      <c r="H156" s="81"/>
      <c r="I156" s="79" t="str">
        <f t="shared" si="8"/>
        <v/>
      </c>
    </row>
    <row r="157" spans="1:9" s="79" customFormat="1" ht="16.5">
      <c r="A157" s="77"/>
      <c r="B157" s="78"/>
      <c r="C157" s="79" t="str">
        <f t="shared" si="6"/>
        <v/>
      </c>
      <c r="D157" s="80"/>
      <c r="E157" s="81"/>
      <c r="F157" s="79" t="str">
        <f t="shared" si="7"/>
        <v/>
      </c>
      <c r="G157" s="80"/>
      <c r="H157" s="81"/>
      <c r="I157" s="79" t="str">
        <f t="shared" si="8"/>
        <v/>
      </c>
    </row>
    <row r="158" spans="1:9" s="79" customFormat="1" ht="16.5">
      <c r="A158" s="77"/>
      <c r="B158" s="78"/>
      <c r="C158" s="79" t="str">
        <f t="shared" si="6"/>
        <v/>
      </c>
      <c r="D158" s="80"/>
      <c r="E158" s="81"/>
      <c r="F158" s="79" t="str">
        <f t="shared" si="7"/>
        <v/>
      </c>
      <c r="G158" s="80"/>
      <c r="H158" s="81"/>
      <c r="I158" s="79" t="str">
        <f t="shared" si="8"/>
        <v/>
      </c>
    </row>
    <row r="159" spans="1:9" s="79" customFormat="1" ht="16.5">
      <c r="A159" s="77"/>
      <c r="B159" s="78"/>
      <c r="C159" s="79" t="str">
        <f t="shared" si="6"/>
        <v/>
      </c>
      <c r="D159" s="80"/>
      <c r="E159" s="81"/>
      <c r="F159" s="79" t="str">
        <f t="shared" si="7"/>
        <v/>
      </c>
      <c r="G159" s="80"/>
      <c r="H159" s="81"/>
      <c r="I159" s="79" t="str">
        <f t="shared" si="8"/>
        <v/>
      </c>
    </row>
    <row r="160" spans="1:9" s="79" customFormat="1" ht="16.5">
      <c r="A160" s="77"/>
      <c r="B160" s="78"/>
      <c r="C160" s="79" t="str">
        <f t="shared" si="6"/>
        <v/>
      </c>
      <c r="D160" s="80"/>
      <c r="E160" s="81"/>
      <c r="F160" s="79" t="str">
        <f t="shared" si="7"/>
        <v/>
      </c>
      <c r="G160" s="80"/>
      <c r="H160" s="81"/>
      <c r="I160" s="79" t="str">
        <f t="shared" si="8"/>
        <v/>
      </c>
    </row>
    <row r="161" spans="1:9" s="79" customFormat="1" ht="16.5">
      <c r="A161" s="77"/>
      <c r="B161" s="78"/>
      <c r="C161" s="79" t="str">
        <f t="shared" si="6"/>
        <v/>
      </c>
      <c r="D161" s="80"/>
      <c r="E161" s="81"/>
      <c r="F161" s="79" t="str">
        <f t="shared" si="7"/>
        <v/>
      </c>
      <c r="G161" s="80"/>
      <c r="H161" s="81"/>
      <c r="I161" s="79" t="str">
        <f t="shared" si="8"/>
        <v/>
      </c>
    </row>
    <row r="162" spans="1:9" s="79" customFormat="1" ht="16.5">
      <c r="A162" s="77"/>
      <c r="B162" s="78"/>
      <c r="C162" s="79" t="str">
        <f t="shared" si="6"/>
        <v/>
      </c>
      <c r="D162" s="80"/>
      <c r="E162" s="81"/>
      <c r="F162" s="79" t="str">
        <f t="shared" si="7"/>
        <v/>
      </c>
      <c r="G162" s="80"/>
      <c r="H162" s="81"/>
      <c r="I162" s="79" t="str">
        <f t="shared" si="8"/>
        <v/>
      </c>
    </row>
    <row r="163" spans="1:9" s="79" customFormat="1" ht="16.5">
      <c r="A163" s="77"/>
      <c r="B163" s="78"/>
      <c r="C163" s="79" t="str">
        <f t="shared" si="6"/>
        <v/>
      </c>
      <c r="D163" s="80"/>
      <c r="E163" s="81"/>
      <c r="F163" s="79" t="str">
        <f t="shared" si="7"/>
        <v/>
      </c>
      <c r="G163" s="80"/>
      <c r="H163" s="81"/>
      <c r="I163" s="79" t="str">
        <f t="shared" si="8"/>
        <v/>
      </c>
    </row>
    <row r="164" spans="1:9" s="79" customFormat="1" ht="16.5">
      <c r="A164" s="77"/>
      <c r="B164" s="78"/>
      <c r="C164" s="79" t="str">
        <f t="shared" si="6"/>
        <v/>
      </c>
      <c r="D164" s="80"/>
      <c r="E164" s="81"/>
      <c r="F164" s="79" t="str">
        <f t="shared" si="7"/>
        <v/>
      </c>
      <c r="G164" s="80"/>
      <c r="H164" s="81"/>
      <c r="I164" s="79" t="str">
        <f t="shared" si="8"/>
        <v/>
      </c>
    </row>
    <row r="165" spans="1:9" s="79" customFormat="1" ht="16.5">
      <c r="A165" s="77"/>
      <c r="B165" s="78"/>
      <c r="C165" s="79" t="str">
        <f t="shared" si="6"/>
        <v/>
      </c>
      <c r="D165" s="80"/>
      <c r="E165" s="81"/>
      <c r="F165" s="79" t="str">
        <f t="shared" si="7"/>
        <v/>
      </c>
      <c r="G165" s="80"/>
      <c r="H165" s="81"/>
      <c r="I165" s="79" t="str">
        <f t="shared" si="8"/>
        <v/>
      </c>
    </row>
    <row r="166" spans="1:9" s="79" customFormat="1" ht="16.5">
      <c r="A166" s="77"/>
      <c r="B166" s="78"/>
      <c r="C166" s="79" t="str">
        <f t="shared" si="6"/>
        <v/>
      </c>
      <c r="D166" s="80"/>
      <c r="E166" s="81"/>
      <c r="F166" s="79" t="str">
        <f t="shared" si="7"/>
        <v/>
      </c>
      <c r="G166" s="80"/>
      <c r="H166" s="81"/>
      <c r="I166" s="79" t="str">
        <f t="shared" si="8"/>
        <v/>
      </c>
    </row>
    <row r="167" spans="1:9" s="79" customFormat="1" ht="16.5">
      <c r="A167" s="77"/>
      <c r="B167" s="78"/>
      <c r="C167" s="79" t="str">
        <f t="shared" si="6"/>
        <v/>
      </c>
      <c r="D167" s="80"/>
      <c r="E167" s="81"/>
      <c r="F167" s="79" t="str">
        <f t="shared" si="7"/>
        <v/>
      </c>
      <c r="G167" s="80"/>
      <c r="H167" s="81"/>
      <c r="I167" s="79" t="str">
        <f t="shared" si="8"/>
        <v/>
      </c>
    </row>
    <row r="168" spans="1:9" s="79" customFormat="1" ht="16.5">
      <c r="A168" s="77"/>
      <c r="B168" s="78"/>
      <c r="C168" s="79" t="str">
        <f t="shared" si="6"/>
        <v/>
      </c>
      <c r="D168" s="80"/>
      <c r="E168" s="81"/>
      <c r="F168" s="79" t="str">
        <f t="shared" si="7"/>
        <v/>
      </c>
      <c r="G168" s="80"/>
      <c r="H168" s="81"/>
      <c r="I168" s="79" t="str">
        <f t="shared" si="8"/>
        <v/>
      </c>
    </row>
    <row r="169" spans="1:9" s="79" customFormat="1" ht="16.5">
      <c r="A169" s="77"/>
      <c r="B169" s="78"/>
      <c r="C169" s="79" t="str">
        <f t="shared" si="6"/>
        <v/>
      </c>
      <c r="D169" s="80"/>
      <c r="E169" s="81"/>
      <c r="F169" s="79" t="str">
        <f t="shared" si="7"/>
        <v/>
      </c>
      <c r="G169" s="80"/>
      <c r="H169" s="81"/>
      <c r="I169" s="79" t="str">
        <f t="shared" si="8"/>
        <v/>
      </c>
    </row>
    <row r="170" spans="1:9" s="79" customFormat="1" ht="16.5">
      <c r="A170" s="77"/>
      <c r="B170" s="78"/>
      <c r="C170" s="79" t="str">
        <f t="shared" si="6"/>
        <v/>
      </c>
      <c r="D170" s="80"/>
      <c r="E170" s="81"/>
      <c r="F170" s="79" t="str">
        <f t="shared" si="7"/>
        <v/>
      </c>
      <c r="G170" s="80"/>
      <c r="H170" s="81"/>
      <c r="I170" s="79" t="str">
        <f t="shared" si="8"/>
        <v/>
      </c>
    </row>
    <row r="171" spans="1:9" s="79" customFormat="1" ht="16.5">
      <c r="A171" s="77"/>
      <c r="B171" s="78"/>
      <c r="C171" s="79" t="str">
        <f t="shared" si="6"/>
        <v/>
      </c>
      <c r="D171" s="80"/>
      <c r="E171" s="81"/>
      <c r="F171" s="79" t="str">
        <f t="shared" si="7"/>
        <v/>
      </c>
      <c r="G171" s="80"/>
      <c r="H171" s="81"/>
      <c r="I171" s="79" t="str">
        <f t="shared" si="8"/>
        <v/>
      </c>
    </row>
    <row r="172" spans="1:9" s="79" customFormat="1" ht="16.5">
      <c r="A172" s="77"/>
      <c r="B172" s="78"/>
      <c r="C172" s="79" t="str">
        <f t="shared" si="6"/>
        <v/>
      </c>
      <c r="D172" s="80"/>
      <c r="E172" s="81"/>
      <c r="F172" s="79" t="str">
        <f t="shared" si="7"/>
        <v/>
      </c>
      <c r="G172" s="80"/>
      <c r="H172" s="81"/>
      <c r="I172" s="79" t="str">
        <f t="shared" si="8"/>
        <v/>
      </c>
    </row>
    <row r="173" spans="1:9" s="79" customFormat="1" ht="16.5">
      <c r="A173" s="77"/>
      <c r="B173" s="78"/>
      <c r="C173" s="79" t="str">
        <f t="shared" si="6"/>
        <v/>
      </c>
      <c r="D173" s="80"/>
      <c r="E173" s="81"/>
      <c r="F173" s="79" t="str">
        <f t="shared" si="7"/>
        <v/>
      </c>
      <c r="G173" s="80"/>
      <c r="H173" s="81"/>
      <c r="I173" s="79" t="str">
        <f t="shared" si="8"/>
        <v/>
      </c>
    </row>
    <row r="174" spans="1:9" s="79" customFormat="1" ht="16.5">
      <c r="A174" s="77"/>
      <c r="B174" s="78"/>
      <c r="C174" s="79" t="str">
        <f t="shared" si="6"/>
        <v/>
      </c>
      <c r="D174" s="80"/>
      <c r="E174" s="81"/>
      <c r="F174" s="79" t="str">
        <f t="shared" si="7"/>
        <v/>
      </c>
      <c r="G174" s="80"/>
      <c r="H174" s="81"/>
      <c r="I174" s="79" t="str">
        <f t="shared" si="8"/>
        <v/>
      </c>
    </row>
    <row r="175" spans="1:9" s="79" customFormat="1" ht="16.5">
      <c r="A175" s="77"/>
      <c r="B175" s="78"/>
      <c r="C175" s="79" t="str">
        <f t="shared" si="6"/>
        <v/>
      </c>
      <c r="D175" s="80"/>
      <c r="E175" s="81"/>
      <c r="F175" s="79" t="str">
        <f t="shared" si="7"/>
        <v/>
      </c>
      <c r="G175" s="80"/>
      <c r="H175" s="81"/>
      <c r="I175" s="79" t="str">
        <f t="shared" si="8"/>
        <v/>
      </c>
    </row>
    <row r="176" spans="1:9" s="79" customFormat="1" ht="16.5">
      <c r="A176" s="77"/>
      <c r="B176" s="78"/>
      <c r="C176" s="79" t="str">
        <f t="shared" si="6"/>
        <v/>
      </c>
      <c r="D176" s="80"/>
      <c r="E176" s="81"/>
      <c r="F176" s="79" t="str">
        <f t="shared" si="7"/>
        <v/>
      </c>
      <c r="G176" s="80"/>
      <c r="H176" s="81"/>
      <c r="I176" s="79" t="str">
        <f t="shared" si="8"/>
        <v/>
      </c>
    </row>
    <row r="177" spans="1:9" s="79" customFormat="1" ht="16.5">
      <c r="A177" s="77"/>
      <c r="B177" s="78"/>
      <c r="C177" s="79" t="str">
        <f t="shared" si="6"/>
        <v/>
      </c>
      <c r="D177" s="80"/>
      <c r="E177" s="81"/>
      <c r="F177" s="79" t="str">
        <f t="shared" si="7"/>
        <v/>
      </c>
      <c r="G177" s="80"/>
      <c r="H177" s="81"/>
      <c r="I177" s="79" t="str">
        <f t="shared" si="8"/>
        <v/>
      </c>
    </row>
    <row r="178" spans="1:9" s="79" customFormat="1" ht="16.5">
      <c r="A178" s="77"/>
      <c r="B178" s="78"/>
      <c r="C178" s="79" t="str">
        <f t="shared" si="6"/>
        <v/>
      </c>
      <c r="D178" s="80"/>
      <c r="E178" s="81"/>
      <c r="F178" s="79" t="str">
        <f t="shared" si="7"/>
        <v/>
      </c>
      <c r="G178" s="80"/>
      <c r="H178" s="81"/>
      <c r="I178" s="79" t="str">
        <f t="shared" si="8"/>
        <v/>
      </c>
    </row>
    <row r="179" spans="1:9" s="79" customFormat="1" ht="16.5">
      <c r="A179" s="77"/>
      <c r="B179" s="78"/>
      <c r="C179" s="79" t="str">
        <f t="shared" si="6"/>
        <v/>
      </c>
      <c r="D179" s="80"/>
      <c r="E179" s="81"/>
      <c r="F179" s="79" t="str">
        <f t="shared" si="7"/>
        <v/>
      </c>
      <c r="G179" s="80"/>
      <c r="H179" s="81"/>
      <c r="I179" s="79" t="str">
        <f t="shared" si="8"/>
        <v/>
      </c>
    </row>
    <row r="180" spans="1:9" s="79" customFormat="1" ht="16.5">
      <c r="A180" s="77"/>
      <c r="B180" s="78"/>
      <c r="C180" s="79" t="str">
        <f t="shared" si="6"/>
        <v/>
      </c>
      <c r="D180" s="80"/>
      <c r="E180" s="81"/>
      <c r="F180" s="79" t="str">
        <f t="shared" si="7"/>
        <v/>
      </c>
      <c r="G180" s="80"/>
      <c r="H180" s="81"/>
      <c r="I180" s="79" t="str">
        <f t="shared" si="8"/>
        <v/>
      </c>
    </row>
    <row r="181" spans="1:9" s="79" customFormat="1" ht="16.5">
      <c r="A181" s="77"/>
      <c r="B181" s="78"/>
      <c r="C181" s="79" t="str">
        <f t="shared" si="6"/>
        <v/>
      </c>
      <c r="D181" s="80"/>
      <c r="E181" s="81"/>
      <c r="F181" s="79" t="str">
        <f t="shared" si="7"/>
        <v/>
      </c>
      <c r="G181" s="80"/>
      <c r="H181" s="81"/>
      <c r="I181" s="79" t="str">
        <f t="shared" si="8"/>
        <v/>
      </c>
    </row>
    <row r="182" spans="1:9" s="79" customFormat="1" ht="16.5">
      <c r="A182" s="77"/>
      <c r="B182" s="78"/>
      <c r="C182" s="79" t="str">
        <f t="shared" si="6"/>
        <v/>
      </c>
      <c r="D182" s="80"/>
      <c r="E182" s="81"/>
      <c r="F182" s="79" t="str">
        <f t="shared" si="7"/>
        <v/>
      </c>
      <c r="G182" s="80"/>
      <c r="H182" s="81"/>
      <c r="I182" s="79" t="str">
        <f t="shared" si="8"/>
        <v/>
      </c>
    </row>
    <row r="183" spans="1:9" s="79" customFormat="1" ht="16.5">
      <c r="A183" s="77"/>
      <c r="B183" s="78"/>
      <c r="C183" s="79" t="str">
        <f t="shared" si="6"/>
        <v/>
      </c>
      <c r="D183" s="80"/>
      <c r="E183" s="81"/>
      <c r="F183" s="79" t="str">
        <f t="shared" si="7"/>
        <v/>
      </c>
      <c r="G183" s="80"/>
      <c r="H183" s="81"/>
      <c r="I183" s="79" t="str">
        <f t="shared" si="8"/>
        <v/>
      </c>
    </row>
    <row r="184" spans="1:9" s="79" customFormat="1" ht="16.5">
      <c r="A184" s="77"/>
      <c r="B184" s="78"/>
      <c r="C184" s="79" t="str">
        <f t="shared" si="6"/>
        <v/>
      </c>
      <c r="D184" s="80"/>
      <c r="E184" s="81"/>
      <c r="F184" s="79" t="str">
        <f t="shared" si="7"/>
        <v/>
      </c>
      <c r="G184" s="80"/>
      <c r="H184" s="81"/>
      <c r="I184" s="79" t="str">
        <f t="shared" si="8"/>
        <v/>
      </c>
    </row>
    <row r="185" spans="1:9" s="79" customFormat="1" ht="16.5">
      <c r="A185" s="77"/>
      <c r="B185" s="78"/>
      <c r="C185" s="79" t="str">
        <f t="shared" si="6"/>
        <v/>
      </c>
      <c r="D185" s="80"/>
      <c r="E185" s="81"/>
      <c r="F185" s="79" t="str">
        <f t="shared" si="7"/>
        <v/>
      </c>
      <c r="G185" s="80"/>
      <c r="H185" s="81"/>
      <c r="I185" s="79" t="str">
        <f t="shared" si="8"/>
        <v/>
      </c>
    </row>
    <row r="186" spans="1:9" s="79" customFormat="1" ht="16.5">
      <c r="A186" s="77"/>
      <c r="B186" s="78"/>
      <c r="C186" s="79" t="str">
        <f t="shared" si="6"/>
        <v/>
      </c>
      <c r="D186" s="80"/>
      <c r="E186" s="81"/>
      <c r="F186" s="79" t="str">
        <f t="shared" si="7"/>
        <v/>
      </c>
      <c r="G186" s="80"/>
      <c r="H186" s="81"/>
      <c r="I186" s="79" t="str">
        <f t="shared" si="8"/>
        <v/>
      </c>
    </row>
    <row r="187" spans="1:9" s="79" customFormat="1" ht="16.5">
      <c r="A187" s="77"/>
      <c r="B187" s="78"/>
      <c r="C187" s="79" t="str">
        <f t="shared" si="6"/>
        <v/>
      </c>
      <c r="D187" s="80"/>
      <c r="E187" s="81"/>
      <c r="F187" s="79" t="str">
        <f t="shared" si="7"/>
        <v/>
      </c>
      <c r="G187" s="80"/>
      <c r="H187" s="81"/>
      <c r="I187" s="79" t="str">
        <f t="shared" si="8"/>
        <v/>
      </c>
    </row>
    <row r="188" spans="1:9" s="79" customFormat="1" ht="16.5">
      <c r="A188" s="77"/>
      <c r="B188" s="78"/>
      <c r="C188" s="79" t="str">
        <f t="shared" si="6"/>
        <v/>
      </c>
      <c r="D188" s="80"/>
      <c r="E188" s="81"/>
      <c r="F188" s="79" t="str">
        <f t="shared" si="7"/>
        <v/>
      </c>
      <c r="G188" s="80"/>
      <c r="H188" s="81"/>
      <c r="I188" s="79" t="str">
        <f t="shared" si="8"/>
        <v/>
      </c>
    </row>
    <row r="189" spans="1:9" s="79" customFormat="1" ht="16.5">
      <c r="A189" s="77"/>
      <c r="B189" s="78"/>
      <c r="C189" s="79" t="str">
        <f t="shared" si="6"/>
        <v/>
      </c>
      <c r="D189" s="80"/>
      <c r="E189" s="81"/>
      <c r="F189" s="79" t="str">
        <f t="shared" si="7"/>
        <v/>
      </c>
      <c r="G189" s="80"/>
      <c r="H189" s="81"/>
      <c r="I189" s="79" t="str">
        <f t="shared" si="8"/>
        <v/>
      </c>
    </row>
    <row r="190" spans="1:9" s="79" customFormat="1" ht="16.5">
      <c r="A190" s="77"/>
      <c r="B190" s="78"/>
      <c r="C190" s="79" t="str">
        <f t="shared" si="6"/>
        <v/>
      </c>
      <c r="D190" s="80"/>
      <c r="E190" s="81"/>
      <c r="F190" s="79" t="str">
        <f t="shared" si="7"/>
        <v/>
      </c>
      <c r="G190" s="80"/>
      <c r="H190" s="81"/>
      <c r="I190" s="79" t="str">
        <f t="shared" si="8"/>
        <v/>
      </c>
    </row>
    <row r="191" spans="1:9" s="79" customFormat="1" ht="16.5">
      <c r="A191" s="77"/>
      <c r="B191" s="78"/>
      <c r="C191" s="79" t="str">
        <f t="shared" si="6"/>
        <v/>
      </c>
      <c r="D191" s="80"/>
      <c r="E191" s="81"/>
      <c r="F191" s="79" t="str">
        <f t="shared" si="7"/>
        <v/>
      </c>
      <c r="G191" s="80"/>
      <c r="H191" s="81"/>
      <c r="I191" s="79" t="str">
        <f t="shared" si="8"/>
        <v/>
      </c>
    </row>
    <row r="192" spans="1:9" s="79" customFormat="1" ht="16.5">
      <c r="A192" s="77"/>
      <c r="B192" s="78"/>
      <c r="C192" s="79" t="str">
        <f t="shared" si="6"/>
        <v/>
      </c>
      <c r="D192" s="80"/>
      <c r="E192" s="81"/>
      <c r="F192" s="79" t="str">
        <f t="shared" si="7"/>
        <v/>
      </c>
      <c r="G192" s="80"/>
      <c r="H192" s="81"/>
      <c r="I192" s="79" t="str">
        <f t="shared" si="8"/>
        <v/>
      </c>
    </row>
    <row r="193" spans="1:9" s="79" customFormat="1" ht="16.5">
      <c r="A193" s="77"/>
      <c r="B193" s="78"/>
      <c r="C193" s="79" t="str">
        <f t="shared" si="6"/>
        <v/>
      </c>
      <c r="D193" s="80"/>
      <c r="E193" s="81"/>
      <c r="F193" s="79" t="str">
        <f t="shared" si="7"/>
        <v/>
      </c>
      <c r="G193" s="80"/>
      <c r="H193" s="81"/>
      <c r="I193" s="79" t="str">
        <f t="shared" si="8"/>
        <v/>
      </c>
    </row>
    <row r="194" spans="1:9" s="79" customFormat="1" ht="16.5">
      <c r="A194" s="77"/>
      <c r="B194" s="78"/>
      <c r="C194" s="79" t="str">
        <f t="shared" si="6"/>
        <v/>
      </c>
      <c r="D194" s="80"/>
      <c r="E194" s="81"/>
      <c r="F194" s="79" t="str">
        <f t="shared" si="7"/>
        <v/>
      </c>
      <c r="G194" s="80"/>
      <c r="H194" s="81"/>
      <c r="I194" s="79" t="str">
        <f t="shared" si="8"/>
        <v/>
      </c>
    </row>
    <row r="195" spans="1:9" s="79" customFormat="1" ht="16.5">
      <c r="A195" s="77"/>
      <c r="B195" s="78"/>
      <c r="C195" s="79" t="str">
        <f t="shared" si="6"/>
        <v/>
      </c>
      <c r="D195" s="80"/>
      <c r="E195" s="81"/>
      <c r="F195" s="79" t="str">
        <f t="shared" si="7"/>
        <v/>
      </c>
      <c r="G195" s="80"/>
      <c r="H195" s="81"/>
      <c r="I195" s="79" t="str">
        <f t="shared" si="8"/>
        <v/>
      </c>
    </row>
    <row r="196" spans="1:9" s="79" customFormat="1" ht="16.5">
      <c r="A196" s="77"/>
      <c r="B196" s="78"/>
      <c r="C196" s="79" t="str">
        <f t="shared" si="6"/>
        <v/>
      </c>
      <c r="D196" s="80"/>
      <c r="E196" s="81"/>
      <c r="F196" s="79" t="str">
        <f t="shared" si="7"/>
        <v/>
      </c>
      <c r="G196" s="80"/>
      <c r="H196" s="81"/>
      <c r="I196" s="79" t="str">
        <f t="shared" si="8"/>
        <v/>
      </c>
    </row>
    <row r="197" spans="1:9" s="79" customFormat="1" ht="16.5">
      <c r="A197" s="77"/>
      <c r="B197" s="78"/>
      <c r="C197" s="79" t="str">
        <f t="shared" ref="C197:C260" si="9">IF(B197&gt;0,TEXT(B197,"(aaa)"),"")</f>
        <v/>
      </c>
      <c r="D197" s="80"/>
      <c r="E197" s="81"/>
      <c r="F197" s="79" t="str">
        <f t="shared" ref="F197:F260" si="10">IF(E197&gt;0,TEXT(E197,"(aaa)"),"")</f>
        <v/>
      </c>
      <c r="G197" s="80"/>
      <c r="H197" s="81"/>
      <c r="I197" s="79" t="str">
        <f t="shared" ref="I197:I260" si="11">IF(H197&gt;0,TEXT(H197,"(aaa)"),"")</f>
        <v/>
      </c>
    </row>
    <row r="198" spans="1:9" s="79" customFormat="1" ht="16.5">
      <c r="A198" s="77"/>
      <c r="B198" s="78"/>
      <c r="C198" s="79" t="str">
        <f t="shared" si="9"/>
        <v/>
      </c>
      <c r="D198" s="80"/>
      <c r="E198" s="81"/>
      <c r="F198" s="79" t="str">
        <f t="shared" si="10"/>
        <v/>
      </c>
      <c r="G198" s="80"/>
      <c r="H198" s="81"/>
      <c r="I198" s="79" t="str">
        <f t="shared" si="11"/>
        <v/>
      </c>
    </row>
    <row r="199" spans="1:9" s="79" customFormat="1" ht="16.5">
      <c r="A199" s="77"/>
      <c r="B199" s="78"/>
      <c r="C199" s="79" t="str">
        <f t="shared" si="9"/>
        <v/>
      </c>
      <c r="D199" s="80"/>
      <c r="E199" s="81"/>
      <c r="F199" s="79" t="str">
        <f t="shared" si="10"/>
        <v/>
      </c>
      <c r="G199" s="80"/>
      <c r="H199" s="81"/>
      <c r="I199" s="79" t="str">
        <f t="shared" si="11"/>
        <v/>
      </c>
    </row>
    <row r="200" spans="1:9" s="79" customFormat="1" ht="16.5">
      <c r="A200" s="77"/>
      <c r="B200" s="78"/>
      <c r="C200" s="79" t="str">
        <f t="shared" si="9"/>
        <v/>
      </c>
      <c r="D200" s="80"/>
      <c r="E200" s="81"/>
      <c r="F200" s="79" t="str">
        <f t="shared" si="10"/>
        <v/>
      </c>
      <c r="G200" s="80"/>
      <c r="H200" s="81"/>
      <c r="I200" s="79" t="str">
        <f t="shared" si="11"/>
        <v/>
      </c>
    </row>
    <row r="201" spans="1:9" s="79" customFormat="1" ht="16.5">
      <c r="A201" s="77"/>
      <c r="B201" s="78"/>
      <c r="C201" s="79" t="str">
        <f t="shared" si="9"/>
        <v/>
      </c>
      <c r="D201" s="80"/>
      <c r="E201" s="81"/>
      <c r="F201" s="79" t="str">
        <f t="shared" si="10"/>
        <v/>
      </c>
      <c r="G201" s="80"/>
      <c r="H201" s="81"/>
      <c r="I201" s="79" t="str">
        <f t="shared" si="11"/>
        <v/>
      </c>
    </row>
    <row r="202" spans="1:9" s="79" customFormat="1" ht="16.5">
      <c r="A202" s="77"/>
      <c r="B202" s="78"/>
      <c r="C202" s="79" t="str">
        <f t="shared" si="9"/>
        <v/>
      </c>
      <c r="D202" s="80"/>
      <c r="E202" s="81"/>
      <c r="F202" s="79" t="str">
        <f t="shared" si="10"/>
        <v/>
      </c>
      <c r="G202" s="80"/>
      <c r="H202" s="81"/>
      <c r="I202" s="79" t="str">
        <f t="shared" si="11"/>
        <v/>
      </c>
    </row>
    <row r="203" spans="1:9" s="79" customFormat="1" ht="16.5">
      <c r="A203" s="77"/>
      <c r="B203" s="78"/>
      <c r="C203" s="79" t="str">
        <f t="shared" si="9"/>
        <v/>
      </c>
      <c r="D203" s="80"/>
      <c r="E203" s="81"/>
      <c r="F203" s="79" t="str">
        <f t="shared" si="10"/>
        <v/>
      </c>
      <c r="G203" s="80"/>
      <c r="H203" s="81"/>
      <c r="I203" s="79" t="str">
        <f t="shared" si="11"/>
        <v/>
      </c>
    </row>
    <row r="204" spans="1:9" s="79" customFormat="1" ht="16.5">
      <c r="A204" s="77"/>
      <c r="B204" s="78"/>
      <c r="C204" s="79" t="str">
        <f t="shared" si="9"/>
        <v/>
      </c>
      <c r="D204" s="80"/>
      <c r="E204" s="81"/>
      <c r="F204" s="79" t="str">
        <f t="shared" si="10"/>
        <v/>
      </c>
      <c r="G204" s="80"/>
      <c r="H204" s="81"/>
      <c r="I204" s="79" t="str">
        <f t="shared" si="11"/>
        <v/>
      </c>
    </row>
    <row r="205" spans="1:9" s="79" customFormat="1" ht="16.5">
      <c r="A205" s="77"/>
      <c r="B205" s="78"/>
      <c r="C205" s="79" t="str">
        <f t="shared" si="9"/>
        <v/>
      </c>
      <c r="D205" s="80"/>
      <c r="E205" s="81"/>
      <c r="F205" s="79" t="str">
        <f t="shared" si="10"/>
        <v/>
      </c>
      <c r="G205" s="80"/>
      <c r="H205" s="81"/>
      <c r="I205" s="79" t="str">
        <f t="shared" si="11"/>
        <v/>
      </c>
    </row>
    <row r="206" spans="1:9" s="79" customFormat="1" ht="16.5">
      <c r="A206" s="77"/>
      <c r="B206" s="78"/>
      <c r="C206" s="79" t="str">
        <f t="shared" si="9"/>
        <v/>
      </c>
      <c r="D206" s="80"/>
      <c r="E206" s="81"/>
      <c r="F206" s="79" t="str">
        <f t="shared" si="10"/>
        <v/>
      </c>
      <c r="G206" s="80"/>
      <c r="H206" s="81"/>
      <c r="I206" s="79" t="str">
        <f t="shared" si="11"/>
        <v/>
      </c>
    </row>
    <row r="207" spans="1:9" s="79" customFormat="1" ht="16.5">
      <c r="A207" s="77"/>
      <c r="B207" s="78"/>
      <c r="C207" s="79" t="str">
        <f t="shared" si="9"/>
        <v/>
      </c>
      <c r="D207" s="80"/>
      <c r="E207" s="81"/>
      <c r="F207" s="79" t="str">
        <f t="shared" si="10"/>
        <v/>
      </c>
      <c r="G207" s="80"/>
      <c r="H207" s="81"/>
      <c r="I207" s="79" t="str">
        <f t="shared" si="11"/>
        <v/>
      </c>
    </row>
    <row r="208" spans="1:9" s="79" customFormat="1" ht="16.5">
      <c r="A208" s="77"/>
      <c r="B208" s="78"/>
      <c r="C208" s="79" t="str">
        <f t="shared" si="9"/>
        <v/>
      </c>
      <c r="D208" s="80"/>
      <c r="E208" s="81"/>
      <c r="F208" s="79" t="str">
        <f t="shared" si="10"/>
        <v/>
      </c>
      <c r="G208" s="80"/>
      <c r="H208" s="81"/>
      <c r="I208" s="79" t="str">
        <f t="shared" si="11"/>
        <v/>
      </c>
    </row>
    <row r="209" spans="1:9" s="79" customFormat="1" ht="16.5">
      <c r="A209" s="77"/>
      <c r="B209" s="78"/>
      <c r="C209" s="79" t="str">
        <f t="shared" si="9"/>
        <v/>
      </c>
      <c r="D209" s="80"/>
      <c r="E209" s="81"/>
      <c r="F209" s="79" t="str">
        <f t="shared" si="10"/>
        <v/>
      </c>
      <c r="G209" s="80"/>
      <c r="H209" s="81"/>
      <c r="I209" s="79" t="str">
        <f t="shared" si="11"/>
        <v/>
      </c>
    </row>
    <row r="210" spans="1:9" s="79" customFormat="1" ht="16.5">
      <c r="A210" s="77"/>
      <c r="B210" s="78"/>
      <c r="C210" s="79" t="str">
        <f t="shared" si="9"/>
        <v/>
      </c>
      <c r="D210" s="80"/>
      <c r="E210" s="81"/>
      <c r="F210" s="79" t="str">
        <f t="shared" si="10"/>
        <v/>
      </c>
      <c r="G210" s="80"/>
      <c r="H210" s="81"/>
      <c r="I210" s="79" t="str">
        <f t="shared" si="11"/>
        <v/>
      </c>
    </row>
    <row r="211" spans="1:9" s="79" customFormat="1" ht="16.5">
      <c r="A211" s="77"/>
      <c r="B211" s="78"/>
      <c r="C211" s="79" t="str">
        <f t="shared" si="9"/>
        <v/>
      </c>
      <c r="D211" s="80"/>
      <c r="E211" s="81"/>
      <c r="F211" s="79" t="str">
        <f t="shared" si="10"/>
        <v/>
      </c>
      <c r="G211" s="80"/>
      <c r="H211" s="81"/>
      <c r="I211" s="79" t="str">
        <f t="shared" si="11"/>
        <v/>
      </c>
    </row>
    <row r="212" spans="1:9" s="79" customFormat="1" ht="16.5">
      <c r="A212" s="77"/>
      <c r="B212" s="78"/>
      <c r="C212" s="79" t="str">
        <f t="shared" si="9"/>
        <v/>
      </c>
      <c r="D212" s="80"/>
      <c r="E212" s="81"/>
      <c r="F212" s="79" t="str">
        <f t="shared" si="10"/>
        <v/>
      </c>
      <c r="G212" s="80"/>
      <c r="H212" s="81"/>
      <c r="I212" s="79" t="str">
        <f t="shared" si="11"/>
        <v/>
      </c>
    </row>
    <row r="213" spans="1:9" s="79" customFormat="1" ht="16.5">
      <c r="A213" s="77"/>
      <c r="B213" s="78"/>
      <c r="C213" s="79" t="str">
        <f t="shared" si="9"/>
        <v/>
      </c>
      <c r="D213" s="80"/>
      <c r="E213" s="81"/>
      <c r="F213" s="79" t="str">
        <f t="shared" si="10"/>
        <v/>
      </c>
      <c r="G213" s="80"/>
      <c r="H213" s="81"/>
      <c r="I213" s="79" t="str">
        <f t="shared" si="11"/>
        <v/>
      </c>
    </row>
    <row r="214" spans="1:9" s="79" customFormat="1" ht="16.5">
      <c r="A214" s="77"/>
      <c r="B214" s="78"/>
      <c r="C214" s="79" t="str">
        <f t="shared" si="9"/>
        <v/>
      </c>
      <c r="D214" s="80"/>
      <c r="E214" s="81"/>
      <c r="F214" s="79" t="str">
        <f t="shared" si="10"/>
        <v/>
      </c>
      <c r="G214" s="80"/>
      <c r="H214" s="81"/>
      <c r="I214" s="79" t="str">
        <f t="shared" si="11"/>
        <v/>
      </c>
    </row>
    <row r="215" spans="1:9" s="79" customFormat="1" ht="16.5">
      <c r="A215" s="77"/>
      <c r="B215" s="78"/>
      <c r="C215" s="79" t="str">
        <f t="shared" si="9"/>
        <v/>
      </c>
      <c r="D215" s="80"/>
      <c r="E215" s="81"/>
      <c r="F215" s="79" t="str">
        <f t="shared" si="10"/>
        <v/>
      </c>
      <c r="G215" s="80"/>
      <c r="H215" s="81"/>
      <c r="I215" s="79" t="str">
        <f t="shared" si="11"/>
        <v/>
      </c>
    </row>
    <row r="216" spans="1:9" s="79" customFormat="1" ht="16.5">
      <c r="A216" s="77"/>
      <c r="B216" s="78"/>
      <c r="C216" s="79" t="str">
        <f t="shared" si="9"/>
        <v/>
      </c>
      <c r="D216" s="80"/>
      <c r="E216" s="81"/>
      <c r="F216" s="79" t="str">
        <f t="shared" si="10"/>
        <v/>
      </c>
      <c r="G216" s="80"/>
      <c r="H216" s="81"/>
      <c r="I216" s="79" t="str">
        <f t="shared" si="11"/>
        <v/>
      </c>
    </row>
    <row r="217" spans="1:9" s="79" customFormat="1" ht="16.5">
      <c r="A217" s="77"/>
      <c r="B217" s="78"/>
      <c r="C217" s="79" t="str">
        <f t="shared" si="9"/>
        <v/>
      </c>
      <c r="D217" s="80"/>
      <c r="E217" s="81"/>
      <c r="F217" s="79" t="str">
        <f t="shared" si="10"/>
        <v/>
      </c>
      <c r="G217" s="80"/>
      <c r="H217" s="81"/>
      <c r="I217" s="79" t="str">
        <f t="shared" si="11"/>
        <v/>
      </c>
    </row>
    <row r="218" spans="1:9" s="79" customFormat="1" ht="16.5">
      <c r="A218" s="77"/>
      <c r="B218" s="78"/>
      <c r="C218" s="79" t="str">
        <f t="shared" si="9"/>
        <v/>
      </c>
      <c r="D218" s="80"/>
      <c r="E218" s="81"/>
      <c r="F218" s="79" t="str">
        <f t="shared" si="10"/>
        <v/>
      </c>
      <c r="G218" s="80"/>
      <c r="H218" s="81"/>
      <c r="I218" s="79" t="str">
        <f t="shared" si="11"/>
        <v/>
      </c>
    </row>
    <row r="219" spans="1:9" s="79" customFormat="1" ht="16.5">
      <c r="A219" s="77"/>
      <c r="B219" s="78"/>
      <c r="C219" s="79" t="str">
        <f t="shared" si="9"/>
        <v/>
      </c>
      <c r="D219" s="80"/>
      <c r="E219" s="81"/>
      <c r="F219" s="79" t="str">
        <f t="shared" si="10"/>
        <v/>
      </c>
      <c r="G219" s="80"/>
      <c r="H219" s="81"/>
      <c r="I219" s="79" t="str">
        <f t="shared" si="11"/>
        <v/>
      </c>
    </row>
    <row r="220" spans="1:9" s="79" customFormat="1" ht="16.5">
      <c r="A220" s="77"/>
      <c r="B220" s="78"/>
      <c r="C220" s="79" t="str">
        <f t="shared" si="9"/>
        <v/>
      </c>
      <c r="D220" s="80"/>
      <c r="E220" s="81"/>
      <c r="F220" s="79" t="str">
        <f t="shared" si="10"/>
        <v/>
      </c>
      <c r="G220" s="80"/>
      <c r="H220" s="81"/>
      <c r="I220" s="79" t="str">
        <f t="shared" si="11"/>
        <v/>
      </c>
    </row>
    <row r="221" spans="1:9" s="79" customFormat="1" ht="16.5">
      <c r="A221" s="77"/>
      <c r="B221" s="78"/>
      <c r="C221" s="79" t="str">
        <f t="shared" si="9"/>
        <v/>
      </c>
      <c r="D221" s="80"/>
      <c r="E221" s="81"/>
      <c r="F221" s="79" t="str">
        <f t="shared" si="10"/>
        <v/>
      </c>
      <c r="G221" s="80"/>
      <c r="H221" s="81"/>
      <c r="I221" s="79" t="str">
        <f t="shared" si="11"/>
        <v/>
      </c>
    </row>
    <row r="222" spans="1:9" s="79" customFormat="1" ht="16.5">
      <c r="A222" s="77"/>
      <c r="B222" s="78"/>
      <c r="C222" s="79" t="str">
        <f t="shared" si="9"/>
        <v/>
      </c>
      <c r="D222" s="80"/>
      <c r="E222" s="81"/>
      <c r="F222" s="79" t="str">
        <f t="shared" si="10"/>
        <v/>
      </c>
      <c r="G222" s="80"/>
      <c r="H222" s="81"/>
      <c r="I222" s="79" t="str">
        <f t="shared" si="11"/>
        <v/>
      </c>
    </row>
    <row r="223" spans="1:9" s="79" customFormat="1" ht="16.5">
      <c r="A223" s="77"/>
      <c r="B223" s="78"/>
      <c r="C223" s="79" t="str">
        <f t="shared" si="9"/>
        <v/>
      </c>
      <c r="D223" s="80"/>
      <c r="E223" s="81"/>
      <c r="F223" s="79" t="str">
        <f t="shared" si="10"/>
        <v/>
      </c>
      <c r="G223" s="80"/>
      <c r="H223" s="81"/>
      <c r="I223" s="79" t="str">
        <f t="shared" si="11"/>
        <v/>
      </c>
    </row>
    <row r="224" spans="1:9" s="79" customFormat="1" ht="16.5">
      <c r="A224" s="77"/>
      <c r="B224" s="78"/>
      <c r="C224" s="79" t="str">
        <f t="shared" si="9"/>
        <v/>
      </c>
      <c r="D224" s="80"/>
      <c r="E224" s="81"/>
      <c r="F224" s="79" t="str">
        <f t="shared" si="10"/>
        <v/>
      </c>
      <c r="G224" s="80"/>
      <c r="H224" s="81"/>
      <c r="I224" s="79" t="str">
        <f t="shared" si="11"/>
        <v/>
      </c>
    </row>
    <row r="225" spans="1:9" s="79" customFormat="1" ht="16.5">
      <c r="A225" s="77"/>
      <c r="B225" s="78"/>
      <c r="C225" s="79" t="str">
        <f t="shared" si="9"/>
        <v/>
      </c>
      <c r="D225" s="80"/>
      <c r="E225" s="81"/>
      <c r="F225" s="79" t="str">
        <f t="shared" si="10"/>
        <v/>
      </c>
      <c r="G225" s="80"/>
      <c r="H225" s="81"/>
      <c r="I225" s="79" t="str">
        <f t="shared" si="11"/>
        <v/>
      </c>
    </row>
    <row r="226" spans="1:9" s="79" customFormat="1" ht="16.5">
      <c r="A226" s="77"/>
      <c r="B226" s="78"/>
      <c r="C226" s="79" t="str">
        <f t="shared" si="9"/>
        <v/>
      </c>
      <c r="D226" s="80"/>
      <c r="E226" s="81"/>
      <c r="F226" s="79" t="str">
        <f t="shared" si="10"/>
        <v/>
      </c>
      <c r="G226" s="80"/>
      <c r="H226" s="81"/>
      <c r="I226" s="79" t="str">
        <f t="shared" si="11"/>
        <v/>
      </c>
    </row>
    <row r="227" spans="1:9" s="79" customFormat="1" ht="16.5">
      <c r="A227" s="77"/>
      <c r="B227" s="78"/>
      <c r="C227" s="79" t="str">
        <f t="shared" si="9"/>
        <v/>
      </c>
      <c r="D227" s="80"/>
      <c r="E227" s="81"/>
      <c r="F227" s="79" t="str">
        <f t="shared" si="10"/>
        <v/>
      </c>
      <c r="G227" s="80"/>
      <c r="H227" s="81"/>
      <c r="I227" s="79" t="str">
        <f t="shared" si="11"/>
        <v/>
      </c>
    </row>
    <row r="228" spans="1:9" s="79" customFormat="1" ht="16.5">
      <c r="A228" s="77"/>
      <c r="B228" s="78"/>
      <c r="C228" s="79" t="str">
        <f t="shared" si="9"/>
        <v/>
      </c>
      <c r="D228" s="80"/>
      <c r="E228" s="81"/>
      <c r="F228" s="79" t="str">
        <f t="shared" si="10"/>
        <v/>
      </c>
      <c r="G228" s="80"/>
      <c r="H228" s="81"/>
      <c r="I228" s="79" t="str">
        <f t="shared" si="11"/>
        <v/>
      </c>
    </row>
    <row r="229" spans="1:9" s="79" customFormat="1" ht="16.5">
      <c r="A229" s="77"/>
      <c r="B229" s="78"/>
      <c r="C229" s="79" t="str">
        <f t="shared" si="9"/>
        <v/>
      </c>
      <c r="D229" s="80"/>
      <c r="E229" s="81"/>
      <c r="F229" s="79" t="str">
        <f t="shared" si="10"/>
        <v/>
      </c>
      <c r="G229" s="80"/>
      <c r="H229" s="81"/>
      <c r="I229" s="79" t="str">
        <f t="shared" si="11"/>
        <v/>
      </c>
    </row>
    <row r="230" spans="1:9" s="79" customFormat="1" ht="16.5">
      <c r="A230" s="77"/>
      <c r="B230" s="78"/>
      <c r="C230" s="79" t="str">
        <f t="shared" si="9"/>
        <v/>
      </c>
      <c r="D230" s="80"/>
      <c r="E230" s="81"/>
      <c r="F230" s="79" t="str">
        <f t="shared" si="10"/>
        <v/>
      </c>
      <c r="G230" s="80"/>
      <c r="H230" s="81"/>
      <c r="I230" s="79" t="str">
        <f t="shared" si="11"/>
        <v/>
      </c>
    </row>
    <row r="231" spans="1:9" s="79" customFormat="1" ht="16.5">
      <c r="A231" s="77"/>
      <c r="B231" s="78"/>
      <c r="C231" s="79" t="str">
        <f t="shared" si="9"/>
        <v/>
      </c>
      <c r="D231" s="80"/>
      <c r="E231" s="81"/>
      <c r="F231" s="79" t="str">
        <f t="shared" si="10"/>
        <v/>
      </c>
      <c r="G231" s="80"/>
      <c r="H231" s="81"/>
      <c r="I231" s="79" t="str">
        <f t="shared" si="11"/>
        <v/>
      </c>
    </row>
    <row r="232" spans="1:9" s="79" customFormat="1" ht="16.5">
      <c r="A232" s="77"/>
      <c r="B232" s="78"/>
      <c r="C232" s="79" t="str">
        <f t="shared" si="9"/>
        <v/>
      </c>
      <c r="D232" s="80"/>
      <c r="E232" s="81"/>
      <c r="F232" s="79" t="str">
        <f t="shared" si="10"/>
        <v/>
      </c>
      <c r="G232" s="80"/>
      <c r="H232" s="81"/>
      <c r="I232" s="79" t="str">
        <f t="shared" si="11"/>
        <v/>
      </c>
    </row>
    <row r="233" spans="1:9" s="79" customFormat="1" ht="16.5">
      <c r="A233" s="77"/>
      <c r="B233" s="78"/>
      <c r="C233" s="79" t="str">
        <f t="shared" si="9"/>
        <v/>
      </c>
      <c r="D233" s="80"/>
      <c r="E233" s="81"/>
      <c r="F233" s="79" t="str">
        <f t="shared" si="10"/>
        <v/>
      </c>
      <c r="G233" s="80"/>
      <c r="H233" s="81"/>
      <c r="I233" s="79" t="str">
        <f t="shared" si="11"/>
        <v/>
      </c>
    </row>
    <row r="234" spans="1:9" s="79" customFormat="1" ht="16.5">
      <c r="A234" s="77"/>
      <c r="B234" s="78"/>
      <c r="C234" s="79" t="str">
        <f t="shared" si="9"/>
        <v/>
      </c>
      <c r="D234" s="80"/>
      <c r="E234" s="81"/>
      <c r="F234" s="79" t="str">
        <f t="shared" si="10"/>
        <v/>
      </c>
      <c r="G234" s="80"/>
      <c r="H234" s="81"/>
      <c r="I234" s="79" t="str">
        <f t="shared" si="11"/>
        <v/>
      </c>
    </row>
    <row r="235" spans="1:9" s="79" customFormat="1" ht="16.5">
      <c r="A235" s="77"/>
      <c r="B235" s="78"/>
      <c r="C235" s="79" t="str">
        <f t="shared" si="9"/>
        <v/>
      </c>
      <c r="D235" s="80"/>
      <c r="E235" s="81"/>
      <c r="F235" s="79" t="str">
        <f t="shared" si="10"/>
        <v/>
      </c>
      <c r="G235" s="80"/>
      <c r="H235" s="81"/>
      <c r="I235" s="79" t="str">
        <f t="shared" si="11"/>
        <v/>
      </c>
    </row>
    <row r="236" spans="1:9" s="79" customFormat="1" ht="16.5">
      <c r="A236" s="77"/>
      <c r="B236" s="78"/>
      <c r="C236" s="79" t="str">
        <f t="shared" si="9"/>
        <v/>
      </c>
      <c r="D236" s="80"/>
      <c r="E236" s="81"/>
      <c r="F236" s="79" t="str">
        <f t="shared" si="10"/>
        <v/>
      </c>
      <c r="G236" s="80"/>
      <c r="H236" s="81"/>
      <c r="I236" s="79" t="str">
        <f t="shared" si="11"/>
        <v/>
      </c>
    </row>
    <row r="237" spans="1:9" s="79" customFormat="1" ht="16.5">
      <c r="A237" s="77"/>
      <c r="B237" s="78"/>
      <c r="C237" s="79" t="str">
        <f t="shared" si="9"/>
        <v/>
      </c>
      <c r="D237" s="80"/>
      <c r="E237" s="81"/>
      <c r="F237" s="79" t="str">
        <f t="shared" si="10"/>
        <v/>
      </c>
      <c r="G237" s="80"/>
      <c r="H237" s="81"/>
      <c r="I237" s="79" t="str">
        <f t="shared" si="11"/>
        <v/>
      </c>
    </row>
    <row r="238" spans="1:9" s="79" customFormat="1" ht="16.5">
      <c r="A238" s="77"/>
      <c r="B238" s="78"/>
      <c r="C238" s="79" t="str">
        <f t="shared" si="9"/>
        <v/>
      </c>
      <c r="D238" s="80"/>
      <c r="E238" s="81"/>
      <c r="F238" s="79" t="str">
        <f t="shared" si="10"/>
        <v/>
      </c>
      <c r="G238" s="80"/>
      <c r="H238" s="81"/>
      <c r="I238" s="79" t="str">
        <f t="shared" si="11"/>
        <v/>
      </c>
    </row>
    <row r="239" spans="1:9" s="79" customFormat="1" ht="16.5">
      <c r="A239" s="77"/>
      <c r="B239" s="78"/>
      <c r="C239" s="79" t="str">
        <f t="shared" si="9"/>
        <v/>
      </c>
      <c r="D239" s="80"/>
      <c r="E239" s="81"/>
      <c r="F239" s="79" t="str">
        <f t="shared" si="10"/>
        <v/>
      </c>
      <c r="G239" s="80"/>
      <c r="H239" s="81"/>
      <c r="I239" s="79" t="str">
        <f t="shared" si="11"/>
        <v/>
      </c>
    </row>
    <row r="240" spans="1:9" s="79" customFormat="1" ht="16.5">
      <c r="A240" s="77"/>
      <c r="B240" s="78"/>
      <c r="C240" s="79" t="str">
        <f t="shared" si="9"/>
        <v/>
      </c>
      <c r="D240" s="80"/>
      <c r="E240" s="81"/>
      <c r="F240" s="79" t="str">
        <f t="shared" si="10"/>
        <v/>
      </c>
      <c r="G240" s="80"/>
      <c r="H240" s="81"/>
      <c r="I240" s="79" t="str">
        <f t="shared" si="11"/>
        <v/>
      </c>
    </row>
    <row r="241" spans="1:9" s="79" customFormat="1" ht="16.5">
      <c r="A241" s="77"/>
      <c r="B241" s="78"/>
      <c r="C241" s="79" t="str">
        <f t="shared" si="9"/>
        <v/>
      </c>
      <c r="D241" s="80"/>
      <c r="E241" s="81"/>
      <c r="F241" s="79" t="str">
        <f t="shared" si="10"/>
        <v/>
      </c>
      <c r="G241" s="80"/>
      <c r="H241" s="81"/>
      <c r="I241" s="79" t="str">
        <f t="shared" si="11"/>
        <v/>
      </c>
    </row>
    <row r="242" spans="1:9" s="79" customFormat="1" ht="16.5">
      <c r="A242" s="80"/>
      <c r="B242" s="81"/>
      <c r="C242" s="79" t="str">
        <f t="shared" si="9"/>
        <v/>
      </c>
      <c r="D242" s="80"/>
      <c r="E242" s="81"/>
      <c r="F242" s="79" t="str">
        <f t="shared" si="10"/>
        <v/>
      </c>
      <c r="G242" s="80"/>
      <c r="H242" s="81"/>
      <c r="I242" s="79" t="str">
        <f t="shared" si="11"/>
        <v/>
      </c>
    </row>
    <row r="243" spans="1:9" s="79" customFormat="1" ht="16.5">
      <c r="A243" s="80"/>
      <c r="B243" s="81"/>
      <c r="C243" s="79" t="str">
        <f t="shared" si="9"/>
        <v/>
      </c>
      <c r="D243" s="80"/>
      <c r="E243" s="81"/>
      <c r="F243" s="79" t="str">
        <f t="shared" si="10"/>
        <v/>
      </c>
      <c r="G243" s="80"/>
      <c r="H243" s="81"/>
      <c r="I243" s="79" t="str">
        <f t="shared" si="11"/>
        <v/>
      </c>
    </row>
    <row r="244" spans="1:9" s="79" customFormat="1" ht="16.5">
      <c r="A244" s="80"/>
      <c r="B244" s="81"/>
      <c r="C244" s="79" t="str">
        <f t="shared" si="9"/>
        <v/>
      </c>
      <c r="D244" s="80"/>
      <c r="E244" s="81"/>
      <c r="F244" s="79" t="str">
        <f t="shared" si="10"/>
        <v/>
      </c>
      <c r="G244" s="80"/>
      <c r="H244" s="81"/>
      <c r="I244" s="79" t="str">
        <f t="shared" si="11"/>
        <v/>
      </c>
    </row>
    <row r="245" spans="1:9" s="79" customFormat="1" ht="16.5">
      <c r="A245" s="80"/>
      <c r="B245" s="81"/>
      <c r="C245" s="79" t="str">
        <f t="shared" si="9"/>
        <v/>
      </c>
      <c r="D245" s="80"/>
      <c r="E245" s="81"/>
      <c r="F245" s="79" t="str">
        <f t="shared" si="10"/>
        <v/>
      </c>
      <c r="G245" s="80"/>
      <c r="H245" s="81"/>
      <c r="I245" s="79" t="str">
        <f t="shared" si="11"/>
        <v/>
      </c>
    </row>
    <row r="246" spans="1:9" s="79" customFormat="1" ht="16.5">
      <c r="A246" s="80"/>
      <c r="B246" s="81"/>
      <c r="C246" s="79" t="str">
        <f t="shared" si="9"/>
        <v/>
      </c>
      <c r="D246" s="80"/>
      <c r="E246" s="81"/>
      <c r="F246" s="79" t="str">
        <f t="shared" si="10"/>
        <v/>
      </c>
      <c r="G246" s="80"/>
      <c r="H246" s="81"/>
      <c r="I246" s="79" t="str">
        <f t="shared" si="11"/>
        <v/>
      </c>
    </row>
    <row r="247" spans="1:9" s="79" customFormat="1" ht="16.5">
      <c r="A247" s="80"/>
      <c r="B247" s="81"/>
      <c r="C247" s="79" t="str">
        <f t="shared" si="9"/>
        <v/>
      </c>
      <c r="D247" s="80"/>
      <c r="E247" s="81"/>
      <c r="F247" s="79" t="str">
        <f t="shared" si="10"/>
        <v/>
      </c>
      <c r="G247" s="80"/>
      <c r="H247" s="81"/>
      <c r="I247" s="79" t="str">
        <f t="shared" si="11"/>
        <v/>
      </c>
    </row>
    <row r="248" spans="1:9" s="79" customFormat="1" ht="16.5">
      <c r="A248" s="80"/>
      <c r="B248" s="81"/>
      <c r="C248" s="79" t="str">
        <f t="shared" si="9"/>
        <v/>
      </c>
      <c r="D248" s="80"/>
      <c r="E248" s="81"/>
      <c r="F248" s="79" t="str">
        <f t="shared" si="10"/>
        <v/>
      </c>
      <c r="G248" s="80"/>
      <c r="H248" s="81"/>
      <c r="I248" s="79" t="str">
        <f t="shared" si="11"/>
        <v/>
      </c>
    </row>
    <row r="249" spans="1:9" s="79" customFormat="1" ht="16.5">
      <c r="A249" s="80"/>
      <c r="B249" s="81"/>
      <c r="C249" s="79" t="str">
        <f t="shared" si="9"/>
        <v/>
      </c>
      <c r="D249" s="80"/>
      <c r="E249" s="81"/>
      <c r="F249" s="79" t="str">
        <f t="shared" si="10"/>
        <v/>
      </c>
      <c r="G249" s="80"/>
      <c r="H249" s="81"/>
      <c r="I249" s="79" t="str">
        <f t="shared" si="11"/>
        <v/>
      </c>
    </row>
    <row r="250" spans="1:9" s="79" customFormat="1" ht="16.5">
      <c r="A250" s="80"/>
      <c r="B250" s="81"/>
      <c r="C250" s="79" t="str">
        <f t="shared" si="9"/>
        <v/>
      </c>
      <c r="D250" s="80"/>
      <c r="E250" s="81"/>
      <c r="F250" s="79" t="str">
        <f t="shared" si="10"/>
        <v/>
      </c>
      <c r="G250" s="80"/>
      <c r="H250" s="81"/>
      <c r="I250" s="79" t="str">
        <f t="shared" si="11"/>
        <v/>
      </c>
    </row>
    <row r="251" spans="1:9" s="79" customFormat="1" ht="16.5">
      <c r="A251" s="80"/>
      <c r="B251" s="81"/>
      <c r="C251" s="79" t="str">
        <f t="shared" si="9"/>
        <v/>
      </c>
      <c r="D251" s="80"/>
      <c r="E251" s="81"/>
      <c r="F251" s="79" t="str">
        <f t="shared" si="10"/>
        <v/>
      </c>
      <c r="G251" s="80"/>
      <c r="H251" s="81"/>
      <c r="I251" s="79" t="str">
        <f t="shared" si="11"/>
        <v/>
      </c>
    </row>
    <row r="252" spans="1:9" s="79" customFormat="1" ht="16.5">
      <c r="A252" s="80"/>
      <c r="B252" s="81"/>
      <c r="C252" s="79" t="str">
        <f t="shared" si="9"/>
        <v/>
      </c>
      <c r="D252" s="80"/>
      <c r="E252" s="81"/>
      <c r="F252" s="79" t="str">
        <f t="shared" si="10"/>
        <v/>
      </c>
      <c r="G252" s="80"/>
      <c r="H252" s="81"/>
      <c r="I252" s="79" t="str">
        <f t="shared" si="11"/>
        <v/>
      </c>
    </row>
    <row r="253" spans="1:9" s="79" customFormat="1" ht="16.5">
      <c r="A253" s="80"/>
      <c r="B253" s="81"/>
      <c r="C253" s="79" t="str">
        <f t="shared" si="9"/>
        <v/>
      </c>
      <c r="D253" s="80"/>
      <c r="E253" s="81"/>
      <c r="F253" s="79" t="str">
        <f t="shared" si="10"/>
        <v/>
      </c>
      <c r="G253" s="80"/>
      <c r="H253" s="81"/>
      <c r="I253" s="79" t="str">
        <f t="shared" si="11"/>
        <v/>
      </c>
    </row>
    <row r="254" spans="1:9" s="79" customFormat="1" ht="16.5">
      <c r="A254" s="80"/>
      <c r="B254" s="81"/>
      <c r="C254" s="79" t="str">
        <f t="shared" si="9"/>
        <v/>
      </c>
      <c r="D254" s="80"/>
      <c r="E254" s="81"/>
      <c r="F254" s="79" t="str">
        <f t="shared" si="10"/>
        <v/>
      </c>
      <c r="G254" s="80"/>
      <c r="H254" s="81"/>
      <c r="I254" s="79" t="str">
        <f t="shared" si="11"/>
        <v/>
      </c>
    </row>
    <row r="255" spans="1:9" s="79" customFormat="1" ht="16.5">
      <c r="A255" s="80"/>
      <c r="B255" s="81"/>
      <c r="C255" s="79" t="str">
        <f t="shared" si="9"/>
        <v/>
      </c>
      <c r="D255" s="80"/>
      <c r="E255" s="81"/>
      <c r="F255" s="79" t="str">
        <f t="shared" si="10"/>
        <v/>
      </c>
      <c r="G255" s="80"/>
      <c r="H255" s="81"/>
      <c r="I255" s="79" t="str">
        <f t="shared" si="11"/>
        <v/>
      </c>
    </row>
    <row r="256" spans="1:9" s="79" customFormat="1" ht="16.5">
      <c r="A256" s="80"/>
      <c r="B256" s="81"/>
      <c r="C256" s="79" t="str">
        <f t="shared" si="9"/>
        <v/>
      </c>
      <c r="D256" s="80"/>
      <c r="E256" s="81"/>
      <c r="F256" s="79" t="str">
        <f t="shared" si="10"/>
        <v/>
      </c>
      <c r="G256" s="80"/>
      <c r="H256" s="81"/>
      <c r="I256" s="79" t="str">
        <f t="shared" si="11"/>
        <v/>
      </c>
    </row>
    <row r="257" spans="1:9" s="79" customFormat="1" ht="16.5">
      <c r="A257" s="80"/>
      <c r="B257" s="81"/>
      <c r="C257" s="79" t="str">
        <f t="shared" si="9"/>
        <v/>
      </c>
      <c r="D257" s="80"/>
      <c r="E257" s="81"/>
      <c r="F257" s="79" t="str">
        <f t="shared" si="10"/>
        <v/>
      </c>
      <c r="G257" s="80"/>
      <c r="H257" s="81"/>
      <c r="I257" s="79" t="str">
        <f t="shared" si="11"/>
        <v/>
      </c>
    </row>
    <row r="258" spans="1:9" s="79" customFormat="1" ht="16.5">
      <c r="A258" s="80"/>
      <c r="B258" s="81"/>
      <c r="C258" s="79" t="str">
        <f t="shared" si="9"/>
        <v/>
      </c>
      <c r="D258" s="80"/>
      <c r="E258" s="81"/>
      <c r="F258" s="79" t="str">
        <f t="shared" si="10"/>
        <v/>
      </c>
      <c r="G258" s="80"/>
      <c r="H258" s="81"/>
      <c r="I258" s="79" t="str">
        <f t="shared" si="11"/>
        <v/>
      </c>
    </row>
    <row r="259" spans="1:9" s="79" customFormat="1" ht="16.5">
      <c r="A259" s="80"/>
      <c r="B259" s="81"/>
      <c r="C259" s="79" t="str">
        <f t="shared" si="9"/>
        <v/>
      </c>
      <c r="D259" s="80"/>
      <c r="E259" s="81"/>
      <c r="F259" s="79" t="str">
        <f t="shared" si="10"/>
        <v/>
      </c>
      <c r="G259" s="80"/>
      <c r="H259" s="81"/>
      <c r="I259" s="79" t="str">
        <f t="shared" si="11"/>
        <v/>
      </c>
    </row>
    <row r="260" spans="1:9" s="79" customFormat="1" ht="16.5">
      <c r="A260" s="80"/>
      <c r="B260" s="81"/>
      <c r="C260" s="79" t="str">
        <f t="shared" si="9"/>
        <v/>
      </c>
      <c r="D260" s="80"/>
      <c r="E260" s="81"/>
      <c r="F260" s="79" t="str">
        <f t="shared" si="10"/>
        <v/>
      </c>
      <c r="G260" s="80"/>
      <c r="H260" s="81"/>
      <c r="I260" s="79" t="str">
        <f t="shared" si="11"/>
        <v/>
      </c>
    </row>
    <row r="261" spans="1:9" s="79" customFormat="1" ht="16.5">
      <c r="A261" s="80"/>
      <c r="B261" s="81"/>
      <c r="C261" s="79" t="str">
        <f t="shared" ref="C261:C304" si="12">IF(B261&gt;0,TEXT(B261,"(aaa)"),"")</f>
        <v/>
      </c>
      <c r="D261" s="80"/>
      <c r="E261" s="81"/>
      <c r="F261" s="79" t="str">
        <f t="shared" ref="F261:F304" si="13">IF(E261&gt;0,TEXT(E261,"(aaa)"),"")</f>
        <v/>
      </c>
      <c r="G261" s="80"/>
      <c r="H261" s="81"/>
      <c r="I261" s="79" t="str">
        <f t="shared" ref="I261:I304" si="14">IF(H261&gt;0,TEXT(H261,"(aaa)"),"")</f>
        <v/>
      </c>
    </row>
    <row r="262" spans="1:9" s="79" customFormat="1" ht="16.5">
      <c r="A262" s="80"/>
      <c r="B262" s="81"/>
      <c r="C262" s="79" t="str">
        <f t="shared" si="12"/>
        <v/>
      </c>
      <c r="D262" s="80"/>
      <c r="E262" s="81"/>
      <c r="F262" s="79" t="str">
        <f t="shared" si="13"/>
        <v/>
      </c>
      <c r="G262" s="80"/>
      <c r="H262" s="81"/>
      <c r="I262" s="79" t="str">
        <f t="shared" si="14"/>
        <v/>
      </c>
    </row>
    <row r="263" spans="1:9" s="79" customFormat="1" ht="16.5">
      <c r="A263" s="80"/>
      <c r="B263" s="81"/>
      <c r="C263" s="79" t="str">
        <f t="shared" si="12"/>
        <v/>
      </c>
      <c r="D263" s="80"/>
      <c r="E263" s="81"/>
      <c r="F263" s="79" t="str">
        <f t="shared" si="13"/>
        <v/>
      </c>
      <c r="G263" s="80"/>
      <c r="H263" s="81"/>
      <c r="I263" s="79" t="str">
        <f t="shared" si="14"/>
        <v/>
      </c>
    </row>
    <row r="264" spans="1:9" s="79" customFormat="1" ht="16.5">
      <c r="A264" s="80"/>
      <c r="B264" s="81"/>
      <c r="C264" s="79" t="str">
        <f t="shared" si="12"/>
        <v/>
      </c>
      <c r="D264" s="80"/>
      <c r="E264" s="81"/>
      <c r="F264" s="79" t="str">
        <f t="shared" si="13"/>
        <v/>
      </c>
      <c r="G264" s="80"/>
      <c r="H264" s="81"/>
      <c r="I264" s="79" t="str">
        <f t="shared" si="14"/>
        <v/>
      </c>
    </row>
    <row r="265" spans="1:9" s="79" customFormat="1" ht="16.5">
      <c r="A265" s="80"/>
      <c r="B265" s="81"/>
      <c r="C265" s="79" t="str">
        <f t="shared" si="12"/>
        <v/>
      </c>
      <c r="D265" s="80"/>
      <c r="E265" s="81"/>
      <c r="F265" s="79" t="str">
        <f t="shared" si="13"/>
        <v/>
      </c>
      <c r="G265" s="80"/>
      <c r="H265" s="81"/>
      <c r="I265" s="79" t="str">
        <f t="shared" si="14"/>
        <v/>
      </c>
    </row>
    <row r="266" spans="1:9" s="79" customFormat="1" ht="16.5">
      <c r="A266" s="80"/>
      <c r="B266" s="81"/>
      <c r="C266" s="79" t="str">
        <f t="shared" si="12"/>
        <v/>
      </c>
      <c r="D266" s="80"/>
      <c r="E266" s="81"/>
      <c r="F266" s="79" t="str">
        <f t="shared" si="13"/>
        <v/>
      </c>
      <c r="G266" s="80"/>
      <c r="H266" s="81"/>
      <c r="I266" s="79" t="str">
        <f t="shared" si="14"/>
        <v/>
      </c>
    </row>
    <row r="267" spans="1:9" s="79" customFormat="1" ht="16.5">
      <c r="A267" s="80"/>
      <c r="B267" s="81"/>
      <c r="C267" s="79" t="str">
        <f t="shared" si="12"/>
        <v/>
      </c>
      <c r="D267" s="80"/>
      <c r="E267" s="81"/>
      <c r="F267" s="79" t="str">
        <f t="shared" si="13"/>
        <v/>
      </c>
      <c r="G267" s="80"/>
      <c r="H267" s="81"/>
      <c r="I267" s="79" t="str">
        <f t="shared" si="14"/>
        <v/>
      </c>
    </row>
    <row r="268" spans="1:9" s="79" customFormat="1" ht="16.5">
      <c r="A268" s="80"/>
      <c r="B268" s="81"/>
      <c r="C268" s="79" t="str">
        <f t="shared" si="12"/>
        <v/>
      </c>
      <c r="D268" s="80"/>
      <c r="E268" s="81"/>
      <c r="F268" s="79" t="str">
        <f t="shared" si="13"/>
        <v/>
      </c>
      <c r="G268" s="80"/>
      <c r="H268" s="81"/>
      <c r="I268" s="79" t="str">
        <f t="shared" si="14"/>
        <v/>
      </c>
    </row>
    <row r="269" spans="1:9" s="79" customFormat="1" ht="16.5">
      <c r="A269" s="80"/>
      <c r="B269" s="81"/>
      <c r="C269" s="79" t="str">
        <f t="shared" si="12"/>
        <v/>
      </c>
      <c r="D269" s="80"/>
      <c r="E269" s="81"/>
      <c r="F269" s="79" t="str">
        <f t="shared" si="13"/>
        <v/>
      </c>
      <c r="G269" s="80"/>
      <c r="H269" s="81"/>
      <c r="I269" s="79" t="str">
        <f t="shared" si="14"/>
        <v/>
      </c>
    </row>
    <row r="270" spans="1:9" s="79" customFormat="1" ht="16.5">
      <c r="A270" s="80"/>
      <c r="B270" s="81"/>
      <c r="C270" s="79" t="str">
        <f t="shared" si="12"/>
        <v/>
      </c>
      <c r="D270" s="80"/>
      <c r="E270" s="81"/>
      <c r="F270" s="79" t="str">
        <f t="shared" si="13"/>
        <v/>
      </c>
      <c r="G270" s="80"/>
      <c r="H270" s="81"/>
      <c r="I270" s="79" t="str">
        <f t="shared" si="14"/>
        <v/>
      </c>
    </row>
    <row r="271" spans="1:9" s="79" customFormat="1" ht="16.5">
      <c r="A271" s="80"/>
      <c r="B271" s="81"/>
      <c r="C271" s="79" t="str">
        <f t="shared" si="12"/>
        <v/>
      </c>
      <c r="D271" s="80"/>
      <c r="E271" s="81"/>
      <c r="F271" s="79" t="str">
        <f t="shared" si="13"/>
        <v/>
      </c>
      <c r="G271" s="80"/>
      <c r="H271" s="81"/>
      <c r="I271" s="79" t="str">
        <f t="shared" si="14"/>
        <v/>
      </c>
    </row>
    <row r="272" spans="1:9" s="79" customFormat="1" ht="16.5">
      <c r="A272" s="80"/>
      <c r="B272" s="81"/>
      <c r="C272" s="79" t="str">
        <f t="shared" si="12"/>
        <v/>
      </c>
      <c r="D272" s="80"/>
      <c r="E272" s="81"/>
      <c r="F272" s="79" t="str">
        <f t="shared" si="13"/>
        <v/>
      </c>
      <c r="G272" s="80"/>
      <c r="H272" s="81"/>
      <c r="I272" s="79" t="str">
        <f t="shared" si="14"/>
        <v/>
      </c>
    </row>
    <row r="273" spans="1:9" s="79" customFormat="1" ht="16.5">
      <c r="A273" s="80"/>
      <c r="B273" s="81"/>
      <c r="C273" s="79" t="str">
        <f t="shared" si="12"/>
        <v/>
      </c>
      <c r="D273" s="80"/>
      <c r="E273" s="81"/>
      <c r="F273" s="79" t="str">
        <f t="shared" si="13"/>
        <v/>
      </c>
      <c r="G273" s="80"/>
      <c r="H273" s="81"/>
      <c r="I273" s="79" t="str">
        <f t="shared" si="14"/>
        <v/>
      </c>
    </row>
    <row r="274" spans="1:9" s="79" customFormat="1" ht="16.5">
      <c r="A274" s="80"/>
      <c r="B274" s="81"/>
      <c r="C274" s="79" t="str">
        <f t="shared" si="12"/>
        <v/>
      </c>
      <c r="D274" s="80"/>
      <c r="E274" s="81"/>
      <c r="F274" s="79" t="str">
        <f t="shared" si="13"/>
        <v/>
      </c>
      <c r="G274" s="80"/>
      <c r="H274" s="81"/>
      <c r="I274" s="79" t="str">
        <f t="shared" si="14"/>
        <v/>
      </c>
    </row>
    <row r="275" spans="1:9" s="79" customFormat="1" ht="16.5">
      <c r="A275" s="80"/>
      <c r="B275" s="81"/>
      <c r="C275" s="79" t="str">
        <f t="shared" si="12"/>
        <v/>
      </c>
      <c r="D275" s="80"/>
      <c r="E275" s="81"/>
      <c r="F275" s="79" t="str">
        <f t="shared" si="13"/>
        <v/>
      </c>
      <c r="G275" s="80"/>
      <c r="H275" s="81"/>
      <c r="I275" s="79" t="str">
        <f t="shared" si="14"/>
        <v/>
      </c>
    </row>
    <row r="276" spans="1:9" s="79" customFormat="1" ht="16.5">
      <c r="A276" s="80"/>
      <c r="B276" s="81"/>
      <c r="C276" s="79" t="str">
        <f t="shared" si="12"/>
        <v/>
      </c>
      <c r="D276" s="80"/>
      <c r="E276" s="81"/>
      <c r="F276" s="79" t="str">
        <f t="shared" si="13"/>
        <v/>
      </c>
      <c r="G276" s="80"/>
      <c r="H276" s="81"/>
      <c r="I276" s="79" t="str">
        <f t="shared" si="14"/>
        <v/>
      </c>
    </row>
    <row r="277" spans="1:9" s="79" customFormat="1" ht="16.5">
      <c r="A277" s="80"/>
      <c r="B277" s="81"/>
      <c r="C277" s="79" t="str">
        <f t="shared" si="12"/>
        <v/>
      </c>
      <c r="D277" s="80"/>
      <c r="E277" s="81"/>
      <c r="F277" s="79" t="str">
        <f t="shared" si="13"/>
        <v/>
      </c>
      <c r="G277" s="80"/>
      <c r="H277" s="81"/>
      <c r="I277" s="79" t="str">
        <f t="shared" si="14"/>
        <v/>
      </c>
    </row>
    <row r="278" spans="1:9" s="79" customFormat="1" ht="16.5">
      <c r="A278" s="80"/>
      <c r="B278" s="81"/>
      <c r="C278" s="79" t="str">
        <f t="shared" si="12"/>
        <v/>
      </c>
      <c r="D278" s="80"/>
      <c r="E278" s="81"/>
      <c r="F278" s="79" t="str">
        <f t="shared" si="13"/>
        <v/>
      </c>
      <c r="G278" s="80"/>
      <c r="H278" s="81"/>
      <c r="I278" s="79" t="str">
        <f t="shared" si="14"/>
        <v/>
      </c>
    </row>
    <row r="279" spans="1:9" s="79" customFormat="1" ht="16.5">
      <c r="A279" s="80"/>
      <c r="B279" s="81"/>
      <c r="C279" s="79" t="str">
        <f t="shared" si="12"/>
        <v/>
      </c>
      <c r="D279" s="80"/>
      <c r="E279" s="81"/>
      <c r="F279" s="79" t="str">
        <f t="shared" si="13"/>
        <v/>
      </c>
      <c r="G279" s="80"/>
      <c r="H279" s="81"/>
      <c r="I279" s="79" t="str">
        <f t="shared" si="14"/>
        <v/>
      </c>
    </row>
    <row r="280" spans="1:9" s="79" customFormat="1" ht="16.5">
      <c r="A280" s="80"/>
      <c r="B280" s="81"/>
      <c r="C280" s="79" t="str">
        <f t="shared" si="12"/>
        <v/>
      </c>
      <c r="D280" s="80"/>
      <c r="E280" s="81"/>
      <c r="F280" s="79" t="str">
        <f t="shared" si="13"/>
        <v/>
      </c>
      <c r="G280" s="80"/>
      <c r="H280" s="81"/>
      <c r="I280" s="79" t="str">
        <f t="shared" si="14"/>
        <v/>
      </c>
    </row>
    <row r="281" spans="1:9" s="79" customFormat="1" ht="16.5">
      <c r="A281" s="80"/>
      <c r="B281" s="81"/>
      <c r="C281" s="79" t="str">
        <f t="shared" si="12"/>
        <v/>
      </c>
      <c r="D281" s="80"/>
      <c r="E281" s="81"/>
      <c r="F281" s="79" t="str">
        <f t="shared" si="13"/>
        <v/>
      </c>
      <c r="G281" s="80"/>
      <c r="H281" s="81"/>
      <c r="I281" s="79" t="str">
        <f t="shared" si="14"/>
        <v/>
      </c>
    </row>
    <row r="282" spans="1:9" s="79" customFormat="1" ht="16.5">
      <c r="A282" s="80"/>
      <c r="B282" s="81"/>
      <c r="C282" s="79" t="str">
        <f t="shared" si="12"/>
        <v/>
      </c>
      <c r="D282" s="80"/>
      <c r="E282" s="81"/>
      <c r="F282" s="79" t="str">
        <f t="shared" si="13"/>
        <v/>
      </c>
      <c r="G282" s="80"/>
      <c r="H282" s="81"/>
      <c r="I282" s="79" t="str">
        <f t="shared" si="14"/>
        <v/>
      </c>
    </row>
    <row r="283" spans="1:9" s="79" customFormat="1" ht="16.5">
      <c r="A283" s="80"/>
      <c r="B283" s="81"/>
      <c r="C283" s="79" t="str">
        <f t="shared" si="12"/>
        <v/>
      </c>
      <c r="D283" s="80"/>
      <c r="E283" s="81"/>
      <c r="F283" s="79" t="str">
        <f t="shared" si="13"/>
        <v/>
      </c>
      <c r="G283" s="80"/>
      <c r="H283" s="81"/>
      <c r="I283" s="79" t="str">
        <f t="shared" si="14"/>
        <v/>
      </c>
    </row>
    <row r="284" spans="1:9" s="79" customFormat="1" ht="16.5">
      <c r="A284" s="80"/>
      <c r="B284" s="81"/>
      <c r="C284" s="79" t="str">
        <f t="shared" si="12"/>
        <v/>
      </c>
      <c r="D284" s="80"/>
      <c r="E284" s="81"/>
      <c r="F284" s="79" t="str">
        <f t="shared" si="13"/>
        <v/>
      </c>
      <c r="G284" s="80"/>
      <c r="H284" s="81"/>
      <c r="I284" s="79" t="str">
        <f t="shared" si="14"/>
        <v/>
      </c>
    </row>
    <row r="285" spans="1:9" s="79" customFormat="1" ht="16.5">
      <c r="A285" s="80"/>
      <c r="B285" s="81"/>
      <c r="C285" s="79" t="str">
        <f t="shared" si="12"/>
        <v/>
      </c>
      <c r="D285" s="80"/>
      <c r="E285" s="81"/>
      <c r="F285" s="79" t="str">
        <f t="shared" si="13"/>
        <v/>
      </c>
      <c r="G285" s="80"/>
      <c r="H285" s="81"/>
      <c r="I285" s="79" t="str">
        <f t="shared" si="14"/>
        <v/>
      </c>
    </row>
    <row r="286" spans="1:9" s="79" customFormat="1" ht="16.5">
      <c r="A286" s="80"/>
      <c r="B286" s="81"/>
      <c r="C286" s="79" t="str">
        <f t="shared" si="12"/>
        <v/>
      </c>
      <c r="D286" s="80"/>
      <c r="E286" s="81"/>
      <c r="F286" s="79" t="str">
        <f t="shared" si="13"/>
        <v/>
      </c>
      <c r="G286" s="80"/>
      <c r="H286" s="81"/>
      <c r="I286" s="79" t="str">
        <f t="shared" si="14"/>
        <v/>
      </c>
    </row>
    <row r="287" spans="1:9" s="79" customFormat="1" ht="16.5">
      <c r="A287" s="80"/>
      <c r="B287" s="81"/>
      <c r="C287" s="79" t="str">
        <f t="shared" si="12"/>
        <v/>
      </c>
      <c r="D287" s="80"/>
      <c r="E287" s="81"/>
      <c r="F287" s="79" t="str">
        <f t="shared" si="13"/>
        <v/>
      </c>
      <c r="G287" s="80"/>
      <c r="H287" s="81"/>
      <c r="I287" s="79" t="str">
        <f t="shared" si="14"/>
        <v/>
      </c>
    </row>
    <row r="288" spans="1:9" s="79" customFormat="1" ht="16.5">
      <c r="A288" s="80"/>
      <c r="B288" s="81"/>
      <c r="C288" s="79" t="str">
        <f t="shared" si="12"/>
        <v/>
      </c>
      <c r="D288" s="80"/>
      <c r="E288" s="81"/>
      <c r="F288" s="79" t="str">
        <f t="shared" si="13"/>
        <v/>
      </c>
      <c r="G288" s="80"/>
      <c r="H288" s="81"/>
      <c r="I288" s="79" t="str">
        <f t="shared" si="14"/>
        <v/>
      </c>
    </row>
    <row r="289" spans="1:9" s="79" customFormat="1" ht="16.5">
      <c r="A289" s="80"/>
      <c r="B289" s="81"/>
      <c r="C289" s="79" t="str">
        <f t="shared" si="12"/>
        <v/>
      </c>
      <c r="D289" s="80"/>
      <c r="E289" s="81"/>
      <c r="F289" s="79" t="str">
        <f t="shared" si="13"/>
        <v/>
      </c>
      <c r="G289" s="80"/>
      <c r="H289" s="81"/>
      <c r="I289" s="79" t="str">
        <f t="shared" si="14"/>
        <v/>
      </c>
    </row>
    <row r="290" spans="1:9" s="79" customFormat="1" ht="16.5">
      <c r="A290" s="80"/>
      <c r="B290" s="81"/>
      <c r="C290" s="79" t="str">
        <f t="shared" si="12"/>
        <v/>
      </c>
      <c r="D290" s="80"/>
      <c r="E290" s="81"/>
      <c r="F290" s="79" t="str">
        <f t="shared" si="13"/>
        <v/>
      </c>
      <c r="G290" s="80"/>
      <c r="H290" s="81"/>
      <c r="I290" s="79" t="str">
        <f t="shared" si="14"/>
        <v/>
      </c>
    </row>
    <row r="291" spans="1:9" s="79" customFormat="1" ht="16.5">
      <c r="A291" s="80"/>
      <c r="B291" s="81"/>
      <c r="C291" s="79" t="str">
        <f t="shared" si="12"/>
        <v/>
      </c>
      <c r="D291" s="80"/>
      <c r="E291" s="81"/>
      <c r="F291" s="79" t="str">
        <f t="shared" si="13"/>
        <v/>
      </c>
      <c r="G291" s="80"/>
      <c r="H291" s="81"/>
      <c r="I291" s="79" t="str">
        <f t="shared" si="14"/>
        <v/>
      </c>
    </row>
    <row r="292" spans="1:9" s="79" customFormat="1" ht="16.5">
      <c r="A292" s="80"/>
      <c r="B292" s="81"/>
      <c r="C292" s="79" t="str">
        <f t="shared" si="12"/>
        <v/>
      </c>
      <c r="D292" s="80"/>
      <c r="E292" s="81"/>
      <c r="F292" s="79" t="str">
        <f t="shared" si="13"/>
        <v/>
      </c>
      <c r="G292" s="80"/>
      <c r="H292" s="81"/>
      <c r="I292" s="79" t="str">
        <f t="shared" si="14"/>
        <v/>
      </c>
    </row>
    <row r="293" spans="1:9" s="79" customFormat="1" ht="16.5">
      <c r="A293" s="80"/>
      <c r="B293" s="81"/>
      <c r="C293" s="79" t="str">
        <f t="shared" si="12"/>
        <v/>
      </c>
      <c r="D293" s="80"/>
      <c r="E293" s="81"/>
      <c r="F293" s="79" t="str">
        <f t="shared" si="13"/>
        <v/>
      </c>
      <c r="G293" s="80"/>
      <c r="H293" s="81"/>
      <c r="I293" s="79" t="str">
        <f t="shared" si="14"/>
        <v/>
      </c>
    </row>
    <row r="294" spans="1:9" s="79" customFormat="1" ht="16.5">
      <c r="A294" s="80"/>
      <c r="B294" s="81"/>
      <c r="C294" s="79" t="str">
        <f t="shared" si="12"/>
        <v/>
      </c>
      <c r="D294" s="80"/>
      <c r="E294" s="81"/>
      <c r="F294" s="79" t="str">
        <f t="shared" si="13"/>
        <v/>
      </c>
      <c r="G294" s="80"/>
      <c r="H294" s="81"/>
      <c r="I294" s="79" t="str">
        <f t="shared" si="14"/>
        <v/>
      </c>
    </row>
    <row r="295" spans="1:9" s="79" customFormat="1" ht="16.5">
      <c r="A295" s="80"/>
      <c r="B295" s="81"/>
      <c r="C295" s="79" t="str">
        <f t="shared" si="12"/>
        <v/>
      </c>
      <c r="D295" s="80"/>
      <c r="E295" s="81"/>
      <c r="F295" s="79" t="str">
        <f t="shared" si="13"/>
        <v/>
      </c>
      <c r="G295" s="80"/>
      <c r="H295" s="81"/>
      <c r="I295" s="79" t="str">
        <f t="shared" si="14"/>
        <v/>
      </c>
    </row>
    <row r="296" spans="1:9" s="79" customFormat="1" ht="16.5">
      <c r="A296" s="80"/>
      <c r="B296" s="81"/>
      <c r="C296" s="79" t="str">
        <f t="shared" si="12"/>
        <v/>
      </c>
      <c r="D296" s="80"/>
      <c r="E296" s="81"/>
      <c r="F296" s="79" t="str">
        <f t="shared" si="13"/>
        <v/>
      </c>
      <c r="G296" s="80"/>
      <c r="H296" s="81"/>
      <c r="I296" s="79" t="str">
        <f t="shared" si="14"/>
        <v/>
      </c>
    </row>
    <row r="297" spans="1:9" s="79" customFormat="1" ht="16.5">
      <c r="A297" s="80"/>
      <c r="B297" s="81"/>
      <c r="C297" s="79" t="str">
        <f t="shared" si="12"/>
        <v/>
      </c>
      <c r="D297" s="80"/>
      <c r="E297" s="81"/>
      <c r="F297" s="79" t="str">
        <f t="shared" si="13"/>
        <v/>
      </c>
      <c r="G297" s="80"/>
      <c r="H297" s="81"/>
      <c r="I297" s="79" t="str">
        <f t="shared" si="14"/>
        <v/>
      </c>
    </row>
    <row r="298" spans="1:9" s="79" customFormat="1" ht="16.5">
      <c r="A298" s="80"/>
      <c r="B298" s="81"/>
      <c r="C298" s="79" t="str">
        <f t="shared" si="12"/>
        <v/>
      </c>
      <c r="D298" s="80"/>
      <c r="E298" s="81"/>
      <c r="F298" s="79" t="str">
        <f t="shared" si="13"/>
        <v/>
      </c>
      <c r="G298" s="80"/>
      <c r="H298" s="81"/>
      <c r="I298" s="79" t="str">
        <f t="shared" si="14"/>
        <v/>
      </c>
    </row>
    <row r="299" spans="1:9" s="79" customFormat="1" ht="16.5">
      <c r="A299" s="80"/>
      <c r="B299" s="81"/>
      <c r="C299" s="79" t="str">
        <f t="shared" si="12"/>
        <v/>
      </c>
      <c r="D299" s="80"/>
      <c r="E299" s="81"/>
      <c r="F299" s="79" t="str">
        <f t="shared" si="13"/>
        <v/>
      </c>
      <c r="G299" s="80"/>
      <c r="H299" s="81"/>
      <c r="I299" s="79" t="str">
        <f t="shared" si="14"/>
        <v/>
      </c>
    </row>
    <row r="300" spans="1:9" s="79" customFormat="1" ht="16.5">
      <c r="A300" s="80"/>
      <c r="B300" s="81"/>
      <c r="C300" s="79" t="str">
        <f t="shared" si="12"/>
        <v/>
      </c>
      <c r="D300" s="80"/>
      <c r="E300" s="81"/>
      <c r="F300" s="79" t="str">
        <f t="shared" si="13"/>
        <v/>
      </c>
      <c r="G300" s="80"/>
      <c r="H300" s="81"/>
      <c r="I300" s="79" t="str">
        <f t="shared" si="14"/>
        <v/>
      </c>
    </row>
    <row r="301" spans="1:9" s="79" customFormat="1" ht="16.5">
      <c r="A301" s="80"/>
      <c r="B301" s="81"/>
      <c r="C301" s="79" t="str">
        <f t="shared" si="12"/>
        <v/>
      </c>
      <c r="D301" s="80"/>
      <c r="E301" s="81"/>
      <c r="F301" s="79" t="str">
        <f t="shared" si="13"/>
        <v/>
      </c>
      <c r="G301" s="80"/>
      <c r="H301" s="81"/>
      <c r="I301" s="79" t="str">
        <f t="shared" si="14"/>
        <v/>
      </c>
    </row>
    <row r="302" spans="1:9" s="79" customFormat="1" ht="16.5">
      <c r="A302" s="80"/>
      <c r="B302" s="84"/>
      <c r="C302" s="79" t="str">
        <f t="shared" si="12"/>
        <v/>
      </c>
      <c r="D302" s="80"/>
      <c r="E302" s="84"/>
      <c r="F302" s="79" t="str">
        <f t="shared" si="13"/>
        <v/>
      </c>
      <c r="G302" s="80"/>
      <c r="H302" s="84"/>
      <c r="I302" s="79" t="str">
        <f t="shared" si="14"/>
        <v/>
      </c>
    </row>
    <row r="303" spans="1:9" s="79" customFormat="1" ht="16.5">
      <c r="A303" s="80"/>
      <c r="B303" s="84"/>
      <c r="C303" s="79" t="str">
        <f t="shared" si="12"/>
        <v/>
      </c>
      <c r="D303" s="80"/>
      <c r="E303" s="84"/>
      <c r="F303" s="79" t="str">
        <f t="shared" si="13"/>
        <v/>
      </c>
      <c r="G303" s="80"/>
      <c r="H303" s="84"/>
      <c r="I303" s="79" t="str">
        <f t="shared" si="14"/>
        <v/>
      </c>
    </row>
    <row r="304" spans="1:9" s="79" customFormat="1" ht="16.5">
      <c r="A304" s="80"/>
      <c r="B304" s="84"/>
      <c r="C304" s="79" t="str">
        <f t="shared" si="12"/>
        <v/>
      </c>
      <c r="D304" s="80"/>
      <c r="E304" s="84"/>
      <c r="F304" s="79" t="str">
        <f t="shared" si="13"/>
        <v/>
      </c>
      <c r="G304" s="80"/>
      <c r="H304" s="84"/>
      <c r="I304" s="79" t="str">
        <f t="shared" si="14"/>
        <v/>
      </c>
    </row>
    <row r="305" spans="1:7" s="79" customFormat="1" ht="16.5">
      <c r="A305" s="79" t="s">
        <v>1485</v>
      </c>
      <c r="D305" s="79" t="s">
        <v>1485</v>
      </c>
      <c r="G305" s="79" t="s">
        <v>1485</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75" defaultRowHeight="12"/>
  <cols>
    <col min="1" max="1" width="7.625" style="185" bestFit="1" customWidth="1"/>
    <col min="2" max="2" width="8.375" style="186" bestFit="1" customWidth="1"/>
    <col min="3" max="3" width="15.75" style="187" customWidth="1"/>
    <col min="4" max="4" width="47.125" style="188" customWidth="1"/>
    <col min="5" max="5" width="56.125" style="188" customWidth="1"/>
    <col min="6" max="6" width="57.375" style="185" customWidth="1"/>
    <col min="7" max="26" width="73.375" style="185"/>
    <col min="27" max="27" width="73.375" style="185" hidden="1" customWidth="1"/>
    <col min="28" max="29" width="73.375" style="185"/>
    <col min="30" max="30" width="0" style="185" hidden="1" customWidth="1"/>
    <col min="31" max="16384" width="73.375" style="185"/>
  </cols>
  <sheetData>
    <row r="1" spans="1:6" s="183" customFormat="1">
      <c r="A1" s="183" t="s">
        <v>423</v>
      </c>
      <c r="B1" s="183" t="s">
        <v>424</v>
      </c>
      <c r="C1" s="184" t="s">
        <v>425</v>
      </c>
      <c r="D1" s="184" t="s">
        <v>18</v>
      </c>
      <c r="E1" s="184" t="s">
        <v>19</v>
      </c>
      <c r="F1" s="183" t="s">
        <v>626</v>
      </c>
    </row>
    <row r="2" spans="1:6" ht="84">
      <c r="A2" s="185" t="s">
        <v>619</v>
      </c>
      <c r="B2" s="186">
        <v>1</v>
      </c>
      <c r="C2" s="187" t="s">
        <v>498</v>
      </c>
      <c r="D2" s="188" t="s">
        <v>426</v>
      </c>
      <c r="E2" s="188" t="s">
        <v>810</v>
      </c>
      <c r="F2" s="188" t="s">
        <v>810</v>
      </c>
    </row>
    <row r="3" spans="1:6" ht="96">
      <c r="A3" s="189">
        <v>650</v>
      </c>
      <c r="B3" s="186">
        <v>2</v>
      </c>
      <c r="C3" s="187" t="s">
        <v>498</v>
      </c>
      <c r="D3" s="188" t="s">
        <v>419</v>
      </c>
      <c r="E3" s="188" t="s">
        <v>811</v>
      </c>
      <c r="F3" s="188" t="s">
        <v>811</v>
      </c>
    </row>
    <row r="4" spans="1:6" ht="60">
      <c r="B4" s="186">
        <v>3</v>
      </c>
      <c r="C4" s="187" t="s">
        <v>498</v>
      </c>
      <c r="D4" s="188" t="s">
        <v>427</v>
      </c>
      <c r="E4" s="188" t="s">
        <v>812</v>
      </c>
      <c r="F4" s="188" t="s">
        <v>812</v>
      </c>
    </row>
    <row r="5" spans="1:6" ht="60">
      <c r="B5" s="186">
        <v>4</v>
      </c>
      <c r="C5" s="187" t="s">
        <v>498</v>
      </c>
      <c r="D5" s="188" t="s">
        <v>428</v>
      </c>
      <c r="E5" s="188" t="s">
        <v>813</v>
      </c>
      <c r="F5" s="188" t="s">
        <v>813</v>
      </c>
    </row>
    <row r="6" spans="1:6" ht="60">
      <c r="B6" s="186">
        <v>5</v>
      </c>
      <c r="C6" s="187" t="s">
        <v>498</v>
      </c>
      <c r="D6" s="188" t="s">
        <v>429</v>
      </c>
      <c r="E6" s="188" t="s">
        <v>814</v>
      </c>
      <c r="F6" s="188" t="s">
        <v>814</v>
      </c>
    </row>
    <row r="7" spans="1:6" ht="48">
      <c r="B7" s="186">
        <v>6</v>
      </c>
      <c r="C7" s="187" t="s">
        <v>498</v>
      </c>
      <c r="D7" s="188" t="s">
        <v>430</v>
      </c>
      <c r="E7" s="188" t="s">
        <v>815</v>
      </c>
      <c r="F7" s="188" t="s">
        <v>815</v>
      </c>
    </row>
    <row r="8" spans="1:6">
      <c r="B8" s="186">
        <v>7</v>
      </c>
      <c r="C8" s="187" t="s">
        <v>498</v>
      </c>
      <c r="D8" s="188" t="s">
        <v>421</v>
      </c>
      <c r="E8" s="188" t="s">
        <v>816</v>
      </c>
      <c r="F8" s="188" t="s">
        <v>816</v>
      </c>
    </row>
    <row r="9" spans="1:6" ht="48">
      <c r="B9" s="186">
        <v>8</v>
      </c>
      <c r="C9" s="187" t="s">
        <v>589</v>
      </c>
      <c r="D9" s="188" t="s">
        <v>586</v>
      </c>
      <c r="E9" s="206" t="s">
        <v>1360</v>
      </c>
      <c r="F9" s="206" t="s">
        <v>1360</v>
      </c>
    </row>
    <row r="10" spans="1:6" ht="48">
      <c r="B10" s="186">
        <v>9</v>
      </c>
      <c r="C10" s="187" t="s">
        <v>589</v>
      </c>
      <c r="D10" s="188" t="s">
        <v>578</v>
      </c>
      <c r="E10" s="188" t="s">
        <v>817</v>
      </c>
      <c r="F10" s="188" t="s">
        <v>817</v>
      </c>
    </row>
    <row r="11" spans="1:6" ht="60">
      <c r="B11" s="186">
        <v>10</v>
      </c>
      <c r="C11" s="187" t="s">
        <v>589</v>
      </c>
      <c r="D11" s="188" t="s">
        <v>587</v>
      </c>
      <c r="E11" s="188" t="s">
        <v>818</v>
      </c>
      <c r="F11" s="188" t="s">
        <v>818</v>
      </c>
    </row>
    <row r="12" spans="1:6" ht="48">
      <c r="B12" s="186">
        <v>11</v>
      </c>
      <c r="C12" s="187" t="s">
        <v>589</v>
      </c>
      <c r="D12" s="188" t="s">
        <v>581</v>
      </c>
      <c r="E12" s="188" t="s">
        <v>819</v>
      </c>
      <c r="F12" s="188" t="s">
        <v>819</v>
      </c>
    </row>
    <row r="13" spans="1:6" ht="84">
      <c r="B13" s="186">
        <v>12</v>
      </c>
      <c r="C13" s="187" t="s">
        <v>589</v>
      </c>
      <c r="D13" s="188" t="s">
        <v>582</v>
      </c>
      <c r="E13" s="188" t="s">
        <v>820</v>
      </c>
      <c r="F13" s="188" t="s">
        <v>820</v>
      </c>
    </row>
    <row r="14" spans="1:6" ht="48">
      <c r="B14" s="186">
        <v>13</v>
      </c>
      <c r="C14" s="187" t="s">
        <v>498</v>
      </c>
      <c r="D14" s="188" t="s">
        <v>746</v>
      </c>
      <c r="E14" s="188" t="s">
        <v>821</v>
      </c>
      <c r="F14" s="188" t="s">
        <v>821</v>
      </c>
    </row>
    <row r="15" spans="1:6" ht="36">
      <c r="B15" s="186">
        <v>14</v>
      </c>
      <c r="C15" s="187" t="s">
        <v>498</v>
      </c>
      <c r="D15" s="188" t="s">
        <v>747</v>
      </c>
      <c r="E15" s="188" t="s">
        <v>822</v>
      </c>
      <c r="F15" s="188" t="s">
        <v>822</v>
      </c>
    </row>
    <row r="16" spans="1:6">
      <c r="B16" s="186">
        <v>15</v>
      </c>
      <c r="C16" s="187" t="s">
        <v>498</v>
      </c>
      <c r="D16" s="188" t="s">
        <v>748</v>
      </c>
      <c r="E16" s="188" t="s">
        <v>823</v>
      </c>
      <c r="F16" s="188" t="s">
        <v>823</v>
      </c>
    </row>
    <row r="17" spans="1:6">
      <c r="B17" s="186">
        <v>101</v>
      </c>
      <c r="D17" s="188" t="s">
        <v>20</v>
      </c>
      <c r="E17" s="188" t="s">
        <v>824</v>
      </c>
      <c r="F17" s="188" t="s">
        <v>824</v>
      </c>
    </row>
    <row r="18" spans="1:6">
      <c r="B18" s="186">
        <v>102</v>
      </c>
      <c r="D18" s="188" t="s">
        <v>21</v>
      </c>
      <c r="E18" s="188" t="s">
        <v>825</v>
      </c>
      <c r="F18" s="188" t="s">
        <v>825</v>
      </c>
    </row>
    <row r="19" spans="1:6">
      <c r="B19" s="186">
        <v>103</v>
      </c>
      <c r="D19" s="188" t="s">
        <v>22</v>
      </c>
      <c r="E19" s="188" t="s">
        <v>826</v>
      </c>
      <c r="F19" s="188" t="s">
        <v>826</v>
      </c>
    </row>
    <row r="20" spans="1:6">
      <c r="B20" s="186">
        <v>104</v>
      </c>
      <c r="D20" s="188" t="s">
        <v>23</v>
      </c>
      <c r="E20" s="188" t="s">
        <v>827</v>
      </c>
      <c r="F20" s="188" t="s">
        <v>827</v>
      </c>
    </row>
    <row r="21" spans="1:6">
      <c r="B21" s="186">
        <v>105</v>
      </c>
      <c r="D21" s="188" t="s">
        <v>24</v>
      </c>
      <c r="E21" s="188" t="s">
        <v>828</v>
      </c>
      <c r="F21" s="188" t="s">
        <v>828</v>
      </c>
    </row>
    <row r="22" spans="1:6">
      <c r="B22" s="186">
        <v>106</v>
      </c>
      <c r="D22" s="188" t="s">
        <v>343</v>
      </c>
      <c r="E22" s="188" t="s">
        <v>829</v>
      </c>
      <c r="F22" s="188" t="s">
        <v>829</v>
      </c>
    </row>
    <row r="23" spans="1:6" ht="36">
      <c r="B23" s="186">
        <v>107</v>
      </c>
      <c r="D23" s="188" t="s">
        <v>344</v>
      </c>
      <c r="E23" s="188" t="s">
        <v>830</v>
      </c>
      <c r="F23" s="188" t="s">
        <v>830</v>
      </c>
    </row>
    <row r="24" spans="1:6" ht="36">
      <c r="B24" s="186">
        <v>108</v>
      </c>
      <c r="D24" s="188" t="s">
        <v>345</v>
      </c>
      <c r="E24" s="188" t="s">
        <v>831</v>
      </c>
      <c r="F24" s="188" t="s">
        <v>831</v>
      </c>
    </row>
    <row r="25" spans="1:6">
      <c r="B25" s="186">
        <v>109</v>
      </c>
      <c r="D25" s="188" t="s">
        <v>25</v>
      </c>
      <c r="E25" s="188" t="s">
        <v>832</v>
      </c>
      <c r="F25" s="188" t="s">
        <v>832</v>
      </c>
    </row>
    <row r="26" spans="1:6">
      <c r="B26" s="186">
        <v>110</v>
      </c>
      <c r="D26" s="188" t="s">
        <v>26</v>
      </c>
      <c r="E26" s="188" t="s">
        <v>833</v>
      </c>
      <c r="F26" s="188" t="s">
        <v>833</v>
      </c>
    </row>
    <row r="27" spans="1:6">
      <c r="B27" s="186">
        <v>111</v>
      </c>
      <c r="D27" s="188" t="s">
        <v>27</v>
      </c>
      <c r="E27" s="188" t="s">
        <v>834</v>
      </c>
      <c r="F27" s="188" t="s">
        <v>834</v>
      </c>
    </row>
    <row r="28" spans="1:6">
      <c r="A28" s="190"/>
      <c r="B28" s="186">
        <v>112</v>
      </c>
      <c r="C28" s="191" t="s">
        <v>414</v>
      </c>
      <c r="D28" s="189" t="s">
        <v>431</v>
      </c>
      <c r="E28" s="189" t="s">
        <v>835</v>
      </c>
      <c r="F28" s="189" t="s">
        <v>835</v>
      </c>
    </row>
    <row r="29" spans="1:6">
      <c r="B29" s="186">
        <v>113</v>
      </c>
      <c r="D29" s="188" t="s">
        <v>28</v>
      </c>
      <c r="E29" s="188" t="s">
        <v>835</v>
      </c>
      <c r="F29" s="188" t="s">
        <v>835</v>
      </c>
    </row>
    <row r="30" spans="1:6">
      <c r="B30" s="186">
        <v>114</v>
      </c>
      <c r="C30" s="187" t="s">
        <v>547</v>
      </c>
      <c r="D30" s="188" t="s">
        <v>552</v>
      </c>
      <c r="E30" s="188" t="s">
        <v>836</v>
      </c>
      <c r="F30" s="188" t="s">
        <v>836</v>
      </c>
    </row>
    <row r="31" spans="1:6">
      <c r="B31" s="186">
        <v>115</v>
      </c>
      <c r="D31" s="188" t="s">
        <v>607</v>
      </c>
      <c r="E31" s="188" t="s">
        <v>837</v>
      </c>
      <c r="F31" s="188" t="s">
        <v>837</v>
      </c>
    </row>
    <row r="32" spans="1:6">
      <c r="B32" s="186">
        <v>116</v>
      </c>
      <c r="D32" s="188" t="s">
        <v>29</v>
      </c>
      <c r="E32" s="188" t="s">
        <v>838</v>
      </c>
      <c r="F32" s="188" t="s">
        <v>838</v>
      </c>
    </row>
    <row r="33" spans="2:6">
      <c r="B33" s="186">
        <v>117</v>
      </c>
      <c r="D33" s="188" t="s">
        <v>30</v>
      </c>
      <c r="E33" s="188" t="s">
        <v>839</v>
      </c>
      <c r="F33" s="188" t="s">
        <v>839</v>
      </c>
    </row>
    <row r="34" spans="2:6" ht="24">
      <c r="B34" s="186">
        <v>118</v>
      </c>
      <c r="D34" s="188" t="s">
        <v>346</v>
      </c>
      <c r="E34" s="188" t="s">
        <v>840</v>
      </c>
      <c r="F34" s="188" t="s">
        <v>840</v>
      </c>
    </row>
    <row r="35" spans="2:6">
      <c r="B35" s="186">
        <v>119</v>
      </c>
      <c r="D35" s="188" t="s">
        <v>518</v>
      </c>
      <c r="E35" s="188" t="s">
        <v>841</v>
      </c>
      <c r="F35" s="188" t="s">
        <v>841</v>
      </c>
    </row>
    <row r="36" spans="2:6">
      <c r="B36" s="186">
        <v>120</v>
      </c>
      <c r="D36" s="188" t="s">
        <v>504</v>
      </c>
      <c r="E36" s="188" t="s">
        <v>842</v>
      </c>
      <c r="F36" s="188" t="s">
        <v>842</v>
      </c>
    </row>
    <row r="37" spans="2:6" ht="24">
      <c r="B37" s="186">
        <v>121</v>
      </c>
      <c r="D37" s="188" t="s">
        <v>31</v>
      </c>
      <c r="E37" s="188" t="s">
        <v>843</v>
      </c>
      <c r="F37" s="188" t="s">
        <v>843</v>
      </c>
    </row>
    <row r="38" spans="2:6">
      <c r="B38" s="186">
        <v>122</v>
      </c>
      <c r="D38" s="188" t="s">
        <v>32</v>
      </c>
      <c r="E38" s="188" t="s">
        <v>844</v>
      </c>
      <c r="F38" s="188" t="s">
        <v>844</v>
      </c>
    </row>
    <row r="39" spans="2:6">
      <c r="B39" s="186">
        <v>123</v>
      </c>
      <c r="D39" s="188" t="s">
        <v>341</v>
      </c>
      <c r="E39" s="188" t="s">
        <v>845</v>
      </c>
      <c r="F39" s="188" t="s">
        <v>845</v>
      </c>
    </row>
    <row r="40" spans="2:6">
      <c r="B40" s="186">
        <v>124</v>
      </c>
      <c r="D40" s="188" t="s">
        <v>33</v>
      </c>
      <c r="E40" s="188" t="s">
        <v>846</v>
      </c>
      <c r="F40" s="188" t="s">
        <v>846</v>
      </c>
    </row>
    <row r="41" spans="2:6" ht="24">
      <c r="B41" s="186">
        <v>125</v>
      </c>
      <c r="D41" s="188" t="s">
        <v>520</v>
      </c>
      <c r="E41" s="188" t="s">
        <v>847</v>
      </c>
      <c r="F41" s="188" t="s">
        <v>847</v>
      </c>
    </row>
    <row r="42" spans="2:6" ht="24">
      <c r="B42" s="186">
        <v>126</v>
      </c>
      <c r="D42" s="188" t="s">
        <v>519</v>
      </c>
      <c r="E42" s="188" t="s">
        <v>848</v>
      </c>
      <c r="F42" s="188" t="s">
        <v>848</v>
      </c>
    </row>
    <row r="43" spans="2:6" ht="24">
      <c r="B43" s="186">
        <v>127</v>
      </c>
      <c r="D43" s="188" t="s">
        <v>34</v>
      </c>
      <c r="E43" s="188" t="s">
        <v>849</v>
      </c>
      <c r="F43" s="188" t="s">
        <v>849</v>
      </c>
    </row>
    <row r="44" spans="2:6" ht="24">
      <c r="B44" s="186">
        <v>128</v>
      </c>
      <c r="D44" s="188" t="s">
        <v>35</v>
      </c>
      <c r="E44" s="188" t="s">
        <v>850</v>
      </c>
      <c r="F44" s="188" t="s">
        <v>850</v>
      </c>
    </row>
    <row r="45" spans="2:6" ht="24">
      <c r="B45" s="186">
        <v>129</v>
      </c>
      <c r="D45" s="188" t="s">
        <v>342</v>
      </c>
      <c r="E45" s="188" t="s">
        <v>851</v>
      </c>
      <c r="F45" s="188" t="s">
        <v>851</v>
      </c>
    </row>
    <row r="46" spans="2:6">
      <c r="B46" s="186">
        <v>130</v>
      </c>
      <c r="D46" s="188" t="s">
        <v>36</v>
      </c>
      <c r="E46" s="188" t="s">
        <v>852</v>
      </c>
      <c r="F46" s="188" t="s">
        <v>852</v>
      </c>
    </row>
    <row r="47" spans="2:6">
      <c r="B47" s="186">
        <v>131</v>
      </c>
      <c r="D47" s="188" t="s">
        <v>347</v>
      </c>
      <c r="E47" s="188" t="s">
        <v>853</v>
      </c>
      <c r="F47" s="188" t="s">
        <v>853</v>
      </c>
    </row>
    <row r="48" spans="2:6">
      <c r="B48" s="186">
        <v>132</v>
      </c>
      <c r="D48" s="188" t="s">
        <v>37</v>
      </c>
      <c r="E48" s="188" t="s">
        <v>854</v>
      </c>
      <c r="F48" s="188" t="s">
        <v>854</v>
      </c>
    </row>
    <row r="49" spans="2:6">
      <c r="B49" s="186">
        <v>133</v>
      </c>
      <c r="D49" s="188" t="s">
        <v>635</v>
      </c>
      <c r="E49" s="188" t="s">
        <v>855</v>
      </c>
      <c r="F49" s="188" t="s">
        <v>855</v>
      </c>
    </row>
    <row r="50" spans="2:6">
      <c r="B50" s="186">
        <v>134</v>
      </c>
      <c r="D50" s="188" t="s">
        <v>634</v>
      </c>
      <c r="E50" s="188" t="s">
        <v>856</v>
      </c>
      <c r="F50" s="188" t="s">
        <v>856</v>
      </c>
    </row>
    <row r="51" spans="2:6">
      <c r="B51" s="186">
        <v>135</v>
      </c>
      <c r="D51" s="189" t="s">
        <v>633</v>
      </c>
      <c r="E51" s="192">
        <v>43435</v>
      </c>
      <c r="F51" s="192">
        <v>43435</v>
      </c>
    </row>
    <row r="52" spans="2:6">
      <c r="B52" s="186">
        <v>136</v>
      </c>
      <c r="D52" s="189" t="s">
        <v>348</v>
      </c>
      <c r="E52" s="192">
        <v>43465</v>
      </c>
      <c r="F52" s="192">
        <v>43465</v>
      </c>
    </row>
    <row r="53" spans="2:6">
      <c r="B53" s="186">
        <v>137</v>
      </c>
      <c r="D53" s="188" t="s">
        <v>38</v>
      </c>
      <c r="E53" s="188" t="s">
        <v>38</v>
      </c>
      <c r="F53" s="188" t="s">
        <v>38</v>
      </c>
    </row>
    <row r="54" spans="2:6">
      <c r="B54" s="186">
        <v>138</v>
      </c>
      <c r="D54" s="188" t="s">
        <v>39</v>
      </c>
      <c r="E54" s="188" t="s">
        <v>857</v>
      </c>
      <c r="F54" s="188" t="s">
        <v>857</v>
      </c>
    </row>
    <row r="55" spans="2:6">
      <c r="B55" s="186">
        <v>139</v>
      </c>
      <c r="C55" s="187" t="s">
        <v>432</v>
      </c>
      <c r="D55" s="188" t="s">
        <v>433</v>
      </c>
      <c r="E55" s="188" t="s">
        <v>858</v>
      </c>
      <c r="F55" s="188" t="s">
        <v>858</v>
      </c>
    </row>
    <row r="56" spans="2:6" ht="24">
      <c r="B56" s="186">
        <v>140</v>
      </c>
      <c r="D56" s="188" t="s">
        <v>40</v>
      </c>
      <c r="E56" s="188" t="s">
        <v>859</v>
      </c>
      <c r="F56" s="188" t="s">
        <v>859</v>
      </c>
    </row>
    <row r="57" spans="2:6" ht="24">
      <c r="B57" s="186">
        <v>141</v>
      </c>
      <c r="D57" s="188" t="s">
        <v>41</v>
      </c>
      <c r="E57" s="188" t="s">
        <v>860</v>
      </c>
      <c r="F57" s="188" t="s">
        <v>860</v>
      </c>
    </row>
    <row r="58" spans="2:6">
      <c r="B58" s="186">
        <v>142</v>
      </c>
      <c r="D58" s="188" t="s">
        <v>500</v>
      </c>
      <c r="E58" s="188" t="s">
        <v>861</v>
      </c>
      <c r="F58" s="188" t="s">
        <v>861</v>
      </c>
    </row>
    <row r="59" spans="2:6">
      <c r="B59" s="186">
        <v>143</v>
      </c>
      <c r="C59" s="187" t="s">
        <v>470</v>
      </c>
      <c r="D59" s="185" t="s">
        <v>349</v>
      </c>
      <c r="E59" s="193" t="s">
        <v>862</v>
      </c>
      <c r="F59" s="193" t="s">
        <v>862</v>
      </c>
    </row>
    <row r="60" spans="2:6">
      <c r="B60" s="186">
        <v>144</v>
      </c>
      <c r="D60" s="188" t="s">
        <v>42</v>
      </c>
      <c r="E60" s="188" t="s">
        <v>863</v>
      </c>
      <c r="F60" s="188" t="s">
        <v>863</v>
      </c>
    </row>
    <row r="61" spans="2:6" ht="24">
      <c r="B61" s="186">
        <v>145</v>
      </c>
      <c r="D61" s="188" t="s">
        <v>43</v>
      </c>
      <c r="E61" s="188" t="s">
        <v>864</v>
      </c>
      <c r="F61" s="188" t="s">
        <v>864</v>
      </c>
    </row>
    <row r="62" spans="2:6">
      <c r="B62" s="186">
        <v>146</v>
      </c>
      <c r="D62" s="188" t="s">
        <v>44</v>
      </c>
      <c r="E62" s="188" t="s">
        <v>865</v>
      </c>
      <c r="F62" s="188" t="s">
        <v>865</v>
      </c>
    </row>
    <row r="63" spans="2:6" ht="24">
      <c r="B63" s="186">
        <v>147</v>
      </c>
      <c r="D63" s="188" t="s">
        <v>45</v>
      </c>
      <c r="E63" s="188" t="s">
        <v>866</v>
      </c>
      <c r="F63" s="188" t="s">
        <v>866</v>
      </c>
    </row>
    <row r="64" spans="2:6">
      <c r="B64" s="186">
        <v>148</v>
      </c>
      <c r="D64" s="188" t="s">
        <v>501</v>
      </c>
      <c r="E64" s="188" t="s">
        <v>867</v>
      </c>
      <c r="F64" s="188" t="s">
        <v>867</v>
      </c>
    </row>
    <row r="65" spans="1:6">
      <c r="B65" s="186">
        <v>149</v>
      </c>
      <c r="D65" s="188" t="s">
        <v>502</v>
      </c>
      <c r="E65" s="188" t="s">
        <v>868</v>
      </c>
      <c r="F65" s="188" t="s">
        <v>868</v>
      </c>
    </row>
    <row r="66" spans="1:6">
      <c r="B66" s="186">
        <v>150</v>
      </c>
      <c r="D66" s="188" t="s">
        <v>46</v>
      </c>
      <c r="E66" s="188" t="s">
        <v>869</v>
      </c>
      <c r="F66" s="188" t="s">
        <v>869</v>
      </c>
    </row>
    <row r="67" spans="1:6">
      <c r="B67" s="186">
        <v>151</v>
      </c>
      <c r="C67" s="187" t="s">
        <v>470</v>
      </c>
      <c r="D67" s="185" t="s">
        <v>350</v>
      </c>
      <c r="E67" s="193" t="s">
        <v>870</v>
      </c>
      <c r="F67" s="193" t="s">
        <v>870</v>
      </c>
    </row>
    <row r="68" spans="1:6">
      <c r="B68" s="186">
        <v>152</v>
      </c>
      <c r="D68" s="188" t="s">
        <v>47</v>
      </c>
      <c r="E68" s="188" t="s">
        <v>871</v>
      </c>
      <c r="F68" s="188" t="s">
        <v>871</v>
      </c>
    </row>
    <row r="69" spans="1:6">
      <c r="B69" s="186">
        <v>153</v>
      </c>
      <c r="D69" s="188" t="s">
        <v>48</v>
      </c>
      <c r="E69" s="188" t="s">
        <v>872</v>
      </c>
      <c r="F69" s="188" t="s">
        <v>872</v>
      </c>
    </row>
    <row r="70" spans="1:6">
      <c r="B70" s="186">
        <v>154</v>
      </c>
      <c r="D70" s="188" t="s">
        <v>49</v>
      </c>
      <c r="E70" s="188" t="s">
        <v>873</v>
      </c>
      <c r="F70" s="188" t="s">
        <v>873</v>
      </c>
    </row>
    <row r="71" spans="1:6" ht="24">
      <c r="B71" s="186">
        <v>155</v>
      </c>
      <c r="D71" s="188" t="s">
        <v>50</v>
      </c>
      <c r="E71" s="188" t="s">
        <v>874</v>
      </c>
      <c r="F71" s="188" t="s">
        <v>874</v>
      </c>
    </row>
    <row r="72" spans="1:6">
      <c r="B72" s="186">
        <v>156</v>
      </c>
      <c r="C72" s="187" t="s">
        <v>470</v>
      </c>
      <c r="D72" s="185" t="s">
        <v>468</v>
      </c>
      <c r="E72" s="193" t="s">
        <v>875</v>
      </c>
      <c r="F72" s="193" t="s">
        <v>875</v>
      </c>
    </row>
    <row r="73" spans="1:6">
      <c r="B73" s="186">
        <v>157</v>
      </c>
      <c r="C73" s="187" t="s">
        <v>470</v>
      </c>
      <c r="D73" s="185" t="s">
        <v>467</v>
      </c>
      <c r="E73" s="193" t="s">
        <v>876</v>
      </c>
      <c r="F73" s="193" t="s">
        <v>876</v>
      </c>
    </row>
    <row r="74" spans="1:6">
      <c r="B74" s="186">
        <v>158</v>
      </c>
      <c r="D74" s="188" t="s">
        <v>351</v>
      </c>
      <c r="E74" s="188" t="s">
        <v>877</v>
      </c>
      <c r="F74" s="188" t="s">
        <v>877</v>
      </c>
    </row>
    <row r="75" spans="1:6">
      <c r="A75" s="194"/>
      <c r="B75" s="186">
        <v>159</v>
      </c>
      <c r="C75" s="191" t="s">
        <v>414</v>
      </c>
      <c r="D75" s="189" t="s">
        <v>434</v>
      </c>
      <c r="E75" s="189" t="s">
        <v>878</v>
      </c>
      <c r="F75" s="189" t="s">
        <v>878</v>
      </c>
    </row>
    <row r="76" spans="1:6">
      <c r="B76" s="186">
        <v>160</v>
      </c>
      <c r="D76" s="188" t="s">
        <v>51</v>
      </c>
      <c r="E76" s="189" t="s">
        <v>879</v>
      </c>
      <c r="F76" s="189" t="s">
        <v>879</v>
      </c>
    </row>
    <row r="77" spans="1:6">
      <c r="B77" s="186">
        <v>161</v>
      </c>
      <c r="D77" s="188" t="s">
        <v>52</v>
      </c>
      <c r="E77" s="189" t="s">
        <v>880</v>
      </c>
      <c r="F77" s="189" t="s">
        <v>880</v>
      </c>
    </row>
    <row r="78" spans="1:6">
      <c r="B78" s="186">
        <v>162</v>
      </c>
      <c r="D78" s="188" t="s">
        <v>514</v>
      </c>
      <c r="E78" s="188" t="s">
        <v>881</v>
      </c>
      <c r="F78" s="188" t="s">
        <v>881</v>
      </c>
    </row>
    <row r="79" spans="1:6">
      <c r="B79" s="186">
        <v>163</v>
      </c>
      <c r="D79" s="188" t="s">
        <v>512</v>
      </c>
      <c r="E79" s="188" t="s">
        <v>882</v>
      </c>
      <c r="F79" s="188" t="s">
        <v>882</v>
      </c>
    </row>
    <row r="80" spans="1:6">
      <c r="B80" s="186">
        <v>164</v>
      </c>
      <c r="D80" s="188" t="s">
        <v>511</v>
      </c>
      <c r="E80" s="188" t="s">
        <v>883</v>
      </c>
      <c r="F80" s="188" t="s">
        <v>883</v>
      </c>
    </row>
    <row r="81" spans="1:6">
      <c r="A81" s="194"/>
      <c r="B81" s="186">
        <v>165</v>
      </c>
      <c r="C81" s="191" t="s">
        <v>414</v>
      </c>
      <c r="D81" s="189" t="s">
        <v>435</v>
      </c>
      <c r="E81" s="189" t="s">
        <v>884</v>
      </c>
      <c r="F81" s="189" t="s">
        <v>884</v>
      </c>
    </row>
    <row r="82" spans="1:6">
      <c r="A82" s="194"/>
      <c r="B82" s="186">
        <v>166</v>
      </c>
      <c r="C82" s="191" t="s">
        <v>414</v>
      </c>
      <c r="D82" s="189" t="s">
        <v>436</v>
      </c>
      <c r="E82" s="189" t="s">
        <v>885</v>
      </c>
      <c r="F82" s="189" t="s">
        <v>885</v>
      </c>
    </row>
    <row r="83" spans="1:6">
      <c r="A83" s="194"/>
      <c r="B83" s="186">
        <v>167</v>
      </c>
      <c r="C83" s="191" t="s">
        <v>414</v>
      </c>
      <c r="D83" s="189" t="s">
        <v>437</v>
      </c>
      <c r="E83" s="189" t="s">
        <v>886</v>
      </c>
      <c r="F83" s="189" t="s">
        <v>886</v>
      </c>
    </row>
    <row r="84" spans="1:6">
      <c r="A84" s="194"/>
      <c r="B84" s="186">
        <v>168</v>
      </c>
      <c r="C84" s="191" t="s">
        <v>414</v>
      </c>
      <c r="D84" s="189" t="s">
        <v>422</v>
      </c>
      <c r="E84" s="189" t="s">
        <v>887</v>
      </c>
      <c r="F84" s="189" t="s">
        <v>887</v>
      </c>
    </row>
    <row r="85" spans="1:6">
      <c r="B85" s="186">
        <v>169</v>
      </c>
      <c r="D85" s="188" t="s">
        <v>53</v>
      </c>
      <c r="E85" s="188" t="s">
        <v>888</v>
      </c>
      <c r="F85" s="188" t="s">
        <v>888</v>
      </c>
    </row>
    <row r="86" spans="1:6">
      <c r="B86" s="186">
        <v>170</v>
      </c>
      <c r="D86" s="188" t="s">
        <v>54</v>
      </c>
      <c r="E86" s="188" t="s">
        <v>889</v>
      </c>
      <c r="F86" s="188" t="s">
        <v>889</v>
      </c>
    </row>
    <row r="87" spans="1:6">
      <c r="B87" s="186">
        <v>171</v>
      </c>
      <c r="D87" s="188" t="s">
        <v>438</v>
      </c>
      <c r="E87" s="188" t="s">
        <v>890</v>
      </c>
      <c r="F87" s="188" t="s">
        <v>890</v>
      </c>
    </row>
    <row r="88" spans="1:6">
      <c r="B88" s="186">
        <v>172</v>
      </c>
      <c r="D88" s="188" t="s">
        <v>55</v>
      </c>
      <c r="E88" s="188" t="s">
        <v>891</v>
      </c>
      <c r="F88" s="188" t="s">
        <v>891</v>
      </c>
    </row>
    <row r="89" spans="1:6">
      <c r="B89" s="186">
        <v>173</v>
      </c>
      <c r="D89" s="188" t="s">
        <v>56</v>
      </c>
      <c r="E89" s="188" t="s">
        <v>892</v>
      </c>
      <c r="F89" s="188" t="s">
        <v>892</v>
      </c>
    </row>
    <row r="90" spans="1:6">
      <c r="B90" s="186">
        <v>174</v>
      </c>
      <c r="D90" s="188" t="s">
        <v>57</v>
      </c>
      <c r="E90" s="188" t="s">
        <v>893</v>
      </c>
      <c r="F90" s="188" t="s">
        <v>893</v>
      </c>
    </row>
    <row r="91" spans="1:6">
      <c r="B91" s="186">
        <v>175</v>
      </c>
      <c r="D91" s="188" t="s">
        <v>58</v>
      </c>
      <c r="E91" s="188" t="s">
        <v>894</v>
      </c>
      <c r="F91" s="188" t="s">
        <v>894</v>
      </c>
    </row>
    <row r="92" spans="1:6" ht="24">
      <c r="B92" s="186">
        <v>176</v>
      </c>
      <c r="D92" s="188" t="s">
        <v>59</v>
      </c>
      <c r="E92" s="188" t="s">
        <v>895</v>
      </c>
      <c r="F92" s="188" t="s">
        <v>895</v>
      </c>
    </row>
    <row r="93" spans="1:6">
      <c r="B93" s="186">
        <v>177</v>
      </c>
      <c r="D93" s="188" t="s">
        <v>60</v>
      </c>
      <c r="E93" s="188" t="s">
        <v>896</v>
      </c>
      <c r="F93" s="188" t="s">
        <v>896</v>
      </c>
    </row>
    <row r="94" spans="1:6">
      <c r="B94" s="186">
        <v>178</v>
      </c>
      <c r="D94" s="188" t="s">
        <v>61</v>
      </c>
      <c r="E94" s="188" t="s">
        <v>897</v>
      </c>
      <c r="F94" s="188" t="s">
        <v>897</v>
      </c>
    </row>
    <row r="95" spans="1:6">
      <c r="B95" s="186">
        <v>179</v>
      </c>
      <c r="D95" s="188" t="s">
        <v>62</v>
      </c>
      <c r="E95" s="188" t="s">
        <v>898</v>
      </c>
      <c r="F95" s="188" t="s">
        <v>898</v>
      </c>
    </row>
    <row r="96" spans="1:6">
      <c r="B96" s="186">
        <v>180</v>
      </c>
      <c r="D96" s="188" t="s">
        <v>352</v>
      </c>
      <c r="E96" s="188" t="s">
        <v>899</v>
      </c>
      <c r="F96" s="188" t="s">
        <v>899</v>
      </c>
    </row>
    <row r="97" spans="2:6">
      <c r="B97" s="186">
        <v>181</v>
      </c>
      <c r="C97" s="187" t="s">
        <v>547</v>
      </c>
      <c r="D97" s="188" t="s">
        <v>568</v>
      </c>
      <c r="E97" s="188" t="s">
        <v>900</v>
      </c>
      <c r="F97" s="188" t="s">
        <v>900</v>
      </c>
    </row>
    <row r="98" spans="2:6" ht="36">
      <c r="B98" s="186">
        <v>182</v>
      </c>
      <c r="C98" s="187" t="s">
        <v>547</v>
      </c>
      <c r="D98" s="188" t="s">
        <v>588</v>
      </c>
      <c r="E98" s="188" t="s">
        <v>901</v>
      </c>
      <c r="F98" s="188" t="s">
        <v>901</v>
      </c>
    </row>
    <row r="99" spans="2:6">
      <c r="B99" s="186">
        <v>183</v>
      </c>
      <c r="D99" s="188" t="s">
        <v>63</v>
      </c>
      <c r="E99" s="188" t="s">
        <v>902</v>
      </c>
      <c r="F99" s="188" t="s">
        <v>902</v>
      </c>
    </row>
    <row r="100" spans="2:6">
      <c r="B100" s="186">
        <v>184</v>
      </c>
      <c r="D100" s="188" t="s">
        <v>623</v>
      </c>
      <c r="E100" s="188" t="s">
        <v>903</v>
      </c>
      <c r="F100" s="188" t="s">
        <v>903</v>
      </c>
    </row>
    <row r="101" spans="2:6">
      <c r="B101" s="186">
        <v>185</v>
      </c>
      <c r="D101" s="188" t="s">
        <v>64</v>
      </c>
      <c r="E101" s="188" t="s">
        <v>904</v>
      </c>
      <c r="F101" s="188" t="s">
        <v>904</v>
      </c>
    </row>
    <row r="102" spans="2:6" ht="24">
      <c r="B102" s="186">
        <v>186</v>
      </c>
      <c r="D102" s="188" t="s">
        <v>65</v>
      </c>
      <c r="E102" s="188" t="s">
        <v>905</v>
      </c>
      <c r="F102" s="188" t="s">
        <v>905</v>
      </c>
    </row>
    <row r="103" spans="2:6" ht="24">
      <c r="B103" s="186">
        <v>187</v>
      </c>
      <c r="D103" s="188" t="s">
        <v>66</v>
      </c>
      <c r="E103" s="188" t="s">
        <v>906</v>
      </c>
      <c r="F103" s="188" t="s">
        <v>906</v>
      </c>
    </row>
    <row r="104" spans="2:6" ht="24">
      <c r="B104" s="186">
        <v>188</v>
      </c>
      <c r="D104" s="188" t="s">
        <v>67</v>
      </c>
      <c r="E104" s="188" t="s">
        <v>907</v>
      </c>
      <c r="F104" s="188" t="s">
        <v>907</v>
      </c>
    </row>
    <row r="105" spans="2:6">
      <c r="B105" s="186">
        <v>189</v>
      </c>
      <c r="D105" s="188" t="s">
        <v>68</v>
      </c>
      <c r="E105" s="188" t="s">
        <v>908</v>
      </c>
      <c r="F105" s="188" t="s">
        <v>908</v>
      </c>
    </row>
    <row r="106" spans="2:6">
      <c r="B106" s="186">
        <v>190</v>
      </c>
      <c r="C106" s="187" t="s">
        <v>547</v>
      </c>
      <c r="D106" s="188" t="s">
        <v>566</v>
      </c>
      <c r="E106" s="188" t="s">
        <v>909</v>
      </c>
      <c r="F106" s="188" t="s">
        <v>909</v>
      </c>
    </row>
    <row r="107" spans="2:6">
      <c r="B107" s="186">
        <v>191</v>
      </c>
      <c r="D107" s="188" t="s">
        <v>594</v>
      </c>
      <c r="E107" s="188" t="s">
        <v>910</v>
      </c>
      <c r="F107" s="188" t="s">
        <v>910</v>
      </c>
    </row>
    <row r="108" spans="2:6">
      <c r="B108" s="186">
        <v>192</v>
      </c>
      <c r="D108" s="188" t="s">
        <v>456</v>
      </c>
      <c r="E108" s="188" t="s">
        <v>911</v>
      </c>
      <c r="F108" s="188" t="s">
        <v>911</v>
      </c>
    </row>
    <row r="109" spans="2:6">
      <c r="B109" s="186">
        <v>193</v>
      </c>
      <c r="D109" s="188" t="s">
        <v>457</v>
      </c>
      <c r="E109" s="188" t="s">
        <v>912</v>
      </c>
      <c r="F109" s="188" t="s">
        <v>912</v>
      </c>
    </row>
    <row r="110" spans="2:6">
      <c r="B110" s="186">
        <v>194</v>
      </c>
      <c r="D110" s="188" t="s">
        <v>69</v>
      </c>
      <c r="E110" s="188" t="s">
        <v>913</v>
      </c>
      <c r="F110" s="188" t="s">
        <v>913</v>
      </c>
    </row>
    <row r="111" spans="2:6">
      <c r="B111" s="186">
        <v>195</v>
      </c>
      <c r="D111" s="188" t="s">
        <v>70</v>
      </c>
      <c r="E111" s="188" t="s">
        <v>914</v>
      </c>
      <c r="F111" s="188" t="s">
        <v>914</v>
      </c>
    </row>
    <row r="112" spans="2:6">
      <c r="B112" s="186">
        <v>196</v>
      </c>
      <c r="D112" s="188" t="s">
        <v>353</v>
      </c>
      <c r="E112" s="188" t="s">
        <v>915</v>
      </c>
      <c r="F112" s="188" t="s">
        <v>915</v>
      </c>
    </row>
    <row r="113" spans="2:6" ht="24">
      <c r="B113" s="186">
        <v>197</v>
      </c>
      <c r="D113" s="188" t="s">
        <v>354</v>
      </c>
      <c r="E113" s="188" t="s">
        <v>916</v>
      </c>
      <c r="F113" s="188" t="s">
        <v>916</v>
      </c>
    </row>
    <row r="114" spans="2:6" ht="24">
      <c r="B114" s="186">
        <v>198</v>
      </c>
      <c r="D114" s="188" t="s">
        <v>71</v>
      </c>
      <c r="E114" s="188" t="s">
        <v>917</v>
      </c>
      <c r="F114" s="188" t="s">
        <v>917</v>
      </c>
    </row>
    <row r="115" spans="2:6">
      <c r="B115" s="186">
        <v>199</v>
      </c>
      <c r="D115" s="188" t="s">
        <v>625</v>
      </c>
      <c r="E115" s="188" t="s">
        <v>918</v>
      </c>
      <c r="F115" s="188" t="s">
        <v>918</v>
      </c>
    </row>
    <row r="116" spans="2:6">
      <c r="B116" s="186">
        <v>200</v>
      </c>
      <c r="D116" s="188" t="s">
        <v>72</v>
      </c>
      <c r="E116" s="188" t="s">
        <v>73</v>
      </c>
      <c r="F116" s="188" t="s">
        <v>73</v>
      </c>
    </row>
    <row r="117" spans="2:6">
      <c r="B117" s="186">
        <v>201</v>
      </c>
      <c r="D117" s="188" t="s">
        <v>617</v>
      </c>
      <c r="E117" s="188" t="s">
        <v>919</v>
      </c>
      <c r="F117" s="188" t="s">
        <v>919</v>
      </c>
    </row>
    <row r="118" spans="2:6">
      <c r="B118" s="186">
        <v>202</v>
      </c>
      <c r="D118" s="188" t="s">
        <v>355</v>
      </c>
      <c r="E118" s="188" t="s">
        <v>920</v>
      </c>
      <c r="F118" s="188" t="s">
        <v>920</v>
      </c>
    </row>
    <row r="119" spans="2:6">
      <c r="B119" s="186">
        <v>203</v>
      </c>
      <c r="D119" s="188" t="s">
        <v>356</v>
      </c>
      <c r="E119" s="188" t="s">
        <v>921</v>
      </c>
      <c r="F119" s="188" t="s">
        <v>921</v>
      </c>
    </row>
    <row r="120" spans="2:6">
      <c r="B120" s="186">
        <v>204</v>
      </c>
      <c r="D120" s="188" t="s">
        <v>357</v>
      </c>
      <c r="E120" s="188" t="s">
        <v>922</v>
      </c>
      <c r="F120" s="188" t="s">
        <v>922</v>
      </c>
    </row>
    <row r="121" spans="2:6">
      <c r="B121" s="186">
        <v>205</v>
      </c>
      <c r="D121" s="188" t="s">
        <v>608</v>
      </c>
      <c r="E121" s="188" t="s">
        <v>923</v>
      </c>
      <c r="F121" s="188" t="s">
        <v>923</v>
      </c>
    </row>
    <row r="122" spans="2:6">
      <c r="B122" s="186">
        <v>206</v>
      </c>
      <c r="D122" s="188" t="s">
        <v>601</v>
      </c>
      <c r="E122" s="188" t="s">
        <v>924</v>
      </c>
      <c r="F122" s="188" t="s">
        <v>924</v>
      </c>
    </row>
    <row r="123" spans="2:6">
      <c r="B123" s="186">
        <v>207</v>
      </c>
      <c r="D123" s="188" t="s">
        <v>74</v>
      </c>
      <c r="E123" s="188" t="s">
        <v>925</v>
      </c>
      <c r="F123" s="188" t="s">
        <v>925</v>
      </c>
    </row>
    <row r="124" spans="2:6" ht="24">
      <c r="B124" s="186">
        <v>208</v>
      </c>
      <c r="D124" s="188" t="s">
        <v>75</v>
      </c>
      <c r="E124" s="188" t="s">
        <v>926</v>
      </c>
      <c r="F124" s="188" t="s">
        <v>926</v>
      </c>
    </row>
    <row r="125" spans="2:6" ht="24">
      <c r="B125" s="186">
        <v>209</v>
      </c>
      <c r="D125" s="188" t="s">
        <v>76</v>
      </c>
      <c r="E125" s="188" t="s">
        <v>927</v>
      </c>
      <c r="F125" s="188" t="s">
        <v>927</v>
      </c>
    </row>
    <row r="126" spans="2:6">
      <c r="B126" s="186">
        <v>210</v>
      </c>
      <c r="D126" s="188" t="s">
        <v>458</v>
      </c>
      <c r="E126" s="188" t="s">
        <v>928</v>
      </c>
      <c r="F126" s="188" t="s">
        <v>928</v>
      </c>
    </row>
    <row r="127" spans="2:6">
      <c r="B127" s="186">
        <v>211</v>
      </c>
      <c r="D127" s="188" t="s">
        <v>77</v>
      </c>
      <c r="E127" s="188" t="s">
        <v>77</v>
      </c>
      <c r="F127" s="188" t="s">
        <v>77</v>
      </c>
    </row>
    <row r="128" spans="2:6">
      <c r="B128" s="186">
        <v>212</v>
      </c>
      <c r="D128" s="188" t="s">
        <v>78</v>
      </c>
      <c r="E128" s="188" t="s">
        <v>929</v>
      </c>
      <c r="F128" s="188" t="s">
        <v>929</v>
      </c>
    </row>
    <row r="129" spans="2:6">
      <c r="B129" s="186">
        <v>213</v>
      </c>
      <c r="D129" s="188" t="s">
        <v>79</v>
      </c>
      <c r="E129" s="188" t="s">
        <v>930</v>
      </c>
      <c r="F129" s="188" t="s">
        <v>930</v>
      </c>
    </row>
    <row r="130" spans="2:6">
      <c r="B130" s="186">
        <v>214</v>
      </c>
      <c r="D130" s="188" t="s">
        <v>80</v>
      </c>
      <c r="E130" s="188" t="s">
        <v>931</v>
      </c>
      <c r="F130" s="188" t="s">
        <v>931</v>
      </c>
    </row>
    <row r="131" spans="2:6">
      <c r="B131" s="186">
        <v>215</v>
      </c>
      <c r="D131" s="188" t="s">
        <v>358</v>
      </c>
      <c r="E131" s="188" t="s">
        <v>932</v>
      </c>
      <c r="F131" s="188" t="s">
        <v>932</v>
      </c>
    </row>
    <row r="132" spans="2:6">
      <c r="B132" s="186">
        <v>216</v>
      </c>
      <c r="D132" s="188" t="s">
        <v>81</v>
      </c>
      <c r="E132" s="188" t="s">
        <v>933</v>
      </c>
      <c r="F132" s="188" t="s">
        <v>933</v>
      </c>
    </row>
    <row r="133" spans="2:6">
      <c r="B133" s="186">
        <v>217</v>
      </c>
      <c r="D133" s="188" t="s">
        <v>359</v>
      </c>
      <c r="E133" s="188" t="s">
        <v>934</v>
      </c>
      <c r="F133" s="188" t="s">
        <v>934</v>
      </c>
    </row>
    <row r="134" spans="2:6">
      <c r="B134" s="186">
        <v>218</v>
      </c>
      <c r="D134" s="188" t="s">
        <v>82</v>
      </c>
      <c r="E134" s="188" t="s">
        <v>935</v>
      </c>
      <c r="F134" s="188" t="s">
        <v>935</v>
      </c>
    </row>
    <row r="135" spans="2:6">
      <c r="B135" s="186">
        <v>219</v>
      </c>
      <c r="D135" s="188" t="s">
        <v>83</v>
      </c>
      <c r="E135" s="188" t="s">
        <v>936</v>
      </c>
      <c r="F135" s="188" t="s">
        <v>936</v>
      </c>
    </row>
    <row r="136" spans="2:6">
      <c r="B136" s="186">
        <v>220</v>
      </c>
      <c r="D136" s="188" t="s">
        <v>84</v>
      </c>
      <c r="E136" s="188" t="s">
        <v>937</v>
      </c>
      <c r="F136" s="188" t="s">
        <v>937</v>
      </c>
    </row>
    <row r="137" spans="2:6">
      <c r="B137" s="186">
        <v>221</v>
      </c>
      <c r="D137" s="188" t="s">
        <v>360</v>
      </c>
      <c r="E137" s="188" t="s">
        <v>938</v>
      </c>
      <c r="F137" s="188" t="s">
        <v>938</v>
      </c>
    </row>
    <row r="138" spans="2:6">
      <c r="B138" s="186">
        <v>222</v>
      </c>
      <c r="D138" s="188" t="s">
        <v>85</v>
      </c>
      <c r="E138" s="188" t="s">
        <v>939</v>
      </c>
      <c r="F138" s="188" t="s">
        <v>939</v>
      </c>
    </row>
    <row r="139" spans="2:6">
      <c r="B139" s="186">
        <v>223</v>
      </c>
      <c r="D139" s="188" t="s">
        <v>86</v>
      </c>
      <c r="E139" s="188" t="s">
        <v>940</v>
      </c>
      <c r="F139" s="188" t="s">
        <v>940</v>
      </c>
    </row>
    <row r="140" spans="2:6">
      <c r="B140" s="186">
        <v>224</v>
      </c>
      <c r="C140" s="187" t="s">
        <v>470</v>
      </c>
      <c r="D140" s="188" t="s">
        <v>479</v>
      </c>
      <c r="E140" s="188" t="s">
        <v>941</v>
      </c>
      <c r="F140" s="188" t="s">
        <v>941</v>
      </c>
    </row>
    <row r="141" spans="2:6">
      <c r="B141" s="186">
        <v>225</v>
      </c>
      <c r="D141" s="188" t="s">
        <v>87</v>
      </c>
      <c r="E141" s="188" t="s">
        <v>942</v>
      </c>
      <c r="F141" s="188" t="s">
        <v>942</v>
      </c>
    </row>
    <row r="142" spans="2:6">
      <c r="B142" s="186">
        <v>226</v>
      </c>
      <c r="D142" s="188" t="s">
        <v>590</v>
      </c>
      <c r="E142" s="188" t="s">
        <v>943</v>
      </c>
      <c r="F142" s="188" t="s">
        <v>943</v>
      </c>
    </row>
    <row r="143" spans="2:6">
      <c r="B143" s="186">
        <v>227</v>
      </c>
      <c r="D143" s="188" t="s">
        <v>361</v>
      </c>
      <c r="E143" s="188" t="s">
        <v>944</v>
      </c>
      <c r="F143" s="188" t="s">
        <v>944</v>
      </c>
    </row>
    <row r="144" spans="2:6">
      <c r="B144" s="186">
        <v>228</v>
      </c>
      <c r="D144" s="188" t="s">
        <v>362</v>
      </c>
      <c r="E144" s="188" t="s">
        <v>945</v>
      </c>
      <c r="F144" s="188" t="s">
        <v>945</v>
      </c>
    </row>
    <row r="145" spans="2:6">
      <c r="B145" s="186">
        <v>229</v>
      </c>
      <c r="D145" s="188" t="s">
        <v>544</v>
      </c>
      <c r="E145" s="188" t="s">
        <v>946</v>
      </c>
      <c r="F145" s="188" t="s">
        <v>946</v>
      </c>
    </row>
    <row r="146" spans="2:6">
      <c r="B146" s="186">
        <v>230</v>
      </c>
      <c r="D146" s="188" t="s">
        <v>543</v>
      </c>
      <c r="E146" s="188" t="s">
        <v>947</v>
      </c>
      <c r="F146" s="188" t="s">
        <v>947</v>
      </c>
    </row>
    <row r="147" spans="2:6">
      <c r="B147" s="186">
        <v>231</v>
      </c>
      <c r="D147" s="188" t="s">
        <v>363</v>
      </c>
      <c r="E147" s="188" t="s">
        <v>948</v>
      </c>
      <c r="F147" s="188" t="s">
        <v>948</v>
      </c>
    </row>
    <row r="148" spans="2:6">
      <c r="B148" s="186">
        <v>232</v>
      </c>
      <c r="D148" s="188" t="s">
        <v>605</v>
      </c>
      <c r="E148" s="188" t="s">
        <v>949</v>
      </c>
      <c r="F148" s="188" t="s">
        <v>949</v>
      </c>
    </row>
    <row r="149" spans="2:6">
      <c r="B149" s="186">
        <v>233</v>
      </c>
      <c r="D149" s="188" t="s">
        <v>364</v>
      </c>
      <c r="E149" s="188" t="s">
        <v>950</v>
      </c>
      <c r="F149" s="188" t="s">
        <v>950</v>
      </c>
    </row>
    <row r="150" spans="2:6">
      <c r="B150" s="186">
        <v>234</v>
      </c>
      <c r="D150" s="188" t="s">
        <v>365</v>
      </c>
      <c r="E150" s="188" t="s">
        <v>951</v>
      </c>
      <c r="F150" s="188" t="s">
        <v>951</v>
      </c>
    </row>
    <row r="151" spans="2:6">
      <c r="B151" s="186">
        <v>235</v>
      </c>
      <c r="D151" s="188" t="s">
        <v>88</v>
      </c>
      <c r="E151" s="188" t="s">
        <v>952</v>
      </c>
      <c r="F151" s="188" t="s">
        <v>952</v>
      </c>
    </row>
    <row r="152" spans="2:6">
      <c r="B152" s="186">
        <v>236</v>
      </c>
      <c r="D152" s="188" t="s">
        <v>366</v>
      </c>
      <c r="E152" s="188" t="s">
        <v>953</v>
      </c>
      <c r="F152" s="188" t="s">
        <v>953</v>
      </c>
    </row>
    <row r="153" spans="2:6">
      <c r="B153" s="186">
        <v>237</v>
      </c>
      <c r="D153" s="188" t="s">
        <v>602</v>
      </c>
      <c r="E153" s="188" t="s">
        <v>954</v>
      </c>
      <c r="F153" s="188" t="s">
        <v>954</v>
      </c>
    </row>
    <row r="154" spans="2:6">
      <c r="B154" s="186">
        <v>238</v>
      </c>
      <c r="D154" s="188" t="s">
        <v>89</v>
      </c>
      <c r="E154" s="188" t="s">
        <v>955</v>
      </c>
      <c r="F154" s="188" t="s">
        <v>955</v>
      </c>
    </row>
    <row r="155" spans="2:6">
      <c r="B155" s="186">
        <v>239</v>
      </c>
      <c r="D155" s="188" t="s">
        <v>90</v>
      </c>
      <c r="E155" s="188" t="s">
        <v>956</v>
      </c>
      <c r="F155" s="188" t="s">
        <v>956</v>
      </c>
    </row>
    <row r="156" spans="2:6">
      <c r="B156" s="186">
        <v>240</v>
      </c>
      <c r="D156" s="188" t="s">
        <v>91</v>
      </c>
      <c r="E156" s="188" t="s">
        <v>957</v>
      </c>
      <c r="F156" s="188" t="s">
        <v>957</v>
      </c>
    </row>
    <row r="157" spans="2:6">
      <c r="B157" s="186">
        <v>241</v>
      </c>
      <c r="D157" s="188" t="s">
        <v>367</v>
      </c>
      <c r="E157" s="188" t="s">
        <v>958</v>
      </c>
      <c r="F157" s="188" t="s">
        <v>958</v>
      </c>
    </row>
    <row r="158" spans="2:6">
      <c r="B158" s="186">
        <v>242</v>
      </c>
      <c r="D158" s="188" t="s">
        <v>368</v>
      </c>
      <c r="E158" s="188" t="s">
        <v>959</v>
      </c>
      <c r="F158" s="188" t="s">
        <v>959</v>
      </c>
    </row>
    <row r="159" spans="2:6">
      <c r="B159" s="186">
        <v>243</v>
      </c>
      <c r="D159" s="188" t="s">
        <v>591</v>
      </c>
      <c r="E159" s="188" t="s">
        <v>960</v>
      </c>
      <c r="F159" s="188" t="s">
        <v>960</v>
      </c>
    </row>
    <row r="160" spans="2:6">
      <c r="B160" s="186">
        <v>244</v>
      </c>
      <c r="D160" s="188" t="s">
        <v>650</v>
      </c>
      <c r="E160" s="188" t="s">
        <v>961</v>
      </c>
      <c r="F160" s="188" t="s">
        <v>961</v>
      </c>
    </row>
    <row r="161" spans="2:6">
      <c r="B161" s="186">
        <v>245</v>
      </c>
      <c r="D161" s="188" t="s">
        <v>651</v>
      </c>
      <c r="E161" s="188" t="s">
        <v>962</v>
      </c>
      <c r="F161" s="188" t="s">
        <v>962</v>
      </c>
    </row>
    <row r="162" spans="2:6">
      <c r="B162" s="186">
        <v>246</v>
      </c>
      <c r="D162" s="188" t="s">
        <v>369</v>
      </c>
      <c r="E162" s="188" t="s">
        <v>963</v>
      </c>
      <c r="F162" s="188" t="s">
        <v>963</v>
      </c>
    </row>
    <row r="163" spans="2:6">
      <c r="B163" s="186">
        <v>247</v>
      </c>
      <c r="D163" s="188" t="s">
        <v>593</v>
      </c>
      <c r="E163" s="188" t="s">
        <v>964</v>
      </c>
      <c r="F163" s="188" t="s">
        <v>964</v>
      </c>
    </row>
    <row r="164" spans="2:6">
      <c r="B164" s="186">
        <v>248</v>
      </c>
      <c r="D164" s="188" t="s">
        <v>370</v>
      </c>
      <c r="E164" s="188" t="s">
        <v>965</v>
      </c>
      <c r="F164" s="188" t="s">
        <v>965</v>
      </c>
    </row>
    <row r="165" spans="2:6">
      <c r="B165" s="186">
        <v>249</v>
      </c>
      <c r="D165" s="188" t="s">
        <v>371</v>
      </c>
      <c r="E165" s="188" t="s">
        <v>966</v>
      </c>
      <c r="F165" s="188" t="s">
        <v>966</v>
      </c>
    </row>
    <row r="166" spans="2:6">
      <c r="B166" s="186">
        <v>250</v>
      </c>
      <c r="D166" s="188" t="s">
        <v>92</v>
      </c>
      <c r="E166" s="188" t="s">
        <v>967</v>
      </c>
      <c r="F166" s="188" t="s">
        <v>967</v>
      </c>
    </row>
    <row r="167" spans="2:6">
      <c r="B167" s="186">
        <v>251</v>
      </c>
      <c r="D167" s="188" t="s">
        <v>93</v>
      </c>
      <c r="E167" s="188" t="s">
        <v>968</v>
      </c>
      <c r="F167" s="188" t="s">
        <v>968</v>
      </c>
    </row>
    <row r="168" spans="2:6">
      <c r="B168" s="186">
        <v>252</v>
      </c>
      <c r="D168" s="188" t="s">
        <v>592</v>
      </c>
      <c r="E168" s="188" t="s">
        <v>969</v>
      </c>
      <c r="F168" s="188" t="s">
        <v>969</v>
      </c>
    </row>
    <row r="169" spans="2:6">
      <c r="B169" s="186">
        <v>253</v>
      </c>
      <c r="D169" s="188" t="s">
        <v>660</v>
      </c>
      <c r="E169" s="188" t="s">
        <v>970</v>
      </c>
      <c r="F169" s="188" t="s">
        <v>970</v>
      </c>
    </row>
    <row r="170" spans="2:6">
      <c r="B170" s="186">
        <v>254</v>
      </c>
      <c r="D170" s="188" t="s">
        <v>94</v>
      </c>
      <c r="E170" s="188" t="s">
        <v>971</v>
      </c>
      <c r="F170" s="188" t="s">
        <v>971</v>
      </c>
    </row>
    <row r="171" spans="2:6">
      <c r="B171" s="186">
        <v>255</v>
      </c>
      <c r="C171" s="187" t="s">
        <v>470</v>
      </c>
      <c r="D171" s="188" t="s">
        <v>476</v>
      </c>
      <c r="E171" s="188" t="s">
        <v>972</v>
      </c>
      <c r="F171" s="188" t="s">
        <v>972</v>
      </c>
    </row>
    <row r="172" spans="2:6">
      <c r="B172" s="186">
        <v>256</v>
      </c>
      <c r="D172" s="188" t="s">
        <v>95</v>
      </c>
      <c r="E172" s="188" t="s">
        <v>973</v>
      </c>
      <c r="F172" s="188" t="s">
        <v>973</v>
      </c>
    </row>
    <row r="173" spans="2:6">
      <c r="B173" s="186">
        <v>257</v>
      </c>
      <c r="D173" s="188" t="s">
        <v>372</v>
      </c>
      <c r="E173" s="188" t="s">
        <v>974</v>
      </c>
      <c r="F173" s="188" t="s">
        <v>974</v>
      </c>
    </row>
    <row r="174" spans="2:6">
      <c r="B174" s="186">
        <v>258</v>
      </c>
      <c r="D174" s="188" t="s">
        <v>373</v>
      </c>
      <c r="E174" s="188" t="s">
        <v>975</v>
      </c>
      <c r="F174" s="188" t="s">
        <v>975</v>
      </c>
    </row>
    <row r="175" spans="2:6">
      <c r="B175" s="186">
        <v>259</v>
      </c>
      <c r="D175" s="188" t="s">
        <v>374</v>
      </c>
      <c r="E175" s="188" t="s">
        <v>976</v>
      </c>
      <c r="F175" s="188" t="s">
        <v>976</v>
      </c>
    </row>
    <row r="176" spans="2:6">
      <c r="B176" s="186">
        <v>260</v>
      </c>
      <c r="D176" s="188" t="s">
        <v>522</v>
      </c>
      <c r="E176" s="188" t="s">
        <v>977</v>
      </c>
      <c r="F176" s="188" t="s">
        <v>977</v>
      </c>
    </row>
    <row r="177" spans="2:6">
      <c r="B177" s="186">
        <v>261</v>
      </c>
      <c r="D177" s="188" t="s">
        <v>524</v>
      </c>
      <c r="E177" s="188" t="s">
        <v>978</v>
      </c>
      <c r="F177" s="188" t="s">
        <v>978</v>
      </c>
    </row>
    <row r="178" spans="2:6" ht="24">
      <c r="B178" s="186">
        <v>262</v>
      </c>
      <c r="D178" s="188" t="s">
        <v>525</v>
      </c>
      <c r="E178" s="188" t="s">
        <v>979</v>
      </c>
      <c r="F178" s="188" t="s">
        <v>979</v>
      </c>
    </row>
    <row r="179" spans="2:6" ht="24">
      <c r="B179" s="186">
        <v>263</v>
      </c>
      <c r="D179" s="188" t="s">
        <v>546</v>
      </c>
      <c r="E179" s="188" t="s">
        <v>980</v>
      </c>
      <c r="F179" s="188" t="s">
        <v>980</v>
      </c>
    </row>
    <row r="180" spans="2:6">
      <c r="B180" s="186">
        <v>264</v>
      </c>
      <c r="D180" s="188" t="s">
        <v>523</v>
      </c>
      <c r="E180" s="188" t="s">
        <v>981</v>
      </c>
      <c r="F180" s="188" t="s">
        <v>981</v>
      </c>
    </row>
    <row r="181" spans="2:6">
      <c r="B181" s="186">
        <v>265</v>
      </c>
      <c r="D181" s="188" t="s">
        <v>527</v>
      </c>
      <c r="E181" s="188" t="s">
        <v>982</v>
      </c>
      <c r="F181" s="188" t="s">
        <v>982</v>
      </c>
    </row>
    <row r="182" spans="2:6">
      <c r="B182" s="186">
        <v>266</v>
      </c>
      <c r="D182" s="188" t="s">
        <v>521</v>
      </c>
      <c r="E182" s="188" t="s">
        <v>983</v>
      </c>
      <c r="F182" s="188" t="s">
        <v>983</v>
      </c>
    </row>
    <row r="183" spans="2:6">
      <c r="B183" s="186">
        <v>267</v>
      </c>
      <c r="D183" s="188" t="s">
        <v>96</v>
      </c>
      <c r="E183" s="188" t="s">
        <v>984</v>
      </c>
      <c r="F183" s="188" t="s">
        <v>984</v>
      </c>
    </row>
    <row r="184" spans="2:6">
      <c r="B184" s="186">
        <v>268</v>
      </c>
      <c r="D184" s="188" t="s">
        <v>612</v>
      </c>
      <c r="E184" s="188" t="s">
        <v>985</v>
      </c>
      <c r="F184" s="188" t="s">
        <v>985</v>
      </c>
    </row>
    <row r="185" spans="2:6">
      <c r="B185" s="186">
        <v>269</v>
      </c>
      <c r="D185" s="188" t="s">
        <v>97</v>
      </c>
      <c r="E185" s="188" t="s">
        <v>986</v>
      </c>
      <c r="F185" s="188" t="s">
        <v>986</v>
      </c>
    </row>
    <row r="186" spans="2:6">
      <c r="B186" s="186">
        <v>270</v>
      </c>
      <c r="D186" s="188" t="s">
        <v>375</v>
      </c>
      <c r="E186" s="188" t="s">
        <v>987</v>
      </c>
      <c r="F186" s="188" t="s">
        <v>987</v>
      </c>
    </row>
    <row r="187" spans="2:6" ht="24">
      <c r="B187" s="186">
        <v>271</v>
      </c>
      <c r="D187" s="188" t="s">
        <v>98</v>
      </c>
      <c r="E187" s="188" t="s">
        <v>988</v>
      </c>
      <c r="F187" s="188" t="s">
        <v>988</v>
      </c>
    </row>
    <row r="188" spans="2:6" ht="36">
      <c r="B188" s="186">
        <v>272</v>
      </c>
      <c r="D188" s="188" t="s">
        <v>99</v>
      </c>
      <c r="E188" s="188" t="s">
        <v>989</v>
      </c>
      <c r="F188" s="188" t="s">
        <v>989</v>
      </c>
    </row>
    <row r="189" spans="2:6">
      <c r="B189" s="186">
        <v>273</v>
      </c>
      <c r="D189" s="188" t="s">
        <v>100</v>
      </c>
      <c r="E189" s="188" t="s">
        <v>990</v>
      </c>
      <c r="F189" s="188" t="s">
        <v>990</v>
      </c>
    </row>
    <row r="190" spans="2:6">
      <c r="B190" s="186">
        <v>274</v>
      </c>
      <c r="D190" s="188" t="s">
        <v>101</v>
      </c>
      <c r="E190" s="188" t="s">
        <v>991</v>
      </c>
      <c r="F190" s="188" t="s">
        <v>991</v>
      </c>
    </row>
    <row r="191" spans="2:6">
      <c r="B191" s="186">
        <v>275</v>
      </c>
      <c r="D191" s="188" t="s">
        <v>102</v>
      </c>
      <c r="E191" s="188" t="s">
        <v>992</v>
      </c>
      <c r="F191" s="188" t="s">
        <v>992</v>
      </c>
    </row>
    <row r="192" spans="2:6">
      <c r="B192" s="186">
        <v>276</v>
      </c>
      <c r="D192" s="188" t="s">
        <v>103</v>
      </c>
      <c r="E192" s="188" t="s">
        <v>993</v>
      </c>
      <c r="F192" s="188" t="s">
        <v>993</v>
      </c>
    </row>
    <row r="193" spans="2:6">
      <c r="B193" s="186">
        <v>277</v>
      </c>
      <c r="D193" s="188" t="s">
        <v>104</v>
      </c>
      <c r="E193" s="188" t="s">
        <v>994</v>
      </c>
      <c r="F193" s="188" t="s">
        <v>994</v>
      </c>
    </row>
    <row r="194" spans="2:6">
      <c r="B194" s="186">
        <v>278</v>
      </c>
      <c r="D194" s="188" t="s">
        <v>105</v>
      </c>
      <c r="E194" s="188" t="s">
        <v>995</v>
      </c>
      <c r="F194" s="188" t="s">
        <v>995</v>
      </c>
    </row>
    <row r="195" spans="2:6">
      <c r="B195" s="186">
        <v>279</v>
      </c>
      <c r="D195" s="188" t="s">
        <v>106</v>
      </c>
      <c r="E195" s="188" t="s">
        <v>996</v>
      </c>
      <c r="F195" s="188" t="s">
        <v>996</v>
      </c>
    </row>
    <row r="196" spans="2:6">
      <c r="B196" s="186">
        <v>280</v>
      </c>
      <c r="D196" s="188" t="s">
        <v>107</v>
      </c>
      <c r="E196" s="188" t="s">
        <v>997</v>
      </c>
      <c r="F196" s="188" t="s">
        <v>997</v>
      </c>
    </row>
    <row r="197" spans="2:6">
      <c r="B197" s="186">
        <v>281</v>
      </c>
      <c r="D197" s="188" t="s">
        <v>108</v>
      </c>
      <c r="E197" s="188" t="s">
        <v>998</v>
      </c>
      <c r="F197" s="188" t="s">
        <v>998</v>
      </c>
    </row>
    <row r="198" spans="2:6">
      <c r="B198" s="186">
        <v>282</v>
      </c>
      <c r="D198" s="188" t="s">
        <v>109</v>
      </c>
      <c r="E198" s="188" t="s">
        <v>999</v>
      </c>
      <c r="F198" s="188" t="s">
        <v>999</v>
      </c>
    </row>
    <row r="199" spans="2:6">
      <c r="B199" s="186">
        <v>283</v>
      </c>
      <c r="D199" s="188" t="s">
        <v>110</v>
      </c>
      <c r="E199" s="188" t="s">
        <v>1000</v>
      </c>
      <c r="F199" s="188" t="s">
        <v>1000</v>
      </c>
    </row>
    <row r="200" spans="2:6" ht="24">
      <c r="B200" s="186">
        <v>284</v>
      </c>
      <c r="D200" s="188" t="s">
        <v>111</v>
      </c>
      <c r="E200" s="188" t="s">
        <v>1001</v>
      </c>
      <c r="F200" s="188" t="s">
        <v>1001</v>
      </c>
    </row>
    <row r="201" spans="2:6">
      <c r="B201" s="186">
        <v>285</v>
      </c>
      <c r="D201" s="188" t="s">
        <v>376</v>
      </c>
      <c r="E201" s="188" t="s">
        <v>1002</v>
      </c>
      <c r="F201" s="188" t="s">
        <v>1002</v>
      </c>
    </row>
    <row r="202" spans="2:6">
      <c r="B202" s="186">
        <v>286</v>
      </c>
      <c r="D202" s="188" t="s">
        <v>112</v>
      </c>
      <c r="E202" s="188" t="s">
        <v>1003</v>
      </c>
      <c r="F202" s="188" t="s">
        <v>1003</v>
      </c>
    </row>
    <row r="203" spans="2:6">
      <c r="B203" s="186">
        <v>287</v>
      </c>
      <c r="D203" s="188" t="s">
        <v>113</v>
      </c>
      <c r="E203" s="188" t="s">
        <v>1004</v>
      </c>
      <c r="F203" s="188" t="s">
        <v>1004</v>
      </c>
    </row>
    <row r="204" spans="2:6">
      <c r="B204" s="186">
        <v>288</v>
      </c>
      <c r="D204" s="188" t="s">
        <v>114</v>
      </c>
      <c r="E204" s="188" t="s">
        <v>1005</v>
      </c>
      <c r="F204" s="188" t="s">
        <v>1005</v>
      </c>
    </row>
    <row r="205" spans="2:6">
      <c r="B205" s="186">
        <v>289</v>
      </c>
      <c r="D205" s="188" t="s">
        <v>377</v>
      </c>
      <c r="E205" s="188" t="s">
        <v>1006</v>
      </c>
      <c r="F205" s="188" t="s">
        <v>1006</v>
      </c>
    </row>
    <row r="206" spans="2:6">
      <c r="B206" s="186">
        <v>290</v>
      </c>
      <c r="D206" s="188" t="s">
        <v>378</v>
      </c>
      <c r="E206" s="188" t="s">
        <v>1007</v>
      </c>
      <c r="F206" s="188" t="s">
        <v>1007</v>
      </c>
    </row>
    <row r="207" spans="2:6">
      <c r="B207" s="186">
        <v>291</v>
      </c>
      <c r="D207" s="188" t="s">
        <v>596</v>
      </c>
      <c r="E207" s="188" t="s">
        <v>1008</v>
      </c>
      <c r="F207" s="188" t="s">
        <v>1008</v>
      </c>
    </row>
    <row r="208" spans="2:6">
      <c r="B208" s="186">
        <v>292</v>
      </c>
      <c r="D208" s="188" t="s">
        <v>627</v>
      </c>
      <c r="E208" s="188" t="s">
        <v>1009</v>
      </c>
      <c r="F208" s="188" t="s">
        <v>1009</v>
      </c>
    </row>
    <row r="209" spans="2:6">
      <c r="B209" s="186">
        <v>293</v>
      </c>
      <c r="D209" s="188" t="s">
        <v>597</v>
      </c>
      <c r="E209" s="188" t="s">
        <v>1010</v>
      </c>
      <c r="F209" s="188" t="s">
        <v>1010</v>
      </c>
    </row>
    <row r="210" spans="2:6">
      <c r="B210" s="186">
        <v>294</v>
      </c>
      <c r="D210" s="188" t="s">
        <v>595</v>
      </c>
      <c r="E210" s="188" t="s">
        <v>1011</v>
      </c>
      <c r="F210" s="188" t="s">
        <v>1011</v>
      </c>
    </row>
    <row r="211" spans="2:6">
      <c r="B211" s="186">
        <v>295</v>
      </c>
      <c r="D211" s="188" t="s">
        <v>379</v>
      </c>
      <c r="E211" s="188" t="s">
        <v>1012</v>
      </c>
      <c r="F211" s="188" t="s">
        <v>1012</v>
      </c>
    </row>
    <row r="212" spans="2:6">
      <c r="B212" s="186">
        <v>296</v>
      </c>
      <c r="D212" s="188" t="s">
        <v>454</v>
      </c>
      <c r="E212" s="188" t="s">
        <v>1013</v>
      </c>
      <c r="F212" s="188" t="s">
        <v>1013</v>
      </c>
    </row>
    <row r="213" spans="2:6">
      <c r="B213" s="186">
        <v>297</v>
      </c>
      <c r="D213" s="188" t="s">
        <v>115</v>
      </c>
      <c r="E213" s="188" t="s">
        <v>1014</v>
      </c>
      <c r="F213" s="188" t="s">
        <v>1014</v>
      </c>
    </row>
    <row r="214" spans="2:6">
      <c r="B214" s="186">
        <v>298</v>
      </c>
      <c r="C214" s="187" t="s">
        <v>547</v>
      </c>
      <c r="D214" s="188" t="s">
        <v>583</v>
      </c>
      <c r="E214" s="188" t="s">
        <v>1015</v>
      </c>
      <c r="F214" s="188" t="s">
        <v>1015</v>
      </c>
    </row>
    <row r="215" spans="2:6">
      <c r="B215" s="186">
        <v>299</v>
      </c>
      <c r="D215" s="188" t="s">
        <v>604</v>
      </c>
      <c r="E215" s="188" t="s">
        <v>1016</v>
      </c>
      <c r="F215" s="188" t="s">
        <v>1016</v>
      </c>
    </row>
    <row r="216" spans="2:6">
      <c r="B216" s="186">
        <v>300</v>
      </c>
      <c r="D216" s="188" t="s">
        <v>448</v>
      </c>
      <c r="E216" s="188" t="s">
        <v>1017</v>
      </c>
      <c r="F216" s="188" t="s">
        <v>1017</v>
      </c>
    </row>
    <row r="217" spans="2:6">
      <c r="B217" s="186">
        <v>301</v>
      </c>
      <c r="D217" s="188" t="s">
        <v>491</v>
      </c>
      <c r="E217" s="188" t="s">
        <v>1018</v>
      </c>
      <c r="F217" s="188" t="s">
        <v>1018</v>
      </c>
    </row>
    <row r="218" spans="2:6">
      <c r="B218" s="186">
        <v>302</v>
      </c>
      <c r="C218" s="187" t="s">
        <v>547</v>
      </c>
      <c r="D218" s="193" t="s">
        <v>641</v>
      </c>
      <c r="E218" s="193" t="s">
        <v>1019</v>
      </c>
      <c r="F218" s="193" t="s">
        <v>1019</v>
      </c>
    </row>
    <row r="219" spans="2:6">
      <c r="B219" s="186">
        <v>303</v>
      </c>
      <c r="C219" s="187" t="s">
        <v>547</v>
      </c>
      <c r="D219" s="193" t="s">
        <v>555</v>
      </c>
      <c r="E219" s="193" t="s">
        <v>1020</v>
      </c>
      <c r="F219" s="193" t="s">
        <v>1020</v>
      </c>
    </row>
    <row r="220" spans="2:6">
      <c r="B220" s="186">
        <v>304</v>
      </c>
      <c r="C220" s="187" t="s">
        <v>547</v>
      </c>
      <c r="D220" s="193" t="s">
        <v>643</v>
      </c>
      <c r="E220" s="193" t="s">
        <v>1021</v>
      </c>
      <c r="F220" s="193" t="s">
        <v>1021</v>
      </c>
    </row>
    <row r="221" spans="2:6">
      <c r="B221" s="186">
        <v>305</v>
      </c>
      <c r="C221" s="187" t="s">
        <v>547</v>
      </c>
      <c r="D221" s="196" t="s">
        <v>808</v>
      </c>
      <c r="E221" s="196" t="s">
        <v>809</v>
      </c>
      <c r="F221" s="196" t="s">
        <v>809</v>
      </c>
    </row>
    <row r="222" spans="2:6">
      <c r="B222" s="186">
        <v>306</v>
      </c>
      <c r="C222" s="187" t="s">
        <v>547</v>
      </c>
      <c r="D222" s="193" t="s">
        <v>793</v>
      </c>
      <c r="E222" s="193" t="s">
        <v>642</v>
      </c>
      <c r="F222" s="193" t="s">
        <v>642</v>
      </c>
    </row>
    <row r="223" spans="2:6">
      <c r="B223" s="186">
        <v>307</v>
      </c>
      <c r="C223" s="187" t="s">
        <v>547</v>
      </c>
      <c r="D223" s="193" t="s">
        <v>795</v>
      </c>
      <c r="E223" s="193" t="s">
        <v>637</v>
      </c>
      <c r="F223" s="193" t="s">
        <v>637</v>
      </c>
    </row>
    <row r="224" spans="2:6">
      <c r="B224" s="186">
        <v>308</v>
      </c>
      <c r="C224" s="187" t="s">
        <v>547</v>
      </c>
      <c r="D224" s="193" t="s">
        <v>796</v>
      </c>
      <c r="E224" s="193" t="s">
        <v>638</v>
      </c>
      <c r="F224" s="193" t="s">
        <v>638</v>
      </c>
    </row>
    <row r="225" spans="2:6">
      <c r="B225" s="186">
        <v>309</v>
      </c>
      <c r="C225" s="187" t="s">
        <v>547</v>
      </c>
      <c r="D225" s="193" t="s">
        <v>797</v>
      </c>
      <c r="E225" s="193" t="s">
        <v>639</v>
      </c>
      <c r="F225" s="193" t="s">
        <v>639</v>
      </c>
    </row>
    <row r="226" spans="2:6">
      <c r="B226" s="186">
        <v>310</v>
      </c>
      <c r="C226" s="187" t="s">
        <v>547</v>
      </c>
      <c r="D226" s="193" t="s">
        <v>798</v>
      </c>
      <c r="E226" s="193" t="s">
        <v>640</v>
      </c>
      <c r="F226" s="193" t="s">
        <v>640</v>
      </c>
    </row>
    <row r="227" spans="2:6">
      <c r="B227" s="186">
        <v>311</v>
      </c>
      <c r="C227" s="187" t="s">
        <v>547</v>
      </c>
      <c r="D227" s="193" t="s">
        <v>799</v>
      </c>
      <c r="E227" s="193" t="s">
        <v>644</v>
      </c>
      <c r="F227" s="193" t="s">
        <v>644</v>
      </c>
    </row>
    <row r="228" spans="2:6">
      <c r="B228" s="186">
        <v>312</v>
      </c>
      <c r="C228" s="187" t="s">
        <v>547</v>
      </c>
      <c r="D228" s="193" t="s">
        <v>800</v>
      </c>
      <c r="E228" s="193" t="s">
        <v>645</v>
      </c>
      <c r="F228" s="193" t="s">
        <v>645</v>
      </c>
    </row>
    <row r="229" spans="2:6">
      <c r="B229" s="186">
        <v>313</v>
      </c>
      <c r="C229" s="187" t="s">
        <v>547</v>
      </c>
      <c r="D229" s="193" t="s">
        <v>801</v>
      </c>
      <c r="E229" s="193" t="s">
        <v>646</v>
      </c>
      <c r="F229" s="193" t="s">
        <v>646</v>
      </c>
    </row>
    <row r="230" spans="2:6">
      <c r="B230" s="186">
        <v>314</v>
      </c>
      <c r="C230" s="187" t="s">
        <v>547</v>
      </c>
      <c r="D230" s="193" t="s">
        <v>802</v>
      </c>
      <c r="E230" s="193" t="s">
        <v>647</v>
      </c>
      <c r="F230" s="193" t="s">
        <v>647</v>
      </c>
    </row>
    <row r="231" spans="2:6">
      <c r="B231" s="186">
        <v>315</v>
      </c>
      <c r="C231" s="187" t="s">
        <v>547</v>
      </c>
      <c r="D231" s="193" t="s">
        <v>803</v>
      </c>
      <c r="E231" s="188" t="s">
        <v>548</v>
      </c>
      <c r="F231" s="188" t="s">
        <v>548</v>
      </c>
    </row>
    <row r="232" spans="2:6">
      <c r="B232" s="186">
        <v>316</v>
      </c>
      <c r="C232" s="187" t="s">
        <v>547</v>
      </c>
      <c r="D232" s="193" t="s">
        <v>804</v>
      </c>
      <c r="E232" s="188" t="s">
        <v>549</v>
      </c>
      <c r="F232" s="188" t="s">
        <v>549</v>
      </c>
    </row>
    <row r="233" spans="2:6">
      <c r="B233" s="186">
        <v>317</v>
      </c>
      <c r="C233" s="187" t="s">
        <v>547</v>
      </c>
      <c r="D233" s="193" t="s">
        <v>805</v>
      </c>
      <c r="E233" s="188" t="s">
        <v>550</v>
      </c>
      <c r="F233" s="188" t="s">
        <v>550</v>
      </c>
    </row>
    <row r="234" spans="2:6">
      <c r="B234" s="186">
        <v>318</v>
      </c>
      <c r="C234" s="187" t="s">
        <v>547</v>
      </c>
      <c r="D234" s="193" t="s">
        <v>806</v>
      </c>
      <c r="E234" s="188" t="s">
        <v>551</v>
      </c>
      <c r="F234" s="188" t="s">
        <v>551</v>
      </c>
    </row>
    <row r="235" spans="2:6">
      <c r="B235" s="186">
        <v>319</v>
      </c>
      <c r="C235" s="187" t="s">
        <v>547</v>
      </c>
      <c r="D235" s="193" t="s">
        <v>807</v>
      </c>
      <c r="E235" s="193" t="s">
        <v>585</v>
      </c>
      <c r="F235" s="193" t="s">
        <v>585</v>
      </c>
    </row>
    <row r="236" spans="2:6">
      <c r="B236" s="186">
        <v>320</v>
      </c>
      <c r="C236" s="187" t="s">
        <v>547</v>
      </c>
      <c r="D236" s="193" t="s">
        <v>1363</v>
      </c>
      <c r="E236" s="193" t="s">
        <v>1365</v>
      </c>
      <c r="F236" s="193" t="s">
        <v>1365</v>
      </c>
    </row>
    <row r="237" spans="2:6">
      <c r="B237" s="186">
        <v>321</v>
      </c>
      <c r="C237" s="187" t="s">
        <v>547</v>
      </c>
      <c r="D237" s="193" t="s">
        <v>1364</v>
      </c>
      <c r="E237" s="193" t="s">
        <v>1366</v>
      </c>
      <c r="F237" s="193" t="s">
        <v>1366</v>
      </c>
    </row>
    <row r="238" spans="2:6">
      <c r="B238" s="186">
        <v>322</v>
      </c>
      <c r="C238" s="187" t="s">
        <v>547</v>
      </c>
      <c r="D238" s="193"/>
      <c r="E238" s="193"/>
      <c r="F238" s="193"/>
    </row>
    <row r="239" spans="2:6" ht="24">
      <c r="B239" s="186">
        <v>323</v>
      </c>
      <c r="D239" s="188" t="s">
        <v>116</v>
      </c>
      <c r="E239" s="188" t="s">
        <v>1022</v>
      </c>
      <c r="F239" s="188" t="s">
        <v>1022</v>
      </c>
    </row>
    <row r="240" spans="2:6" ht="24">
      <c r="B240" s="186">
        <v>324</v>
      </c>
      <c r="D240" s="188" t="s">
        <v>117</v>
      </c>
      <c r="E240" s="188" t="s">
        <v>1023</v>
      </c>
      <c r="F240" s="188" t="s">
        <v>1023</v>
      </c>
    </row>
    <row r="241" spans="2:6" ht="24">
      <c r="B241" s="186">
        <v>325</v>
      </c>
      <c r="D241" s="188" t="s">
        <v>118</v>
      </c>
      <c r="E241" s="188" t="s">
        <v>1024</v>
      </c>
      <c r="F241" s="188" t="s">
        <v>1024</v>
      </c>
    </row>
    <row r="242" spans="2:6" ht="24">
      <c r="B242" s="186">
        <v>326</v>
      </c>
      <c r="C242" s="187" t="s">
        <v>547</v>
      </c>
      <c r="D242" s="188" t="s">
        <v>584</v>
      </c>
      <c r="E242" s="188" t="s">
        <v>1025</v>
      </c>
      <c r="F242" s="188" t="s">
        <v>1025</v>
      </c>
    </row>
    <row r="243" spans="2:6">
      <c r="B243" s="186">
        <v>327</v>
      </c>
      <c r="D243" s="188" t="s">
        <v>119</v>
      </c>
      <c r="E243" s="188" t="s">
        <v>1026</v>
      </c>
      <c r="F243" s="188" t="s">
        <v>1026</v>
      </c>
    </row>
    <row r="244" spans="2:6">
      <c r="B244" s="186">
        <v>328</v>
      </c>
      <c r="C244" s="187" t="s">
        <v>470</v>
      </c>
      <c r="D244" s="188" t="s">
        <v>480</v>
      </c>
      <c r="E244" s="188" t="s">
        <v>1027</v>
      </c>
      <c r="F244" s="188" t="s">
        <v>1027</v>
      </c>
    </row>
    <row r="245" spans="2:6">
      <c r="B245" s="186">
        <v>329</v>
      </c>
      <c r="D245" s="188" t="s">
        <v>120</v>
      </c>
      <c r="E245" s="188" t="s">
        <v>1028</v>
      </c>
      <c r="F245" s="188" t="s">
        <v>1028</v>
      </c>
    </row>
    <row r="246" spans="2:6">
      <c r="B246" s="186">
        <v>330</v>
      </c>
      <c r="D246" s="188" t="s">
        <v>121</v>
      </c>
      <c r="E246" s="188" t="s">
        <v>1029</v>
      </c>
      <c r="F246" s="188" t="s">
        <v>1029</v>
      </c>
    </row>
    <row r="247" spans="2:6">
      <c r="B247" s="186">
        <v>331</v>
      </c>
      <c r="D247" s="188" t="s">
        <v>122</v>
      </c>
      <c r="E247" s="188" t="s">
        <v>1030</v>
      </c>
      <c r="F247" s="188" t="s">
        <v>1030</v>
      </c>
    </row>
    <row r="248" spans="2:6">
      <c r="B248" s="186">
        <v>332</v>
      </c>
      <c r="C248" s="187" t="s">
        <v>470</v>
      </c>
      <c r="D248" s="185" t="s">
        <v>472</v>
      </c>
      <c r="E248" s="193" t="s">
        <v>1031</v>
      </c>
      <c r="F248" s="193" t="s">
        <v>1031</v>
      </c>
    </row>
    <row r="249" spans="2:6">
      <c r="B249" s="186">
        <v>333</v>
      </c>
      <c r="C249" s="187" t="s">
        <v>470</v>
      </c>
      <c r="D249" s="185" t="s">
        <v>473</v>
      </c>
      <c r="E249" s="193" t="s">
        <v>1032</v>
      </c>
      <c r="F249" s="193" t="s">
        <v>1032</v>
      </c>
    </row>
    <row r="250" spans="2:6">
      <c r="B250" s="186">
        <v>334</v>
      </c>
      <c r="D250" s="188" t="s">
        <v>123</v>
      </c>
      <c r="E250" s="188" t="s">
        <v>1033</v>
      </c>
      <c r="F250" s="188" t="s">
        <v>1033</v>
      </c>
    </row>
    <row r="251" spans="2:6">
      <c r="B251" s="186">
        <v>335</v>
      </c>
      <c r="C251" s="187" t="s">
        <v>470</v>
      </c>
      <c r="D251" s="188" t="s">
        <v>478</v>
      </c>
      <c r="E251" s="188" t="s">
        <v>1034</v>
      </c>
      <c r="F251" s="188" t="s">
        <v>1034</v>
      </c>
    </row>
    <row r="252" spans="2:6">
      <c r="B252" s="186">
        <v>336</v>
      </c>
      <c r="C252" s="187" t="s">
        <v>470</v>
      </c>
      <c r="D252" s="185" t="s">
        <v>481</v>
      </c>
      <c r="E252" s="193" t="s">
        <v>1035</v>
      </c>
      <c r="F252" s="193" t="s">
        <v>1035</v>
      </c>
    </row>
    <row r="253" spans="2:6" ht="24">
      <c r="B253" s="186">
        <v>337</v>
      </c>
      <c r="D253" s="188" t="s">
        <v>124</v>
      </c>
      <c r="E253" s="188" t="s">
        <v>1036</v>
      </c>
      <c r="F253" s="188" t="s">
        <v>1036</v>
      </c>
    </row>
    <row r="254" spans="2:6" ht="24">
      <c r="B254" s="186">
        <v>338</v>
      </c>
      <c r="D254" s="188" t="s">
        <v>125</v>
      </c>
      <c r="E254" s="188" t="s">
        <v>1037</v>
      </c>
      <c r="F254" s="188" t="s">
        <v>1037</v>
      </c>
    </row>
    <row r="255" spans="2:6">
      <c r="B255" s="186">
        <v>339</v>
      </c>
      <c r="D255" s="188" t="s">
        <v>126</v>
      </c>
      <c r="E255" s="188" t="s">
        <v>1038</v>
      </c>
      <c r="F255" s="188" t="s">
        <v>1038</v>
      </c>
    </row>
    <row r="256" spans="2:6">
      <c r="B256" s="186">
        <v>340</v>
      </c>
      <c r="D256" s="188" t="s">
        <v>127</v>
      </c>
      <c r="E256" s="188" t="s">
        <v>1039</v>
      </c>
      <c r="F256" s="188" t="s">
        <v>1039</v>
      </c>
    </row>
    <row r="257" spans="2:6">
      <c r="B257" s="186">
        <v>341</v>
      </c>
      <c r="D257" s="188" t="s">
        <v>128</v>
      </c>
      <c r="E257" s="188" t="s">
        <v>1040</v>
      </c>
      <c r="F257" s="188" t="s">
        <v>1040</v>
      </c>
    </row>
    <row r="258" spans="2:6">
      <c r="B258" s="186">
        <v>342</v>
      </c>
      <c r="D258" s="188" t="s">
        <v>129</v>
      </c>
      <c r="E258" s="188" t="s">
        <v>1041</v>
      </c>
      <c r="F258" s="188" t="s">
        <v>1041</v>
      </c>
    </row>
    <row r="259" spans="2:6">
      <c r="B259" s="186">
        <v>343</v>
      </c>
      <c r="C259" s="187" t="s">
        <v>547</v>
      </c>
      <c r="D259" s="188" t="s">
        <v>569</v>
      </c>
      <c r="E259" s="188" t="s">
        <v>1042</v>
      </c>
      <c r="F259" s="188" t="s">
        <v>1042</v>
      </c>
    </row>
    <row r="260" spans="2:6">
      <c r="B260" s="186">
        <v>344</v>
      </c>
      <c r="C260" s="187" t="s">
        <v>547</v>
      </c>
      <c r="D260" s="188" t="s">
        <v>571</v>
      </c>
      <c r="E260" s="188" t="s">
        <v>1043</v>
      </c>
      <c r="F260" s="188" t="s">
        <v>1043</v>
      </c>
    </row>
    <row r="261" spans="2:6">
      <c r="B261" s="186">
        <v>345</v>
      </c>
      <c r="D261" s="188" t="s">
        <v>130</v>
      </c>
      <c r="E261" s="188" t="s">
        <v>1044</v>
      </c>
      <c r="F261" s="188" t="s">
        <v>1044</v>
      </c>
    </row>
    <row r="262" spans="2:6" ht="24">
      <c r="B262" s="186">
        <v>346</v>
      </c>
      <c r="C262" s="187" t="s">
        <v>547</v>
      </c>
      <c r="D262" s="188" t="s">
        <v>579</v>
      </c>
      <c r="E262" s="188" t="s">
        <v>1045</v>
      </c>
      <c r="F262" s="188" t="s">
        <v>1045</v>
      </c>
    </row>
    <row r="263" spans="2:6">
      <c r="B263" s="186">
        <v>347</v>
      </c>
      <c r="D263" s="188" t="s">
        <v>380</v>
      </c>
      <c r="E263" s="188" t="s">
        <v>1046</v>
      </c>
      <c r="F263" s="188" t="s">
        <v>1046</v>
      </c>
    </row>
    <row r="264" spans="2:6">
      <c r="B264" s="186">
        <v>348</v>
      </c>
      <c r="D264" s="188" t="s">
        <v>131</v>
      </c>
      <c r="E264" s="188" t="s">
        <v>1047</v>
      </c>
      <c r="F264" s="188" t="s">
        <v>1047</v>
      </c>
    </row>
    <row r="265" spans="2:6">
      <c r="B265" s="186">
        <v>349</v>
      </c>
      <c r="D265" s="188" t="s">
        <v>381</v>
      </c>
      <c r="E265" s="188" t="s">
        <v>1048</v>
      </c>
      <c r="F265" s="188" t="s">
        <v>1048</v>
      </c>
    </row>
    <row r="266" spans="2:6">
      <c r="B266" s="186">
        <v>350</v>
      </c>
      <c r="C266" s="187" t="s">
        <v>547</v>
      </c>
      <c r="D266" s="188" t="s">
        <v>570</v>
      </c>
      <c r="E266" s="188" t="s">
        <v>1049</v>
      </c>
      <c r="F266" s="188" t="s">
        <v>1049</v>
      </c>
    </row>
    <row r="267" spans="2:6">
      <c r="B267" s="186">
        <v>351</v>
      </c>
      <c r="C267" s="187" t="s">
        <v>470</v>
      </c>
      <c r="D267" s="185" t="s">
        <v>471</v>
      </c>
      <c r="E267" s="193" t="s">
        <v>1050</v>
      </c>
      <c r="F267" s="193" t="s">
        <v>1050</v>
      </c>
    </row>
    <row r="268" spans="2:6" ht="24">
      <c r="B268" s="186">
        <v>352</v>
      </c>
      <c r="C268" s="187" t="s">
        <v>547</v>
      </c>
      <c r="D268" s="188" t="s">
        <v>562</v>
      </c>
      <c r="E268" s="188" t="s">
        <v>1051</v>
      </c>
      <c r="F268" s="188" t="s">
        <v>1051</v>
      </c>
    </row>
    <row r="269" spans="2:6" ht="24">
      <c r="B269" s="186">
        <v>353</v>
      </c>
      <c r="D269" s="188" t="s">
        <v>132</v>
      </c>
      <c r="F269" s="188"/>
    </row>
    <row r="270" spans="2:6">
      <c r="B270" s="186">
        <v>354</v>
      </c>
      <c r="D270" s="188" t="s">
        <v>133</v>
      </c>
      <c r="E270" s="188" t="s">
        <v>1052</v>
      </c>
      <c r="F270" s="188" t="s">
        <v>1052</v>
      </c>
    </row>
    <row r="271" spans="2:6">
      <c r="B271" s="186">
        <v>355</v>
      </c>
      <c r="D271" s="188" t="s">
        <v>134</v>
      </c>
      <c r="E271" s="188" t="s">
        <v>1053</v>
      </c>
      <c r="F271" s="188" t="s">
        <v>1053</v>
      </c>
    </row>
    <row r="272" spans="2:6">
      <c r="B272" s="186">
        <v>356</v>
      </c>
      <c r="D272" s="188" t="s">
        <v>135</v>
      </c>
      <c r="E272" s="188" t="s">
        <v>1054</v>
      </c>
      <c r="F272" s="188" t="s">
        <v>1054</v>
      </c>
    </row>
    <row r="273" spans="2:6">
      <c r="B273" s="186">
        <v>357</v>
      </c>
      <c r="C273" s="187" t="s">
        <v>547</v>
      </c>
      <c r="D273" s="188" t="s">
        <v>565</v>
      </c>
      <c r="E273" s="188" t="s">
        <v>1055</v>
      </c>
      <c r="F273" s="188" t="s">
        <v>1055</v>
      </c>
    </row>
    <row r="274" spans="2:6">
      <c r="B274" s="186">
        <v>358</v>
      </c>
      <c r="D274" s="188" t="s">
        <v>136</v>
      </c>
      <c r="E274" s="188" t="s">
        <v>1056</v>
      </c>
      <c r="F274" s="188" t="s">
        <v>1056</v>
      </c>
    </row>
    <row r="275" spans="2:6">
      <c r="B275" s="186">
        <v>359</v>
      </c>
      <c r="D275" s="188" t="s">
        <v>382</v>
      </c>
      <c r="E275" s="188" t="s">
        <v>1057</v>
      </c>
      <c r="F275" s="188" t="s">
        <v>1057</v>
      </c>
    </row>
    <row r="276" spans="2:6">
      <c r="B276" s="186">
        <v>360</v>
      </c>
      <c r="D276" s="188" t="s">
        <v>137</v>
      </c>
      <c r="E276" s="188" t="s">
        <v>1058</v>
      </c>
      <c r="F276" s="188" t="s">
        <v>1058</v>
      </c>
    </row>
    <row r="277" spans="2:6" ht="24">
      <c r="B277" s="186">
        <v>361</v>
      </c>
      <c r="C277" s="187" t="s">
        <v>547</v>
      </c>
      <c r="D277" s="188" t="s">
        <v>561</v>
      </c>
      <c r="E277" s="188" t="s">
        <v>1059</v>
      </c>
      <c r="F277" s="188" t="s">
        <v>1059</v>
      </c>
    </row>
    <row r="278" spans="2:6" ht="36">
      <c r="B278" s="186">
        <v>362</v>
      </c>
      <c r="C278" s="187" t="s">
        <v>547</v>
      </c>
      <c r="D278" s="188" t="s">
        <v>576</v>
      </c>
      <c r="E278" s="188" t="s">
        <v>1060</v>
      </c>
      <c r="F278" s="188" t="s">
        <v>1060</v>
      </c>
    </row>
    <row r="279" spans="2:6">
      <c r="B279" s="186">
        <v>363</v>
      </c>
      <c r="D279" s="188" t="s">
        <v>138</v>
      </c>
      <c r="E279" s="188" t="s">
        <v>1061</v>
      </c>
      <c r="F279" s="188" t="s">
        <v>1061</v>
      </c>
    </row>
    <row r="280" spans="2:6">
      <c r="B280" s="186">
        <v>364</v>
      </c>
      <c r="D280" s="188" t="s">
        <v>1</v>
      </c>
      <c r="E280" s="188" t="s">
        <v>1</v>
      </c>
      <c r="F280" s="188" t="s">
        <v>1</v>
      </c>
    </row>
    <row r="281" spans="2:6">
      <c r="B281" s="186">
        <v>365</v>
      </c>
      <c r="D281" s="188" t="s">
        <v>2</v>
      </c>
      <c r="E281" s="188" t="s">
        <v>2</v>
      </c>
      <c r="F281" s="188" t="s">
        <v>2</v>
      </c>
    </row>
    <row r="282" spans="2:6">
      <c r="B282" s="186">
        <v>366</v>
      </c>
      <c r="D282" s="188" t="s">
        <v>455</v>
      </c>
      <c r="E282" s="188" t="s">
        <v>1062</v>
      </c>
      <c r="F282" s="188" t="s">
        <v>1062</v>
      </c>
    </row>
    <row r="283" spans="2:6">
      <c r="B283" s="186">
        <v>367</v>
      </c>
      <c r="D283" s="188" t="s">
        <v>139</v>
      </c>
      <c r="E283" s="188" t="s">
        <v>140</v>
      </c>
      <c r="F283" s="188" t="s">
        <v>140</v>
      </c>
    </row>
    <row r="284" spans="2:6">
      <c r="B284" s="186">
        <v>368</v>
      </c>
      <c r="D284" s="188" t="s">
        <v>613</v>
      </c>
      <c r="E284" s="188" t="s">
        <v>1063</v>
      </c>
      <c r="F284" s="188" t="s">
        <v>1063</v>
      </c>
    </row>
    <row r="285" spans="2:6">
      <c r="B285" s="186">
        <v>369</v>
      </c>
      <c r="D285" s="188" t="s">
        <v>141</v>
      </c>
      <c r="E285" s="188" t="s">
        <v>439</v>
      </c>
      <c r="F285" s="188" t="s">
        <v>439</v>
      </c>
    </row>
    <row r="286" spans="2:6">
      <c r="B286" s="186">
        <v>370</v>
      </c>
      <c r="D286" s="188" t="s">
        <v>142</v>
      </c>
      <c r="E286" s="188" t="s">
        <v>1064</v>
      </c>
      <c r="F286" s="188" t="s">
        <v>1064</v>
      </c>
    </row>
    <row r="287" spans="2:6">
      <c r="B287" s="186">
        <v>371</v>
      </c>
      <c r="D287" s="188" t="s">
        <v>143</v>
      </c>
      <c r="E287" s="188" t="s">
        <v>1065</v>
      </c>
      <c r="F287" s="188" t="s">
        <v>1065</v>
      </c>
    </row>
    <row r="288" spans="2:6">
      <c r="B288" s="186">
        <v>372</v>
      </c>
      <c r="D288" s="188" t="s">
        <v>383</v>
      </c>
      <c r="E288" s="188" t="s">
        <v>1066</v>
      </c>
      <c r="F288" s="188" t="s">
        <v>1066</v>
      </c>
    </row>
    <row r="289" spans="2:6">
      <c r="B289" s="186">
        <v>373</v>
      </c>
      <c r="D289" s="188" t="s">
        <v>384</v>
      </c>
      <c r="E289" s="188" t="s">
        <v>1067</v>
      </c>
      <c r="F289" s="188" t="s">
        <v>1067</v>
      </c>
    </row>
    <row r="290" spans="2:6">
      <c r="B290" s="186">
        <v>374</v>
      </c>
      <c r="D290" s="188" t="s">
        <v>385</v>
      </c>
      <c r="E290" s="188" t="s">
        <v>1066</v>
      </c>
      <c r="F290" s="188" t="s">
        <v>1066</v>
      </c>
    </row>
    <row r="291" spans="2:6">
      <c r="B291" s="186">
        <v>375</v>
      </c>
      <c r="C291" s="187" t="s">
        <v>547</v>
      </c>
      <c r="D291" s="188" t="s">
        <v>553</v>
      </c>
      <c r="E291" s="188" t="s">
        <v>1068</v>
      </c>
      <c r="F291" s="188" t="s">
        <v>1068</v>
      </c>
    </row>
    <row r="292" spans="2:6">
      <c r="B292" s="186">
        <v>376</v>
      </c>
      <c r="D292" s="188" t="s">
        <v>144</v>
      </c>
      <c r="E292" s="188" t="s">
        <v>1069</v>
      </c>
      <c r="F292" s="188" t="s">
        <v>1069</v>
      </c>
    </row>
    <row r="293" spans="2:6">
      <c r="B293" s="186">
        <v>377</v>
      </c>
      <c r="D293" s="188" t="s">
        <v>386</v>
      </c>
      <c r="E293" s="188" t="s">
        <v>1070</v>
      </c>
      <c r="F293" s="188" t="s">
        <v>1070</v>
      </c>
    </row>
    <row r="294" spans="2:6">
      <c r="B294" s="186">
        <v>378</v>
      </c>
      <c r="D294" s="188" t="s">
        <v>145</v>
      </c>
      <c r="E294" s="188" t="s">
        <v>1071</v>
      </c>
      <c r="F294" s="188" t="s">
        <v>1071</v>
      </c>
    </row>
    <row r="295" spans="2:6">
      <c r="B295" s="186">
        <v>379</v>
      </c>
      <c r="C295" s="187" t="s">
        <v>470</v>
      </c>
      <c r="D295" s="185" t="s">
        <v>482</v>
      </c>
      <c r="E295" s="193" t="s">
        <v>1072</v>
      </c>
      <c r="F295" s="193" t="s">
        <v>1072</v>
      </c>
    </row>
    <row r="296" spans="2:6">
      <c r="B296" s="186">
        <v>380</v>
      </c>
      <c r="D296" s="188" t="s">
        <v>415</v>
      </c>
      <c r="E296" s="188" t="s">
        <v>1073</v>
      </c>
      <c r="F296" s="188" t="s">
        <v>1073</v>
      </c>
    </row>
    <row r="297" spans="2:6">
      <c r="B297" s="186">
        <v>381</v>
      </c>
      <c r="D297" s="188" t="s">
        <v>416</v>
      </c>
      <c r="E297" s="188" t="s">
        <v>1074</v>
      </c>
      <c r="F297" s="188" t="s">
        <v>1074</v>
      </c>
    </row>
    <row r="298" spans="2:6">
      <c r="B298" s="186">
        <v>382</v>
      </c>
      <c r="C298" s="187" t="s">
        <v>488</v>
      </c>
      <c r="D298" s="188" t="s">
        <v>489</v>
      </c>
      <c r="E298" s="188" t="s">
        <v>1075</v>
      </c>
      <c r="F298" s="188" t="s">
        <v>1075</v>
      </c>
    </row>
    <row r="299" spans="2:6">
      <c r="B299" s="186">
        <v>383</v>
      </c>
      <c r="D299" s="188" t="s">
        <v>146</v>
      </c>
      <c r="E299" s="188" t="s">
        <v>1076</v>
      </c>
      <c r="F299" s="188" t="s">
        <v>1076</v>
      </c>
    </row>
    <row r="300" spans="2:6">
      <c r="B300" s="186">
        <v>384</v>
      </c>
      <c r="D300" s="188" t="s">
        <v>387</v>
      </c>
      <c r="E300" s="188" t="s">
        <v>1077</v>
      </c>
      <c r="F300" s="188" t="s">
        <v>1077</v>
      </c>
    </row>
    <row r="301" spans="2:6">
      <c r="B301" s="186">
        <v>385</v>
      </c>
      <c r="D301" s="188" t="s">
        <v>147</v>
      </c>
      <c r="E301" s="188" t="s">
        <v>1078</v>
      </c>
      <c r="F301" s="188" t="s">
        <v>1078</v>
      </c>
    </row>
    <row r="302" spans="2:6">
      <c r="B302" s="186">
        <v>386</v>
      </c>
      <c r="D302" s="188" t="s">
        <v>148</v>
      </c>
      <c r="E302" s="188" t="s">
        <v>1079</v>
      </c>
      <c r="F302" s="188" t="s">
        <v>1079</v>
      </c>
    </row>
    <row r="303" spans="2:6">
      <c r="B303" s="186">
        <v>387</v>
      </c>
      <c r="D303" s="188" t="s">
        <v>149</v>
      </c>
      <c r="E303" s="188" t="s">
        <v>1080</v>
      </c>
      <c r="F303" s="188" t="s">
        <v>1080</v>
      </c>
    </row>
    <row r="304" spans="2:6">
      <c r="B304" s="186">
        <v>388</v>
      </c>
      <c r="D304" s="188" t="s">
        <v>477</v>
      </c>
      <c r="E304" s="188" t="s">
        <v>1081</v>
      </c>
      <c r="F304" s="188" t="s">
        <v>1081</v>
      </c>
    </row>
    <row r="305" spans="2:6" ht="24">
      <c r="B305" s="186">
        <v>389</v>
      </c>
      <c r="D305" s="188" t="s">
        <v>150</v>
      </c>
      <c r="E305" s="188" t="s">
        <v>1082</v>
      </c>
      <c r="F305" s="188" t="s">
        <v>1082</v>
      </c>
    </row>
    <row r="306" spans="2:6">
      <c r="B306" s="186">
        <v>390</v>
      </c>
      <c r="D306" s="188" t="s">
        <v>624</v>
      </c>
      <c r="E306" s="188" t="s">
        <v>1083</v>
      </c>
      <c r="F306" s="188" t="s">
        <v>1083</v>
      </c>
    </row>
    <row r="307" spans="2:6" ht="24">
      <c r="B307" s="186">
        <v>391</v>
      </c>
      <c r="D307" s="188" t="s">
        <v>417</v>
      </c>
      <c r="E307" s="188" t="s">
        <v>1084</v>
      </c>
      <c r="F307" s="188" t="s">
        <v>1084</v>
      </c>
    </row>
    <row r="308" spans="2:6">
      <c r="B308" s="186">
        <v>392</v>
      </c>
      <c r="D308" s="188" t="s">
        <v>418</v>
      </c>
      <c r="E308" s="188" t="s">
        <v>1085</v>
      </c>
      <c r="F308" s="188" t="s">
        <v>1085</v>
      </c>
    </row>
    <row r="309" spans="2:6">
      <c r="B309" s="186">
        <v>393</v>
      </c>
      <c r="D309" s="188" t="s">
        <v>388</v>
      </c>
      <c r="E309" s="188" t="s">
        <v>1086</v>
      </c>
      <c r="F309" s="188" t="s">
        <v>1086</v>
      </c>
    </row>
    <row r="310" spans="2:6">
      <c r="B310" s="186">
        <v>394</v>
      </c>
      <c r="D310" s="188" t="s">
        <v>151</v>
      </c>
      <c r="E310" s="188" t="s">
        <v>1087</v>
      </c>
      <c r="F310" s="188" t="s">
        <v>1087</v>
      </c>
    </row>
    <row r="311" spans="2:6">
      <c r="B311" s="186">
        <v>395</v>
      </c>
      <c r="D311" s="188" t="s">
        <v>389</v>
      </c>
      <c r="E311" s="188" t="s">
        <v>1088</v>
      </c>
      <c r="F311" s="188" t="s">
        <v>1088</v>
      </c>
    </row>
    <row r="312" spans="2:6">
      <c r="B312" s="186">
        <v>396</v>
      </c>
      <c r="D312" s="188" t="s">
        <v>390</v>
      </c>
      <c r="E312" s="188" t="s">
        <v>1089</v>
      </c>
      <c r="F312" s="188" t="s">
        <v>1089</v>
      </c>
    </row>
    <row r="313" spans="2:6">
      <c r="B313" s="186">
        <v>397</v>
      </c>
      <c r="D313" s="188" t="s">
        <v>152</v>
      </c>
      <c r="E313" s="188" t="s">
        <v>1090</v>
      </c>
      <c r="F313" s="188" t="s">
        <v>1090</v>
      </c>
    </row>
    <row r="314" spans="2:6">
      <c r="B314" s="186">
        <v>398</v>
      </c>
      <c r="D314" s="188" t="s">
        <v>153</v>
      </c>
      <c r="E314" s="188" t="s">
        <v>1091</v>
      </c>
      <c r="F314" s="188" t="s">
        <v>1091</v>
      </c>
    </row>
    <row r="315" spans="2:6">
      <c r="B315" s="186">
        <v>399</v>
      </c>
      <c r="D315" s="188" t="s">
        <v>391</v>
      </c>
      <c r="E315" s="188" t="s">
        <v>1092</v>
      </c>
      <c r="F315" s="188" t="s">
        <v>1092</v>
      </c>
    </row>
    <row r="316" spans="2:6">
      <c r="B316" s="186">
        <v>400</v>
      </c>
      <c r="D316" s="188" t="s">
        <v>154</v>
      </c>
      <c r="E316" s="188" t="s">
        <v>1093</v>
      </c>
      <c r="F316" s="188" t="s">
        <v>1093</v>
      </c>
    </row>
    <row r="317" spans="2:6">
      <c r="B317" s="186">
        <v>401</v>
      </c>
      <c r="C317" s="187" t="s">
        <v>432</v>
      </c>
      <c r="D317" s="188" t="s">
        <v>440</v>
      </c>
      <c r="E317" s="188" t="s">
        <v>1094</v>
      </c>
      <c r="F317" s="188" t="s">
        <v>1094</v>
      </c>
    </row>
    <row r="318" spans="2:6">
      <c r="B318" s="186">
        <v>402</v>
      </c>
      <c r="C318" s="187" t="s">
        <v>470</v>
      </c>
      <c r="D318" s="185" t="s">
        <v>469</v>
      </c>
      <c r="E318" s="193" t="s">
        <v>1095</v>
      </c>
      <c r="F318" s="193" t="s">
        <v>1095</v>
      </c>
    </row>
    <row r="319" spans="2:6">
      <c r="B319" s="186">
        <v>403</v>
      </c>
      <c r="D319" s="188" t="s">
        <v>155</v>
      </c>
      <c r="E319" s="188" t="s">
        <v>1096</v>
      </c>
      <c r="F319" s="188" t="s">
        <v>1096</v>
      </c>
    </row>
    <row r="320" spans="2:6">
      <c r="B320" s="186">
        <v>404</v>
      </c>
      <c r="D320" s="188" t="s">
        <v>156</v>
      </c>
      <c r="E320" s="188" t="s">
        <v>1097</v>
      </c>
      <c r="F320" s="188" t="s">
        <v>1097</v>
      </c>
    </row>
    <row r="321" spans="1:6">
      <c r="B321" s="186">
        <v>405</v>
      </c>
      <c r="D321" s="188" t="s">
        <v>157</v>
      </c>
      <c r="E321" s="188" t="s">
        <v>1098</v>
      </c>
      <c r="F321" s="188" t="s">
        <v>1098</v>
      </c>
    </row>
    <row r="322" spans="1:6">
      <c r="B322" s="186">
        <v>406</v>
      </c>
      <c r="D322" s="188" t="s">
        <v>158</v>
      </c>
      <c r="E322" s="188" t="s">
        <v>1099</v>
      </c>
      <c r="F322" s="188" t="s">
        <v>1099</v>
      </c>
    </row>
    <row r="323" spans="1:6">
      <c r="B323" s="186">
        <v>407</v>
      </c>
      <c r="C323" s="187" t="s">
        <v>470</v>
      </c>
      <c r="D323" s="185" t="s">
        <v>466</v>
      </c>
      <c r="E323" s="193" t="s">
        <v>1100</v>
      </c>
      <c r="F323" s="193" t="s">
        <v>1100</v>
      </c>
    </row>
    <row r="324" spans="1:6">
      <c r="B324" s="186">
        <v>408</v>
      </c>
      <c r="D324" s="188" t="s">
        <v>159</v>
      </c>
      <c r="E324" s="188" t="s">
        <v>1101</v>
      </c>
      <c r="F324" s="188" t="s">
        <v>1101</v>
      </c>
    </row>
    <row r="325" spans="1:6">
      <c r="B325" s="186">
        <v>409</v>
      </c>
      <c r="C325" s="187" t="s">
        <v>470</v>
      </c>
      <c r="D325" s="188" t="s">
        <v>464</v>
      </c>
      <c r="E325" s="193" t="s">
        <v>1102</v>
      </c>
      <c r="F325" s="193" t="s">
        <v>1102</v>
      </c>
    </row>
    <row r="326" spans="1:6">
      <c r="B326" s="186">
        <v>410</v>
      </c>
      <c r="D326" s="188" t="s">
        <v>160</v>
      </c>
      <c r="E326" s="188" t="s">
        <v>1103</v>
      </c>
      <c r="F326" s="188" t="s">
        <v>1103</v>
      </c>
    </row>
    <row r="327" spans="1:6" ht="36">
      <c r="B327" s="186">
        <v>411</v>
      </c>
      <c r="D327" s="188" t="s">
        <v>161</v>
      </c>
      <c r="E327" s="188" t="s">
        <v>1104</v>
      </c>
      <c r="F327" s="188" t="s">
        <v>1104</v>
      </c>
    </row>
    <row r="328" spans="1:6">
      <c r="B328" s="186">
        <v>412</v>
      </c>
      <c r="D328" s="188" t="s">
        <v>162</v>
      </c>
      <c r="E328" s="188" t="s">
        <v>1105</v>
      </c>
      <c r="F328" s="188" t="s">
        <v>1105</v>
      </c>
    </row>
    <row r="329" spans="1:6">
      <c r="B329" s="186">
        <v>413</v>
      </c>
      <c r="D329" s="188" t="s">
        <v>510</v>
      </c>
      <c r="E329" s="188" t="s">
        <v>1106</v>
      </c>
      <c r="F329" s="188" t="s">
        <v>1106</v>
      </c>
    </row>
    <row r="330" spans="1:6" ht="24">
      <c r="B330" s="186">
        <v>414</v>
      </c>
      <c r="D330" s="188" t="s">
        <v>163</v>
      </c>
      <c r="E330" s="188" t="s">
        <v>1107</v>
      </c>
      <c r="F330" s="188" t="s">
        <v>1107</v>
      </c>
    </row>
    <row r="331" spans="1:6">
      <c r="B331" s="186">
        <v>415</v>
      </c>
      <c r="D331" s="188" t="s">
        <v>513</v>
      </c>
      <c r="E331" s="188" t="s">
        <v>1108</v>
      </c>
      <c r="F331" s="188" t="s">
        <v>1108</v>
      </c>
    </row>
    <row r="332" spans="1:6">
      <c r="B332" s="186">
        <v>416</v>
      </c>
      <c r="D332" s="188" t="s">
        <v>509</v>
      </c>
      <c r="E332" s="188" t="s">
        <v>1109</v>
      </c>
      <c r="F332" s="188" t="s">
        <v>1109</v>
      </c>
    </row>
    <row r="333" spans="1:6">
      <c r="A333" s="190"/>
      <c r="B333" s="186">
        <v>417</v>
      </c>
      <c r="C333" s="191" t="s">
        <v>414</v>
      </c>
      <c r="D333" s="189" t="s">
        <v>441</v>
      </c>
      <c r="E333" s="189" t="s">
        <v>1110</v>
      </c>
      <c r="F333" s="189" t="s">
        <v>1110</v>
      </c>
    </row>
    <row r="334" spans="1:6">
      <c r="A334" s="190"/>
      <c r="B334" s="186">
        <v>418</v>
      </c>
      <c r="C334" s="191" t="s">
        <v>414</v>
      </c>
      <c r="D334" s="189" t="s">
        <v>442</v>
      </c>
      <c r="E334" s="189" t="s">
        <v>1111</v>
      </c>
      <c r="F334" s="189" t="s">
        <v>1111</v>
      </c>
    </row>
    <row r="335" spans="1:6">
      <c r="A335" s="190"/>
      <c r="B335" s="186">
        <v>419</v>
      </c>
      <c r="C335" s="191" t="s">
        <v>414</v>
      </c>
      <c r="D335" s="189" t="s">
        <v>443</v>
      </c>
      <c r="E335" s="189" t="s">
        <v>1112</v>
      </c>
      <c r="F335" s="189" t="s">
        <v>1112</v>
      </c>
    </row>
    <row r="336" spans="1:6">
      <c r="B336" s="186">
        <v>420</v>
      </c>
      <c r="D336" s="188" t="s">
        <v>164</v>
      </c>
      <c r="E336" s="188" t="s">
        <v>1110</v>
      </c>
      <c r="F336" s="188" t="s">
        <v>1110</v>
      </c>
    </row>
    <row r="337" spans="2:6">
      <c r="B337" s="186">
        <v>421</v>
      </c>
      <c r="D337" s="188" t="s">
        <v>165</v>
      </c>
      <c r="E337" s="189" t="s">
        <v>1113</v>
      </c>
      <c r="F337" s="189" t="s">
        <v>1113</v>
      </c>
    </row>
    <row r="338" spans="2:6">
      <c r="B338" s="186">
        <v>422</v>
      </c>
      <c r="D338" s="188" t="s">
        <v>166</v>
      </c>
      <c r="E338" s="188" t="s">
        <v>1114</v>
      </c>
      <c r="F338" s="188" t="s">
        <v>1114</v>
      </c>
    </row>
    <row r="339" spans="2:6">
      <c r="B339" s="186">
        <v>423</v>
      </c>
      <c r="D339" s="188" t="s">
        <v>167</v>
      </c>
      <c r="E339" s="188" t="s">
        <v>1115</v>
      </c>
      <c r="F339" s="188" t="s">
        <v>1115</v>
      </c>
    </row>
    <row r="340" spans="2:6">
      <c r="B340" s="186">
        <v>424</v>
      </c>
      <c r="D340" s="188" t="s">
        <v>168</v>
      </c>
      <c r="E340" s="188" t="s">
        <v>1116</v>
      </c>
      <c r="F340" s="188" t="s">
        <v>1116</v>
      </c>
    </row>
    <row r="341" spans="2:6">
      <c r="B341" s="186">
        <v>425</v>
      </c>
      <c r="D341" s="188" t="s">
        <v>169</v>
      </c>
      <c r="E341" s="188" t="s">
        <v>1117</v>
      </c>
      <c r="F341" s="188" t="s">
        <v>1117</v>
      </c>
    </row>
    <row r="342" spans="2:6">
      <c r="B342" s="186">
        <v>426</v>
      </c>
      <c r="D342" s="188" t="s">
        <v>170</v>
      </c>
      <c r="E342" s="188" t="s">
        <v>1118</v>
      </c>
      <c r="F342" s="188" t="s">
        <v>1118</v>
      </c>
    </row>
    <row r="343" spans="2:6">
      <c r="B343" s="186">
        <v>427</v>
      </c>
      <c r="D343" s="188" t="s">
        <v>171</v>
      </c>
      <c r="E343" s="188" t="s">
        <v>1119</v>
      </c>
      <c r="F343" s="188" t="s">
        <v>1119</v>
      </c>
    </row>
    <row r="344" spans="2:6">
      <c r="B344" s="186">
        <v>428</v>
      </c>
      <c r="D344" s="188" t="s">
        <v>172</v>
      </c>
      <c r="E344" s="188" t="s">
        <v>1120</v>
      </c>
      <c r="F344" s="188" t="s">
        <v>1120</v>
      </c>
    </row>
    <row r="345" spans="2:6">
      <c r="B345" s="186">
        <v>429</v>
      </c>
      <c r="D345" s="188" t="s">
        <v>173</v>
      </c>
      <c r="E345" s="188" t="s">
        <v>1121</v>
      </c>
      <c r="F345" s="188" t="s">
        <v>1121</v>
      </c>
    </row>
    <row r="346" spans="2:6">
      <c r="B346" s="186">
        <v>430</v>
      </c>
      <c r="D346" s="188" t="s">
        <v>174</v>
      </c>
      <c r="E346" s="188" t="s">
        <v>1122</v>
      </c>
      <c r="F346" s="188" t="s">
        <v>1122</v>
      </c>
    </row>
    <row r="347" spans="2:6">
      <c r="B347" s="186">
        <v>431</v>
      </c>
      <c r="D347" s="188" t="s">
        <v>175</v>
      </c>
      <c r="E347" s="188" t="s">
        <v>1123</v>
      </c>
      <c r="F347" s="188" t="s">
        <v>1123</v>
      </c>
    </row>
    <row r="348" spans="2:6">
      <c r="B348" s="186">
        <v>432</v>
      </c>
      <c r="D348" s="188" t="s">
        <v>176</v>
      </c>
      <c r="E348" s="188" t="s">
        <v>1124</v>
      </c>
      <c r="F348" s="188" t="s">
        <v>1124</v>
      </c>
    </row>
    <row r="349" spans="2:6">
      <c r="B349" s="186">
        <v>433</v>
      </c>
      <c r="D349" s="188" t="s">
        <v>177</v>
      </c>
      <c r="E349" s="188" t="s">
        <v>1125</v>
      </c>
      <c r="F349" s="188" t="s">
        <v>1125</v>
      </c>
    </row>
    <row r="350" spans="2:6">
      <c r="B350" s="186">
        <v>434</v>
      </c>
      <c r="D350" s="188" t="s">
        <v>516</v>
      </c>
      <c r="E350" s="188" t="s">
        <v>1126</v>
      </c>
      <c r="F350" s="188" t="s">
        <v>1126</v>
      </c>
    </row>
    <row r="351" spans="2:6">
      <c r="B351" s="186">
        <v>435</v>
      </c>
      <c r="D351" s="188" t="s">
        <v>515</v>
      </c>
      <c r="E351" s="188" t="s">
        <v>1127</v>
      </c>
      <c r="F351" s="188" t="s">
        <v>1127</v>
      </c>
    </row>
    <row r="352" spans="2:6">
      <c r="B352" s="186">
        <v>436</v>
      </c>
      <c r="D352" s="188" t="s">
        <v>178</v>
      </c>
      <c r="E352" s="188" t="s">
        <v>1128</v>
      </c>
      <c r="F352" s="188" t="s">
        <v>1128</v>
      </c>
    </row>
    <row r="353" spans="2:6">
      <c r="B353" s="186">
        <v>437</v>
      </c>
      <c r="D353" s="188" t="s">
        <v>179</v>
      </c>
      <c r="E353" s="188" t="s">
        <v>1129</v>
      </c>
      <c r="F353" s="188" t="s">
        <v>1129</v>
      </c>
    </row>
    <row r="354" spans="2:6">
      <c r="B354" s="186">
        <v>438</v>
      </c>
      <c r="D354" s="188" t="s">
        <v>180</v>
      </c>
      <c r="E354" s="188" t="s">
        <v>1130</v>
      </c>
      <c r="F354" s="188" t="s">
        <v>1130</v>
      </c>
    </row>
    <row r="355" spans="2:6">
      <c r="B355" s="186">
        <v>439</v>
      </c>
      <c r="D355" s="188" t="s">
        <v>181</v>
      </c>
      <c r="E355" s="188" t="s">
        <v>1131</v>
      </c>
      <c r="F355" s="188" t="s">
        <v>1131</v>
      </c>
    </row>
    <row r="356" spans="2:6">
      <c r="B356" s="186">
        <v>440</v>
      </c>
      <c r="D356" s="188" t="s">
        <v>182</v>
      </c>
      <c r="E356" s="188" t="s">
        <v>1132</v>
      </c>
      <c r="F356" s="188" t="s">
        <v>1132</v>
      </c>
    </row>
    <row r="357" spans="2:6">
      <c r="B357" s="186">
        <v>441</v>
      </c>
      <c r="D357" s="188" t="s">
        <v>183</v>
      </c>
      <c r="E357" s="188" t="s">
        <v>1133</v>
      </c>
      <c r="F357" s="188" t="s">
        <v>1133</v>
      </c>
    </row>
    <row r="358" spans="2:6">
      <c r="B358" s="186">
        <v>442</v>
      </c>
      <c r="D358" s="188" t="s">
        <v>517</v>
      </c>
      <c r="E358" s="188" t="s">
        <v>1134</v>
      </c>
      <c r="F358" s="188" t="s">
        <v>1134</v>
      </c>
    </row>
    <row r="359" spans="2:6">
      <c r="B359" s="186">
        <v>443</v>
      </c>
      <c r="D359" s="188" t="s">
        <v>503</v>
      </c>
      <c r="E359" s="188" t="s">
        <v>1135</v>
      </c>
      <c r="F359" s="188" t="s">
        <v>1135</v>
      </c>
    </row>
    <row r="360" spans="2:6">
      <c r="B360" s="186">
        <v>444</v>
      </c>
      <c r="D360" s="188" t="s">
        <v>392</v>
      </c>
      <c r="E360" s="188" t="s">
        <v>392</v>
      </c>
      <c r="F360" s="188" t="s">
        <v>392</v>
      </c>
    </row>
    <row r="361" spans="2:6" ht="24">
      <c r="B361" s="186">
        <v>445</v>
      </c>
      <c r="C361" s="187" t="s">
        <v>547</v>
      </c>
      <c r="D361" s="188" t="s">
        <v>575</v>
      </c>
      <c r="E361" s="188" t="s">
        <v>1136</v>
      </c>
      <c r="F361" s="188" t="s">
        <v>1136</v>
      </c>
    </row>
    <row r="362" spans="2:6">
      <c r="B362" s="186">
        <v>446</v>
      </c>
      <c r="D362" s="188" t="s">
        <v>603</v>
      </c>
      <c r="E362" s="188" t="s">
        <v>1137</v>
      </c>
      <c r="F362" s="188" t="s">
        <v>1137</v>
      </c>
    </row>
    <row r="363" spans="2:6">
      <c r="B363" s="186">
        <v>447</v>
      </c>
      <c r="C363" s="187" t="s">
        <v>470</v>
      </c>
      <c r="D363" s="188" t="s">
        <v>475</v>
      </c>
      <c r="E363" s="188" t="s">
        <v>1138</v>
      </c>
      <c r="F363" s="188" t="s">
        <v>1138</v>
      </c>
    </row>
    <row r="364" spans="2:6">
      <c r="B364" s="186">
        <v>448</v>
      </c>
      <c r="D364" s="188" t="s">
        <v>184</v>
      </c>
      <c r="E364" s="188" t="s">
        <v>1139</v>
      </c>
      <c r="F364" s="188" t="s">
        <v>1139</v>
      </c>
    </row>
    <row r="365" spans="2:6" ht="24">
      <c r="B365" s="186">
        <v>449</v>
      </c>
      <c r="D365" s="188" t="s">
        <v>185</v>
      </c>
      <c r="E365" s="188" t="s">
        <v>1140</v>
      </c>
      <c r="F365" s="188" t="s">
        <v>1140</v>
      </c>
    </row>
    <row r="366" spans="2:6">
      <c r="B366" s="186">
        <v>450</v>
      </c>
      <c r="D366" s="188" t="s">
        <v>186</v>
      </c>
      <c r="E366" s="188" t="s">
        <v>1141</v>
      </c>
      <c r="F366" s="188" t="s">
        <v>1141</v>
      </c>
    </row>
    <row r="367" spans="2:6">
      <c r="B367" s="186">
        <v>451</v>
      </c>
      <c r="D367" s="188" t="s">
        <v>609</v>
      </c>
      <c r="E367" s="188" t="s">
        <v>1142</v>
      </c>
      <c r="F367" s="188" t="s">
        <v>1142</v>
      </c>
    </row>
    <row r="368" spans="2:6" ht="24">
      <c r="B368" s="186">
        <v>452</v>
      </c>
      <c r="D368" s="188" t="s">
        <v>187</v>
      </c>
      <c r="E368" s="188" t="s">
        <v>1143</v>
      </c>
      <c r="F368" s="188" t="s">
        <v>1143</v>
      </c>
    </row>
    <row r="369" spans="2:6">
      <c r="B369" s="186">
        <v>453</v>
      </c>
      <c r="D369" s="189" t="s">
        <v>444</v>
      </c>
      <c r="E369" s="188" t="s">
        <v>922</v>
      </c>
      <c r="F369" s="188" t="s">
        <v>922</v>
      </c>
    </row>
    <row r="370" spans="2:6">
      <c r="B370" s="186">
        <v>454</v>
      </c>
      <c r="D370" s="188" t="s">
        <v>393</v>
      </c>
      <c r="E370" s="188" t="s">
        <v>1144</v>
      </c>
      <c r="F370" s="188" t="s">
        <v>1144</v>
      </c>
    </row>
    <row r="371" spans="2:6">
      <c r="B371" s="186">
        <v>455</v>
      </c>
      <c r="D371" s="188" t="s">
        <v>188</v>
      </c>
      <c r="E371" s="188" t="s">
        <v>1145</v>
      </c>
      <c r="F371" s="188" t="s">
        <v>1145</v>
      </c>
    </row>
    <row r="372" spans="2:6">
      <c r="B372" s="186">
        <v>456</v>
      </c>
      <c r="D372" s="188" t="s">
        <v>394</v>
      </c>
      <c r="E372" s="188" t="s">
        <v>1146</v>
      </c>
      <c r="F372" s="188" t="s">
        <v>1146</v>
      </c>
    </row>
    <row r="373" spans="2:6">
      <c r="B373" s="186">
        <v>457</v>
      </c>
      <c r="D373" s="188" t="s">
        <v>189</v>
      </c>
      <c r="E373" s="188" t="s">
        <v>1147</v>
      </c>
      <c r="F373" s="188" t="s">
        <v>1147</v>
      </c>
    </row>
    <row r="374" spans="2:6">
      <c r="B374" s="186">
        <v>458</v>
      </c>
      <c r="D374" s="188" t="s">
        <v>190</v>
      </c>
      <c r="E374" s="188" t="s">
        <v>1148</v>
      </c>
      <c r="F374" s="188" t="s">
        <v>1148</v>
      </c>
    </row>
    <row r="375" spans="2:6">
      <c r="B375" s="186">
        <v>459</v>
      </c>
      <c r="C375" s="187" t="s">
        <v>547</v>
      </c>
      <c r="D375" s="188" t="s">
        <v>567</v>
      </c>
      <c r="E375" s="188" t="s">
        <v>1149</v>
      </c>
      <c r="F375" s="188" t="s">
        <v>1149</v>
      </c>
    </row>
    <row r="376" spans="2:6">
      <c r="B376" s="186">
        <v>460</v>
      </c>
      <c r="D376" s="188" t="s">
        <v>191</v>
      </c>
      <c r="E376" s="188" t="s">
        <v>1149</v>
      </c>
      <c r="F376" s="188" t="s">
        <v>1149</v>
      </c>
    </row>
    <row r="377" spans="2:6">
      <c r="B377" s="186">
        <v>461</v>
      </c>
      <c r="D377" s="188" t="s">
        <v>192</v>
      </c>
      <c r="E377" s="188" t="s">
        <v>1150</v>
      </c>
      <c r="F377" s="188" t="s">
        <v>1150</v>
      </c>
    </row>
    <row r="378" spans="2:6">
      <c r="B378" s="186">
        <v>462</v>
      </c>
      <c r="D378" s="188" t="s">
        <v>628</v>
      </c>
      <c r="E378" s="188" t="s">
        <v>1151</v>
      </c>
      <c r="F378" s="188" t="s">
        <v>1151</v>
      </c>
    </row>
    <row r="379" spans="2:6">
      <c r="B379" s="186">
        <v>463</v>
      </c>
      <c r="D379" s="188" t="s">
        <v>193</v>
      </c>
      <c r="E379" s="188" t="s">
        <v>1152</v>
      </c>
      <c r="F379" s="188" t="s">
        <v>1152</v>
      </c>
    </row>
    <row r="380" spans="2:6">
      <c r="B380" s="186">
        <v>464</v>
      </c>
      <c r="D380" s="188" t="s">
        <v>194</v>
      </c>
      <c r="F380" s="188"/>
    </row>
    <row r="381" spans="2:6">
      <c r="B381" s="186">
        <v>465</v>
      </c>
      <c r="D381" s="188" t="s">
        <v>395</v>
      </c>
      <c r="E381" s="188" t="s">
        <v>1153</v>
      </c>
      <c r="F381" s="188" t="s">
        <v>1153</v>
      </c>
    </row>
    <row r="382" spans="2:6" ht="24">
      <c r="B382" s="186">
        <v>466</v>
      </c>
      <c r="D382" s="188" t="s">
        <v>618</v>
      </c>
      <c r="E382" s="188" t="s">
        <v>1154</v>
      </c>
      <c r="F382" s="188" t="s">
        <v>1154</v>
      </c>
    </row>
    <row r="383" spans="2:6" ht="24">
      <c r="B383" s="186">
        <v>467</v>
      </c>
      <c r="D383" s="188" t="s">
        <v>195</v>
      </c>
      <c r="E383" s="188" t="s">
        <v>1155</v>
      </c>
      <c r="F383" s="188" t="s">
        <v>1155</v>
      </c>
    </row>
    <row r="384" spans="2:6">
      <c r="B384" s="186">
        <v>468</v>
      </c>
      <c r="D384" s="188" t="s">
        <v>196</v>
      </c>
      <c r="E384" s="188" t="s">
        <v>1156</v>
      </c>
      <c r="F384" s="188" t="s">
        <v>1156</v>
      </c>
    </row>
    <row r="385" spans="2:6">
      <c r="B385" s="186">
        <v>469</v>
      </c>
      <c r="D385" s="188" t="s">
        <v>197</v>
      </c>
      <c r="E385" s="188" t="s">
        <v>1157</v>
      </c>
      <c r="F385" s="188" t="s">
        <v>1157</v>
      </c>
    </row>
    <row r="386" spans="2:6">
      <c r="B386" s="186">
        <v>470</v>
      </c>
      <c r="C386" s="187" t="s">
        <v>547</v>
      </c>
      <c r="D386" s="188" t="s">
        <v>560</v>
      </c>
      <c r="E386" s="188" t="s">
        <v>1158</v>
      </c>
      <c r="F386" s="188" t="s">
        <v>1158</v>
      </c>
    </row>
    <row r="387" spans="2:6">
      <c r="B387" s="186">
        <v>471</v>
      </c>
      <c r="C387" s="187" t="s">
        <v>547</v>
      </c>
      <c r="D387" s="188" t="s">
        <v>564</v>
      </c>
      <c r="E387" s="188" t="s">
        <v>1159</v>
      </c>
      <c r="F387" s="188" t="s">
        <v>1159</v>
      </c>
    </row>
    <row r="388" spans="2:6">
      <c r="B388" s="186">
        <v>472</v>
      </c>
      <c r="D388" s="188" t="s">
        <v>198</v>
      </c>
      <c r="E388" s="188" t="s">
        <v>1160</v>
      </c>
      <c r="F388" s="188" t="s">
        <v>1160</v>
      </c>
    </row>
    <row r="389" spans="2:6">
      <c r="B389" s="186">
        <v>473</v>
      </c>
      <c r="C389" s="187" t="s">
        <v>547</v>
      </c>
      <c r="D389" s="188" t="s">
        <v>556</v>
      </c>
      <c r="E389" s="188" t="s">
        <v>1161</v>
      </c>
      <c r="F389" s="188" t="s">
        <v>1161</v>
      </c>
    </row>
    <row r="390" spans="2:6" ht="24">
      <c r="B390" s="186">
        <v>474</v>
      </c>
      <c r="C390" s="187" t="s">
        <v>547</v>
      </c>
      <c r="D390" s="188" t="s">
        <v>558</v>
      </c>
      <c r="E390" s="188" t="s">
        <v>1162</v>
      </c>
      <c r="F390" s="188" t="s">
        <v>1162</v>
      </c>
    </row>
    <row r="391" spans="2:6">
      <c r="B391" s="186">
        <v>475</v>
      </c>
      <c r="C391" s="187" t="s">
        <v>547</v>
      </c>
      <c r="D391" s="188" t="s">
        <v>559</v>
      </c>
      <c r="E391" s="188" t="s">
        <v>1163</v>
      </c>
      <c r="F391" s="188" t="s">
        <v>1163</v>
      </c>
    </row>
    <row r="392" spans="2:6">
      <c r="B392" s="186">
        <v>476</v>
      </c>
      <c r="D392" s="188" t="s">
        <v>199</v>
      </c>
      <c r="E392" s="188" t="s">
        <v>1164</v>
      </c>
      <c r="F392" s="188" t="s">
        <v>1164</v>
      </c>
    </row>
    <row r="393" spans="2:6">
      <c r="B393" s="186">
        <v>477</v>
      </c>
      <c r="D393" s="188" t="s">
        <v>200</v>
      </c>
      <c r="E393" s="188" t="s">
        <v>1165</v>
      </c>
      <c r="F393" s="188" t="s">
        <v>1165</v>
      </c>
    </row>
    <row r="394" spans="2:6" ht="36">
      <c r="B394" s="186">
        <v>478</v>
      </c>
      <c r="C394" s="187" t="s">
        <v>547</v>
      </c>
      <c r="D394" s="188" t="s">
        <v>577</v>
      </c>
      <c r="E394" s="188" t="s">
        <v>1166</v>
      </c>
      <c r="F394" s="188" t="s">
        <v>1166</v>
      </c>
    </row>
    <row r="395" spans="2:6">
      <c r="B395" s="186">
        <v>479</v>
      </c>
      <c r="D395" s="188" t="s">
        <v>201</v>
      </c>
      <c r="E395" s="188" t="s">
        <v>1167</v>
      </c>
      <c r="F395" s="188" t="s">
        <v>1167</v>
      </c>
    </row>
    <row r="396" spans="2:6">
      <c r="B396" s="186">
        <v>480</v>
      </c>
      <c r="D396" s="188" t="s">
        <v>632</v>
      </c>
      <c r="E396" s="188" t="s">
        <v>1168</v>
      </c>
      <c r="F396" s="188" t="s">
        <v>1168</v>
      </c>
    </row>
    <row r="397" spans="2:6">
      <c r="B397" s="186">
        <v>481</v>
      </c>
      <c r="D397" s="188" t="s">
        <v>202</v>
      </c>
      <c r="E397" s="188" t="s">
        <v>1169</v>
      </c>
      <c r="F397" s="188" t="s">
        <v>1169</v>
      </c>
    </row>
    <row r="398" spans="2:6">
      <c r="B398" s="186">
        <v>482</v>
      </c>
      <c r="D398" s="188" t="s">
        <v>203</v>
      </c>
      <c r="E398" s="188" t="s">
        <v>1170</v>
      </c>
      <c r="F398" s="188" t="s">
        <v>1170</v>
      </c>
    </row>
    <row r="399" spans="2:6">
      <c r="B399" s="186">
        <v>483</v>
      </c>
      <c r="D399" s="188" t="s">
        <v>204</v>
      </c>
      <c r="E399" s="188" t="s">
        <v>1171</v>
      </c>
      <c r="F399" s="188" t="s">
        <v>1171</v>
      </c>
    </row>
    <row r="400" spans="2:6">
      <c r="B400" s="186">
        <v>484</v>
      </c>
      <c r="D400" s="188" t="s">
        <v>205</v>
      </c>
      <c r="E400" s="188" t="s">
        <v>1172</v>
      </c>
      <c r="F400" s="188" t="s">
        <v>1172</v>
      </c>
    </row>
    <row r="401" spans="2:6" ht="24">
      <c r="B401" s="186">
        <v>485</v>
      </c>
      <c r="D401" s="188" t="s">
        <v>206</v>
      </c>
      <c r="E401" s="188" t="s">
        <v>1173</v>
      </c>
      <c r="F401" s="188" t="s">
        <v>1173</v>
      </c>
    </row>
    <row r="402" spans="2:6">
      <c r="B402" s="186">
        <v>486</v>
      </c>
      <c r="D402" s="188" t="s">
        <v>631</v>
      </c>
      <c r="E402" s="188" t="s">
        <v>1174</v>
      </c>
      <c r="F402" s="188" t="s">
        <v>1174</v>
      </c>
    </row>
    <row r="403" spans="2:6">
      <c r="B403" s="186">
        <v>487</v>
      </c>
      <c r="D403" s="188" t="s">
        <v>629</v>
      </c>
      <c r="E403" s="188" t="s">
        <v>1175</v>
      </c>
      <c r="F403" s="188" t="s">
        <v>1175</v>
      </c>
    </row>
    <row r="404" spans="2:6">
      <c r="B404" s="186">
        <v>488</v>
      </c>
      <c r="D404" s="188" t="s">
        <v>630</v>
      </c>
      <c r="E404" s="188" t="s">
        <v>1176</v>
      </c>
      <c r="F404" s="188" t="s">
        <v>1176</v>
      </c>
    </row>
    <row r="405" spans="2:6">
      <c r="B405" s="186">
        <v>489</v>
      </c>
      <c r="D405" s="188" t="s">
        <v>207</v>
      </c>
      <c r="E405" s="188" t="s">
        <v>1177</v>
      </c>
      <c r="F405" s="188" t="s">
        <v>1177</v>
      </c>
    </row>
    <row r="406" spans="2:6">
      <c r="B406" s="186">
        <v>490</v>
      </c>
      <c r="C406" s="187" t="s">
        <v>470</v>
      </c>
      <c r="D406" s="188" t="s">
        <v>474</v>
      </c>
      <c r="E406" s="188" t="s">
        <v>1178</v>
      </c>
      <c r="F406" s="188" t="s">
        <v>1178</v>
      </c>
    </row>
    <row r="407" spans="2:6">
      <c r="B407" s="186">
        <v>491</v>
      </c>
      <c r="D407" s="188" t="s">
        <v>208</v>
      </c>
      <c r="E407" s="188" t="s">
        <v>1179</v>
      </c>
      <c r="F407" s="188" t="s">
        <v>1179</v>
      </c>
    </row>
    <row r="408" spans="2:6">
      <c r="B408" s="186">
        <v>492</v>
      </c>
      <c r="C408" s="187" t="s">
        <v>488</v>
      </c>
      <c r="D408" s="188" t="s">
        <v>486</v>
      </c>
      <c r="E408" s="188" t="s">
        <v>1180</v>
      </c>
      <c r="F408" s="188" t="s">
        <v>1180</v>
      </c>
    </row>
    <row r="409" spans="2:6">
      <c r="B409" s="186">
        <v>493</v>
      </c>
      <c r="C409" s="187" t="s">
        <v>488</v>
      </c>
      <c r="D409" s="188" t="s">
        <v>485</v>
      </c>
      <c r="E409" s="188" t="s">
        <v>1181</v>
      </c>
      <c r="F409" s="188" t="s">
        <v>1181</v>
      </c>
    </row>
    <row r="410" spans="2:6">
      <c r="B410" s="186">
        <v>494</v>
      </c>
      <c r="D410" s="188" t="s">
        <v>209</v>
      </c>
      <c r="E410" s="188" t="s">
        <v>1182</v>
      </c>
      <c r="F410" s="188" t="s">
        <v>1182</v>
      </c>
    </row>
    <row r="411" spans="2:6">
      <c r="B411" s="186">
        <v>495</v>
      </c>
      <c r="D411" s="188" t="s">
        <v>210</v>
      </c>
      <c r="E411" s="188" t="s">
        <v>1183</v>
      </c>
      <c r="F411" s="188" t="s">
        <v>1183</v>
      </c>
    </row>
    <row r="412" spans="2:6">
      <c r="B412" s="186">
        <v>496</v>
      </c>
      <c r="C412" s="187" t="s">
        <v>547</v>
      </c>
      <c r="D412" s="188" t="s">
        <v>659</v>
      </c>
      <c r="E412" s="188" t="s">
        <v>1184</v>
      </c>
      <c r="F412" s="188" t="s">
        <v>1184</v>
      </c>
    </row>
    <row r="413" spans="2:6">
      <c r="B413" s="186">
        <v>497</v>
      </c>
      <c r="D413" s="188" t="s">
        <v>211</v>
      </c>
      <c r="E413" s="188" t="s">
        <v>1185</v>
      </c>
      <c r="F413" s="188" t="s">
        <v>1185</v>
      </c>
    </row>
    <row r="414" spans="2:6" ht="36">
      <c r="B414" s="186">
        <v>498</v>
      </c>
      <c r="D414" s="188" t="s">
        <v>212</v>
      </c>
      <c r="E414" s="188" t="s">
        <v>1186</v>
      </c>
      <c r="F414" s="188" t="s">
        <v>1186</v>
      </c>
    </row>
    <row r="415" spans="2:6">
      <c r="B415" s="186">
        <v>499</v>
      </c>
      <c r="D415" s="188" t="s">
        <v>213</v>
      </c>
      <c r="E415" s="188" t="s">
        <v>1187</v>
      </c>
      <c r="F415" s="188" t="s">
        <v>1187</v>
      </c>
    </row>
    <row r="416" spans="2:6" ht="24">
      <c r="B416" s="186">
        <v>500</v>
      </c>
      <c r="D416" s="188" t="s">
        <v>214</v>
      </c>
      <c r="E416" s="188" t="s">
        <v>1188</v>
      </c>
      <c r="F416" s="188" t="s">
        <v>1188</v>
      </c>
    </row>
    <row r="417" spans="2:6" ht="24">
      <c r="B417" s="186">
        <v>501</v>
      </c>
      <c r="D417" s="188" t="s">
        <v>215</v>
      </c>
      <c r="E417" s="188" t="s">
        <v>1189</v>
      </c>
      <c r="F417" s="188" t="s">
        <v>1189</v>
      </c>
    </row>
    <row r="418" spans="2:6" ht="24">
      <c r="B418" s="186">
        <v>502</v>
      </c>
      <c r="D418" s="188" t="s">
        <v>216</v>
      </c>
      <c r="E418" s="188" t="s">
        <v>1190</v>
      </c>
      <c r="F418" s="188" t="s">
        <v>1190</v>
      </c>
    </row>
    <row r="419" spans="2:6" ht="24">
      <c r="B419" s="186">
        <v>503</v>
      </c>
      <c r="D419" s="188" t="s">
        <v>217</v>
      </c>
      <c r="E419" s="188" t="s">
        <v>1191</v>
      </c>
      <c r="F419" s="188" t="s">
        <v>1191</v>
      </c>
    </row>
    <row r="420" spans="2:6" ht="24">
      <c r="B420" s="186">
        <v>504</v>
      </c>
      <c r="D420" s="188" t="s">
        <v>218</v>
      </c>
      <c r="E420" s="188" t="s">
        <v>1192</v>
      </c>
      <c r="F420" s="188" t="s">
        <v>1192</v>
      </c>
    </row>
    <row r="421" spans="2:6" ht="24">
      <c r="B421" s="186">
        <v>505</v>
      </c>
      <c r="D421" s="188" t="s">
        <v>219</v>
      </c>
      <c r="E421" s="188" t="s">
        <v>1193</v>
      </c>
      <c r="F421" s="188" t="s">
        <v>1193</v>
      </c>
    </row>
    <row r="422" spans="2:6" ht="24">
      <c r="B422" s="186">
        <v>506</v>
      </c>
      <c r="D422" s="188" t="s">
        <v>220</v>
      </c>
      <c r="E422" s="188" t="s">
        <v>1194</v>
      </c>
      <c r="F422" s="188" t="s">
        <v>1194</v>
      </c>
    </row>
    <row r="423" spans="2:6" ht="24">
      <c r="B423" s="186">
        <v>507</v>
      </c>
      <c r="D423" s="188" t="s">
        <v>221</v>
      </c>
      <c r="E423" s="188" t="s">
        <v>1195</v>
      </c>
      <c r="F423" s="188" t="s">
        <v>1195</v>
      </c>
    </row>
    <row r="424" spans="2:6" ht="24">
      <c r="B424" s="186">
        <v>508</v>
      </c>
      <c r="D424" s="188" t="s">
        <v>222</v>
      </c>
      <c r="E424" s="188" t="s">
        <v>1196</v>
      </c>
      <c r="F424" s="188" t="s">
        <v>1196</v>
      </c>
    </row>
    <row r="425" spans="2:6" ht="24">
      <c r="B425" s="186">
        <v>509</v>
      </c>
      <c r="D425" s="188" t="s">
        <v>223</v>
      </c>
      <c r="E425" s="188" t="s">
        <v>1197</v>
      </c>
      <c r="F425" s="188" t="s">
        <v>1197</v>
      </c>
    </row>
    <row r="426" spans="2:6" ht="24">
      <c r="B426" s="186">
        <v>510</v>
      </c>
      <c r="D426" s="188" t="s">
        <v>224</v>
      </c>
      <c r="E426" s="188" t="s">
        <v>1198</v>
      </c>
      <c r="F426" s="188" t="s">
        <v>1198</v>
      </c>
    </row>
    <row r="427" spans="2:6" ht="24">
      <c r="B427" s="186">
        <v>511</v>
      </c>
      <c r="D427" s="188" t="s">
        <v>225</v>
      </c>
      <c r="E427" s="188" t="s">
        <v>1199</v>
      </c>
      <c r="F427" s="188" t="s">
        <v>1199</v>
      </c>
    </row>
    <row r="428" spans="2:6" ht="24">
      <c r="B428" s="186">
        <v>512</v>
      </c>
      <c r="D428" s="188" t="s">
        <v>226</v>
      </c>
      <c r="E428" s="188" t="s">
        <v>1200</v>
      </c>
      <c r="F428" s="188" t="s">
        <v>1200</v>
      </c>
    </row>
    <row r="429" spans="2:6" ht="24">
      <c r="B429" s="186">
        <v>513</v>
      </c>
      <c r="D429" s="188" t="s">
        <v>227</v>
      </c>
      <c r="E429" s="188" t="s">
        <v>1201</v>
      </c>
      <c r="F429" s="188" t="s">
        <v>1201</v>
      </c>
    </row>
    <row r="430" spans="2:6" ht="24">
      <c r="B430" s="186">
        <v>514</v>
      </c>
      <c r="D430" s="188" t="s">
        <v>228</v>
      </c>
      <c r="E430" s="188" t="s">
        <v>1202</v>
      </c>
      <c r="F430" s="188" t="s">
        <v>1202</v>
      </c>
    </row>
    <row r="431" spans="2:6" ht="24">
      <c r="B431" s="186">
        <v>515</v>
      </c>
      <c r="D431" s="188" t="s">
        <v>229</v>
      </c>
      <c r="E431" s="188" t="s">
        <v>1203</v>
      </c>
      <c r="F431" s="188" t="s">
        <v>1203</v>
      </c>
    </row>
    <row r="432" spans="2:6" ht="24">
      <c r="B432" s="186">
        <v>516</v>
      </c>
      <c r="D432" s="188" t="s">
        <v>230</v>
      </c>
      <c r="E432" s="188" t="s">
        <v>1204</v>
      </c>
      <c r="F432" s="188" t="s">
        <v>1204</v>
      </c>
    </row>
    <row r="433" spans="1:27" ht="24">
      <c r="B433" s="186">
        <v>517</v>
      </c>
      <c r="D433" s="188" t="s">
        <v>231</v>
      </c>
      <c r="E433" s="188" t="s">
        <v>1205</v>
      </c>
      <c r="F433" s="188" t="s">
        <v>1205</v>
      </c>
    </row>
    <row r="434" spans="1:27" ht="24">
      <c r="B434" s="186">
        <v>518</v>
      </c>
      <c r="D434" s="188" t="s">
        <v>232</v>
      </c>
      <c r="E434" s="188" t="s">
        <v>1206</v>
      </c>
      <c r="F434" s="188" t="s">
        <v>1206</v>
      </c>
    </row>
    <row r="435" spans="1:27" ht="24">
      <c r="B435" s="186">
        <v>519</v>
      </c>
      <c r="D435" s="188" t="s">
        <v>233</v>
      </c>
      <c r="E435" s="188" t="s">
        <v>1207</v>
      </c>
      <c r="F435" s="188" t="s">
        <v>1207</v>
      </c>
    </row>
    <row r="436" spans="1:27" ht="24">
      <c r="B436" s="186">
        <v>520</v>
      </c>
      <c r="D436" s="188" t="s">
        <v>234</v>
      </c>
      <c r="E436" s="188" t="s">
        <v>1208</v>
      </c>
      <c r="F436" s="188" t="s">
        <v>1208</v>
      </c>
    </row>
    <row r="437" spans="1:27" ht="24">
      <c r="B437" s="186">
        <v>521</v>
      </c>
      <c r="D437" s="188" t="s">
        <v>396</v>
      </c>
      <c r="E437" s="188" t="s">
        <v>1209</v>
      </c>
      <c r="F437" s="188" t="s">
        <v>1209</v>
      </c>
    </row>
    <row r="438" spans="1:27" ht="24">
      <c r="B438" s="186">
        <v>522</v>
      </c>
      <c r="D438" s="188" t="s">
        <v>397</v>
      </c>
      <c r="E438" s="188" t="s">
        <v>1209</v>
      </c>
      <c r="F438" s="188" t="s">
        <v>1209</v>
      </c>
    </row>
    <row r="439" spans="1:27" ht="24">
      <c r="B439" s="186">
        <v>523</v>
      </c>
      <c r="D439" s="188" t="s">
        <v>235</v>
      </c>
      <c r="E439" s="188" t="s">
        <v>1210</v>
      </c>
      <c r="F439" s="188" t="s">
        <v>1210</v>
      </c>
    </row>
    <row r="440" spans="1:27" ht="24">
      <c r="B440" s="186">
        <v>524</v>
      </c>
      <c r="D440" s="188" t="s">
        <v>236</v>
      </c>
      <c r="E440" s="188" t="s">
        <v>1211</v>
      </c>
      <c r="F440" s="188" t="s">
        <v>1211</v>
      </c>
    </row>
    <row r="441" spans="1:27" ht="24">
      <c r="B441" s="186">
        <v>525</v>
      </c>
      <c r="D441" s="188" t="s">
        <v>237</v>
      </c>
      <c r="E441" s="188" t="s">
        <v>1212</v>
      </c>
      <c r="F441" s="188" t="s">
        <v>1212</v>
      </c>
    </row>
    <row r="442" spans="1:27" ht="24">
      <c r="B442" s="186">
        <v>526</v>
      </c>
      <c r="D442" s="188" t="s">
        <v>238</v>
      </c>
      <c r="E442" s="188" t="s">
        <v>1213</v>
      </c>
      <c r="F442" s="188" t="s">
        <v>1213</v>
      </c>
    </row>
    <row r="443" spans="1:27" ht="24">
      <c r="B443" s="186">
        <v>527</v>
      </c>
      <c r="D443" s="188" t="s">
        <v>398</v>
      </c>
      <c r="E443" s="188" t="s">
        <v>1214</v>
      </c>
      <c r="F443" s="188" t="s">
        <v>1214</v>
      </c>
    </row>
    <row r="444" spans="1:27" s="189" customFormat="1" ht="24">
      <c r="A444" s="185"/>
      <c r="B444" s="186">
        <v>528</v>
      </c>
      <c r="C444" s="187"/>
      <c r="D444" s="188" t="s">
        <v>399</v>
      </c>
      <c r="E444" s="188" t="s">
        <v>1215</v>
      </c>
      <c r="F444" s="188" t="s">
        <v>1215</v>
      </c>
      <c r="G444" s="185"/>
      <c r="H444" s="185"/>
      <c r="I444" s="185"/>
      <c r="J444" s="185"/>
      <c r="K444" s="185"/>
      <c r="L444" s="185"/>
      <c r="M444" s="185"/>
      <c r="N444" s="185"/>
      <c r="O444" s="185"/>
      <c r="P444" s="185"/>
      <c r="Q444" s="185"/>
      <c r="R444" s="185"/>
      <c r="S444" s="185"/>
      <c r="T444" s="185"/>
      <c r="U444" s="185"/>
      <c r="V444" s="185"/>
      <c r="W444" s="185"/>
      <c r="X444" s="185"/>
      <c r="Y444" s="185"/>
      <c r="Z444" s="185"/>
      <c r="AA444" s="185"/>
    </row>
    <row r="445" spans="1:27" s="189" customFormat="1">
      <c r="A445" s="185"/>
      <c r="B445" s="186">
        <v>529</v>
      </c>
      <c r="C445" s="187"/>
      <c r="D445" s="188" t="s">
        <v>239</v>
      </c>
      <c r="E445" s="188" t="s">
        <v>1216</v>
      </c>
      <c r="F445" s="188" t="s">
        <v>1216</v>
      </c>
      <c r="G445" s="185"/>
      <c r="H445" s="185"/>
      <c r="I445" s="185"/>
      <c r="J445" s="185"/>
      <c r="K445" s="185"/>
      <c r="L445" s="185"/>
      <c r="M445" s="185"/>
      <c r="N445" s="185"/>
      <c r="O445" s="185"/>
      <c r="P445" s="185"/>
      <c r="Q445" s="185"/>
      <c r="R445" s="185"/>
      <c r="S445" s="185"/>
      <c r="T445" s="185"/>
      <c r="U445" s="185"/>
      <c r="V445" s="185"/>
      <c r="W445" s="185"/>
      <c r="X445" s="185"/>
      <c r="Y445" s="185"/>
      <c r="Z445" s="185"/>
      <c r="AA445" s="185"/>
    </row>
    <row r="446" spans="1:27" s="190" customFormat="1" ht="36">
      <c r="A446" s="185"/>
      <c r="B446" s="186">
        <v>530</v>
      </c>
      <c r="C446" s="187"/>
      <c r="D446" s="188" t="s">
        <v>240</v>
      </c>
      <c r="E446" s="188" t="s">
        <v>1217</v>
      </c>
      <c r="F446" s="188" t="s">
        <v>1217</v>
      </c>
      <c r="G446" s="185"/>
      <c r="H446" s="185"/>
      <c r="I446" s="185"/>
      <c r="J446" s="185"/>
      <c r="K446" s="185"/>
      <c r="L446" s="185"/>
      <c r="M446" s="185"/>
      <c r="N446" s="185"/>
      <c r="O446" s="185"/>
      <c r="P446" s="185"/>
      <c r="Q446" s="185"/>
      <c r="R446" s="185"/>
      <c r="S446" s="185"/>
      <c r="T446" s="185"/>
      <c r="U446" s="185"/>
      <c r="V446" s="185"/>
      <c r="W446" s="185"/>
      <c r="X446" s="185"/>
      <c r="Y446" s="185"/>
      <c r="Z446" s="185"/>
      <c r="AA446" s="185"/>
    </row>
    <row r="447" spans="1:27" s="190" customFormat="1">
      <c r="A447" s="185"/>
      <c r="B447" s="186">
        <v>531</v>
      </c>
      <c r="C447" s="187"/>
      <c r="D447" s="188" t="s">
        <v>241</v>
      </c>
      <c r="E447" s="188" t="s">
        <v>1218</v>
      </c>
      <c r="F447" s="188" t="s">
        <v>1218</v>
      </c>
      <c r="G447" s="185"/>
      <c r="H447" s="185"/>
      <c r="I447" s="185"/>
      <c r="J447" s="185"/>
      <c r="K447" s="185"/>
      <c r="L447" s="185"/>
      <c r="M447" s="185"/>
      <c r="N447" s="185"/>
      <c r="O447" s="185"/>
      <c r="P447" s="185"/>
      <c r="Q447" s="185"/>
      <c r="R447" s="185"/>
      <c r="S447" s="185"/>
      <c r="T447" s="185"/>
      <c r="U447" s="185"/>
      <c r="V447" s="185"/>
      <c r="W447" s="185"/>
      <c r="X447" s="185"/>
      <c r="Y447" s="185"/>
      <c r="Z447" s="185"/>
      <c r="AA447" s="185"/>
    </row>
    <row r="448" spans="1:27" s="190" customFormat="1" ht="36">
      <c r="A448" s="185"/>
      <c r="B448" s="186">
        <v>532</v>
      </c>
      <c r="C448" s="187"/>
      <c r="D448" s="188" t="s">
        <v>242</v>
      </c>
      <c r="E448" s="188" t="s">
        <v>1219</v>
      </c>
      <c r="F448" s="188" t="s">
        <v>1219</v>
      </c>
      <c r="G448" s="185"/>
      <c r="H448" s="185"/>
      <c r="I448" s="185"/>
      <c r="J448" s="185"/>
      <c r="K448" s="185"/>
      <c r="L448" s="185"/>
      <c r="M448" s="185"/>
      <c r="N448" s="185"/>
      <c r="O448" s="185"/>
      <c r="P448" s="185"/>
      <c r="Q448" s="185"/>
      <c r="R448" s="185"/>
      <c r="S448" s="185"/>
      <c r="T448" s="185"/>
      <c r="U448" s="185"/>
      <c r="V448" s="185"/>
      <c r="W448" s="185"/>
      <c r="X448" s="185"/>
      <c r="Y448" s="185"/>
      <c r="Z448" s="185"/>
      <c r="AA448" s="185"/>
    </row>
    <row r="449" spans="1:27" s="190" customFormat="1" ht="24">
      <c r="A449" s="185"/>
      <c r="B449" s="186">
        <v>533</v>
      </c>
      <c r="C449" s="187"/>
      <c r="D449" s="188" t="s">
        <v>243</v>
      </c>
      <c r="E449" s="188" t="s">
        <v>1220</v>
      </c>
      <c r="F449" s="188" t="s">
        <v>1220</v>
      </c>
      <c r="G449" s="185"/>
      <c r="H449" s="185"/>
      <c r="I449" s="185"/>
      <c r="J449" s="185"/>
      <c r="K449" s="185"/>
      <c r="L449" s="185"/>
      <c r="M449" s="185"/>
      <c r="N449" s="185"/>
      <c r="O449" s="185"/>
      <c r="P449" s="185"/>
      <c r="Q449" s="185"/>
      <c r="R449" s="185"/>
      <c r="S449" s="185"/>
      <c r="T449" s="185"/>
      <c r="U449" s="185"/>
      <c r="V449" s="185"/>
      <c r="W449" s="185"/>
      <c r="X449" s="185"/>
      <c r="Y449" s="185"/>
      <c r="Z449" s="185"/>
      <c r="AA449" s="185"/>
    </row>
    <row r="450" spans="1:27" s="190" customFormat="1" ht="24">
      <c r="A450" s="185"/>
      <c r="B450" s="186">
        <v>534</v>
      </c>
      <c r="C450" s="187"/>
      <c r="D450" s="188" t="s">
        <v>244</v>
      </c>
      <c r="E450" s="188" t="s">
        <v>1221</v>
      </c>
      <c r="F450" s="188" t="s">
        <v>1221</v>
      </c>
      <c r="G450" s="185"/>
      <c r="H450" s="185"/>
      <c r="I450" s="185"/>
      <c r="J450" s="185"/>
      <c r="K450" s="185"/>
      <c r="L450" s="185"/>
      <c r="M450" s="185"/>
      <c r="N450" s="185"/>
      <c r="O450" s="185"/>
      <c r="P450" s="185"/>
      <c r="Q450" s="185"/>
      <c r="R450" s="185"/>
      <c r="S450" s="185"/>
      <c r="T450" s="185"/>
      <c r="U450" s="185"/>
      <c r="V450" s="185"/>
      <c r="W450" s="185"/>
      <c r="X450" s="185"/>
      <c r="Y450" s="185"/>
      <c r="Z450" s="185"/>
      <c r="AA450" s="185"/>
    </row>
    <row r="451" spans="1:27" s="190" customFormat="1" ht="24">
      <c r="A451" s="185"/>
      <c r="B451" s="186">
        <v>535</v>
      </c>
      <c r="C451" s="187"/>
      <c r="D451" s="188" t="s">
        <v>245</v>
      </c>
      <c r="E451" s="188" t="s">
        <v>1222</v>
      </c>
      <c r="F451" s="188" t="s">
        <v>1222</v>
      </c>
      <c r="G451" s="185"/>
      <c r="H451" s="185"/>
      <c r="I451" s="185"/>
      <c r="J451" s="185"/>
      <c r="K451" s="185"/>
      <c r="L451" s="185"/>
      <c r="M451" s="185"/>
      <c r="N451" s="185"/>
      <c r="O451" s="185"/>
      <c r="P451" s="185"/>
      <c r="Q451" s="185"/>
      <c r="R451" s="185"/>
      <c r="S451" s="185"/>
      <c r="T451" s="185"/>
      <c r="U451" s="185"/>
      <c r="V451" s="185"/>
      <c r="W451" s="185"/>
      <c r="X451" s="185"/>
      <c r="Y451" s="185"/>
      <c r="Z451" s="185"/>
      <c r="AA451" s="185"/>
    </row>
    <row r="452" spans="1:27" s="190" customFormat="1" ht="24">
      <c r="A452" s="185"/>
      <c r="B452" s="186">
        <v>536</v>
      </c>
      <c r="C452" s="187"/>
      <c r="D452" s="188" t="s">
        <v>246</v>
      </c>
      <c r="E452" s="188" t="s">
        <v>1223</v>
      </c>
      <c r="F452" s="188" t="s">
        <v>1223</v>
      </c>
      <c r="G452" s="185"/>
      <c r="H452" s="185"/>
      <c r="I452" s="185"/>
      <c r="J452" s="185"/>
      <c r="K452" s="185"/>
      <c r="L452" s="185"/>
      <c r="M452" s="185"/>
      <c r="N452" s="185"/>
      <c r="O452" s="185"/>
      <c r="P452" s="185"/>
      <c r="Q452" s="185"/>
      <c r="R452" s="185"/>
      <c r="S452" s="185"/>
      <c r="T452" s="185"/>
      <c r="U452" s="185"/>
      <c r="V452" s="185"/>
      <c r="W452" s="185"/>
      <c r="X452" s="185"/>
      <c r="Y452" s="185"/>
      <c r="Z452" s="185"/>
      <c r="AA452" s="185"/>
    </row>
    <row r="453" spans="1:27" s="190" customFormat="1">
      <c r="A453" s="185"/>
      <c r="B453" s="186">
        <v>537</v>
      </c>
      <c r="C453" s="187"/>
      <c r="D453" s="188" t="s">
        <v>247</v>
      </c>
      <c r="E453" s="188" t="s">
        <v>1224</v>
      </c>
      <c r="F453" s="188" t="s">
        <v>1224</v>
      </c>
      <c r="G453" s="185"/>
      <c r="H453" s="185"/>
      <c r="I453" s="185"/>
      <c r="J453" s="185"/>
      <c r="K453" s="185"/>
      <c r="L453" s="185"/>
      <c r="M453" s="185"/>
      <c r="N453" s="185"/>
      <c r="O453" s="185"/>
      <c r="P453" s="185"/>
      <c r="Q453" s="185"/>
      <c r="R453" s="185"/>
      <c r="S453" s="185"/>
      <c r="T453" s="185"/>
      <c r="U453" s="185"/>
      <c r="V453" s="185"/>
      <c r="W453" s="185"/>
      <c r="X453" s="185"/>
      <c r="Y453" s="185"/>
      <c r="Z453" s="185"/>
      <c r="AA453" s="185"/>
    </row>
    <row r="454" spans="1:27" s="190" customFormat="1">
      <c r="A454" s="185"/>
      <c r="B454" s="186">
        <v>538</v>
      </c>
      <c r="C454" s="187"/>
      <c r="D454" s="188" t="s">
        <v>248</v>
      </c>
      <c r="E454" s="188" t="s">
        <v>1225</v>
      </c>
      <c r="F454" s="188" t="s">
        <v>1225</v>
      </c>
      <c r="G454" s="185"/>
      <c r="H454" s="185"/>
      <c r="I454" s="185"/>
      <c r="J454" s="185"/>
      <c r="K454" s="185"/>
      <c r="L454" s="185"/>
      <c r="M454" s="185"/>
      <c r="N454" s="185"/>
      <c r="O454" s="185"/>
      <c r="P454" s="185"/>
      <c r="Q454" s="185"/>
      <c r="R454" s="185"/>
      <c r="S454" s="185"/>
      <c r="T454" s="185"/>
      <c r="U454" s="185"/>
      <c r="V454" s="185"/>
      <c r="W454" s="185"/>
      <c r="X454" s="185"/>
      <c r="Y454" s="185"/>
      <c r="Z454" s="185"/>
      <c r="AA454" s="185"/>
    </row>
    <row r="455" spans="1:27" s="190" customFormat="1" ht="24">
      <c r="A455" s="185"/>
      <c r="B455" s="186">
        <v>539</v>
      </c>
      <c r="C455" s="187"/>
      <c r="D455" s="188" t="s">
        <v>249</v>
      </c>
      <c r="E455" s="188" t="s">
        <v>1226</v>
      </c>
      <c r="F455" s="188" t="s">
        <v>1226</v>
      </c>
      <c r="G455" s="185"/>
      <c r="H455" s="185"/>
      <c r="I455" s="185"/>
      <c r="J455" s="185"/>
      <c r="K455" s="185"/>
      <c r="L455" s="185"/>
      <c r="M455" s="185"/>
      <c r="N455" s="185"/>
      <c r="O455" s="185"/>
      <c r="P455" s="185"/>
      <c r="Q455" s="185"/>
      <c r="R455" s="185"/>
      <c r="S455" s="185"/>
      <c r="T455" s="185"/>
      <c r="U455" s="185"/>
      <c r="V455" s="185"/>
      <c r="W455" s="185"/>
      <c r="X455" s="185"/>
      <c r="Y455" s="185"/>
      <c r="Z455" s="185"/>
      <c r="AA455" s="185"/>
    </row>
    <row r="456" spans="1:27" s="190" customFormat="1">
      <c r="A456" s="185"/>
      <c r="B456" s="186">
        <v>540</v>
      </c>
      <c r="C456" s="187"/>
      <c r="D456" s="188" t="s">
        <v>250</v>
      </c>
      <c r="E456" s="188" t="s">
        <v>1227</v>
      </c>
      <c r="F456" s="188" t="s">
        <v>1227</v>
      </c>
      <c r="G456" s="185"/>
      <c r="H456" s="185"/>
      <c r="I456" s="185"/>
      <c r="J456" s="185"/>
      <c r="K456" s="185"/>
      <c r="L456" s="185"/>
      <c r="M456" s="185"/>
      <c r="N456" s="185"/>
      <c r="O456" s="185"/>
      <c r="P456" s="185"/>
      <c r="Q456" s="185"/>
      <c r="R456" s="185"/>
      <c r="S456" s="185"/>
      <c r="T456" s="185"/>
      <c r="U456" s="185"/>
      <c r="V456" s="185"/>
      <c r="W456" s="185"/>
      <c r="X456" s="185"/>
      <c r="Y456" s="185"/>
      <c r="Z456" s="185"/>
      <c r="AA456" s="185"/>
    </row>
    <row r="457" spans="1:27">
      <c r="B457" s="186">
        <v>541</v>
      </c>
      <c r="D457" s="188" t="s">
        <v>251</v>
      </c>
      <c r="E457" s="188" t="s">
        <v>1228</v>
      </c>
      <c r="F457" s="188" t="s">
        <v>1228</v>
      </c>
    </row>
    <row r="458" spans="1:27">
      <c r="B458" s="186">
        <v>542</v>
      </c>
      <c r="D458" s="188" t="s">
        <v>252</v>
      </c>
      <c r="E458" s="188" t="s">
        <v>1229</v>
      </c>
      <c r="F458" s="188" t="s">
        <v>1229</v>
      </c>
    </row>
    <row r="459" spans="1:27" ht="24">
      <c r="B459" s="186">
        <v>543</v>
      </c>
      <c r="D459" s="188" t="s">
        <v>400</v>
      </c>
      <c r="E459" s="188" t="s">
        <v>1230</v>
      </c>
      <c r="F459" s="188" t="s">
        <v>1230</v>
      </c>
    </row>
    <row r="460" spans="1:27" ht="48">
      <c r="A460" s="189"/>
      <c r="B460" s="186">
        <v>544</v>
      </c>
      <c r="C460" s="195" t="s">
        <v>432</v>
      </c>
      <c r="D460" s="189" t="s">
        <v>445</v>
      </c>
      <c r="E460" s="189" t="s">
        <v>1231</v>
      </c>
      <c r="F460" s="189" t="s">
        <v>1231</v>
      </c>
    </row>
    <row r="461" spans="1:27" ht="36">
      <c r="B461" s="186">
        <v>545</v>
      </c>
      <c r="D461" s="188" t="s">
        <v>253</v>
      </c>
      <c r="E461" s="188" t="s">
        <v>1232</v>
      </c>
      <c r="F461" s="188" t="s">
        <v>1232</v>
      </c>
    </row>
    <row r="462" spans="1:27">
      <c r="B462" s="186">
        <v>546</v>
      </c>
      <c r="D462" s="188" t="s">
        <v>254</v>
      </c>
      <c r="E462" s="188" t="s">
        <v>1233</v>
      </c>
      <c r="F462" s="188" t="s">
        <v>1233</v>
      </c>
    </row>
    <row r="463" spans="1:27">
      <c r="B463" s="186">
        <v>547</v>
      </c>
      <c r="D463" s="188" t="s">
        <v>255</v>
      </c>
      <c r="E463" s="188" t="s">
        <v>1234</v>
      </c>
      <c r="F463" s="188" t="s">
        <v>1234</v>
      </c>
    </row>
    <row r="464" spans="1:27">
      <c r="B464" s="186">
        <v>548</v>
      </c>
      <c r="D464" s="188" t="s">
        <v>256</v>
      </c>
      <c r="E464" s="188" t="s">
        <v>1235</v>
      </c>
      <c r="F464" s="188" t="s">
        <v>1235</v>
      </c>
    </row>
    <row r="465" spans="2:6" ht="24">
      <c r="B465" s="186">
        <v>549</v>
      </c>
      <c r="D465" s="188" t="s">
        <v>483</v>
      </c>
      <c r="E465" s="188" t="s">
        <v>1236</v>
      </c>
      <c r="F465" s="188" t="s">
        <v>1236</v>
      </c>
    </row>
    <row r="466" spans="2:6">
      <c r="B466" s="186">
        <v>550</v>
      </c>
      <c r="D466" s="188" t="s">
        <v>257</v>
      </c>
      <c r="E466" s="188" t="s">
        <v>1237</v>
      </c>
      <c r="F466" s="188" t="s">
        <v>1237</v>
      </c>
    </row>
    <row r="467" spans="2:6">
      <c r="B467" s="186">
        <v>551</v>
      </c>
      <c r="D467" s="188" t="s">
        <v>258</v>
      </c>
      <c r="E467" s="188" t="s">
        <v>1238</v>
      </c>
      <c r="F467" s="188" t="s">
        <v>1238</v>
      </c>
    </row>
    <row r="468" spans="2:6">
      <c r="B468" s="186">
        <v>552</v>
      </c>
      <c r="D468" s="188" t="s">
        <v>259</v>
      </c>
      <c r="E468" s="188" t="s">
        <v>1239</v>
      </c>
      <c r="F468" s="188" t="s">
        <v>1239</v>
      </c>
    </row>
    <row r="469" spans="2:6" ht="24">
      <c r="B469" s="186">
        <v>553</v>
      </c>
      <c r="D469" s="188" t="s">
        <v>610</v>
      </c>
      <c r="E469" s="188" t="s">
        <v>1240</v>
      </c>
      <c r="F469" s="188" t="s">
        <v>1240</v>
      </c>
    </row>
    <row r="470" spans="2:6">
      <c r="B470" s="186">
        <v>554</v>
      </c>
      <c r="D470" s="188" t="s">
        <v>611</v>
      </c>
      <c r="E470" s="188" t="s">
        <v>1241</v>
      </c>
      <c r="F470" s="188" t="s">
        <v>1241</v>
      </c>
    </row>
    <row r="471" spans="2:6" ht="24">
      <c r="B471" s="186">
        <v>555</v>
      </c>
      <c r="D471" s="188" t="s">
        <v>260</v>
      </c>
      <c r="E471" s="188" t="s">
        <v>1242</v>
      </c>
      <c r="F471" s="188" t="s">
        <v>1242</v>
      </c>
    </row>
    <row r="472" spans="2:6">
      <c r="B472" s="186">
        <v>556</v>
      </c>
      <c r="D472" s="188" t="s">
        <v>401</v>
      </c>
      <c r="E472" s="188" t="s">
        <v>1243</v>
      </c>
      <c r="F472" s="188" t="s">
        <v>1243</v>
      </c>
    </row>
    <row r="473" spans="2:6" ht="24">
      <c r="B473" s="186">
        <v>557</v>
      </c>
      <c r="D473" s="188" t="s">
        <v>261</v>
      </c>
      <c r="E473" s="188" t="s">
        <v>1244</v>
      </c>
      <c r="F473" s="188" t="s">
        <v>1244</v>
      </c>
    </row>
    <row r="474" spans="2:6" ht="24">
      <c r="B474" s="186">
        <v>558</v>
      </c>
      <c r="D474" s="188" t="s">
        <v>402</v>
      </c>
      <c r="E474" s="188" t="s">
        <v>1245</v>
      </c>
      <c r="F474" s="188" t="s">
        <v>1245</v>
      </c>
    </row>
    <row r="475" spans="2:6" ht="24">
      <c r="B475" s="186">
        <v>559</v>
      </c>
      <c r="D475" s="188" t="s">
        <v>262</v>
      </c>
      <c r="E475" s="188" t="s">
        <v>1246</v>
      </c>
      <c r="F475" s="188" t="s">
        <v>1246</v>
      </c>
    </row>
    <row r="476" spans="2:6">
      <c r="B476" s="186">
        <v>560</v>
      </c>
      <c r="D476" s="188" t="s">
        <v>263</v>
      </c>
      <c r="E476" s="188" t="s">
        <v>1247</v>
      </c>
      <c r="F476" s="188" t="s">
        <v>1247</v>
      </c>
    </row>
    <row r="477" spans="2:6">
      <c r="B477" s="186">
        <v>561</v>
      </c>
      <c r="C477" s="187" t="s">
        <v>488</v>
      </c>
      <c r="D477" s="188" t="s">
        <v>487</v>
      </c>
      <c r="E477" s="188" t="s">
        <v>1248</v>
      </c>
      <c r="F477" s="188" t="s">
        <v>1248</v>
      </c>
    </row>
    <row r="478" spans="2:6" ht="24">
      <c r="B478" s="186">
        <v>562</v>
      </c>
      <c r="C478" s="187" t="s">
        <v>488</v>
      </c>
      <c r="D478" s="188" t="s">
        <v>484</v>
      </c>
      <c r="E478" s="188" t="s">
        <v>1249</v>
      </c>
      <c r="F478" s="188" t="s">
        <v>1249</v>
      </c>
    </row>
    <row r="479" spans="2:6">
      <c r="B479" s="186">
        <v>563</v>
      </c>
      <c r="D479" s="188" t="s">
        <v>264</v>
      </c>
      <c r="E479" s="188" t="s">
        <v>1250</v>
      </c>
      <c r="F479" s="188" t="s">
        <v>1250</v>
      </c>
    </row>
    <row r="480" spans="2:6">
      <c r="B480" s="186">
        <v>564</v>
      </c>
      <c r="D480" s="188" t="s">
        <v>265</v>
      </c>
      <c r="E480" s="188" t="s">
        <v>1251</v>
      </c>
      <c r="F480" s="188" t="s">
        <v>1251</v>
      </c>
    </row>
    <row r="481" spans="2:6" ht="36">
      <c r="B481" s="186">
        <v>565</v>
      </c>
      <c r="D481" s="188" t="s">
        <v>332</v>
      </c>
      <c r="E481" s="188" t="s">
        <v>1252</v>
      </c>
      <c r="F481" s="188" t="s">
        <v>1252</v>
      </c>
    </row>
    <row r="482" spans="2:6">
      <c r="B482" s="186">
        <v>566</v>
      </c>
      <c r="D482" s="188" t="s">
        <v>266</v>
      </c>
      <c r="E482" s="188" t="s">
        <v>1253</v>
      </c>
      <c r="F482" s="188" t="s">
        <v>1253</v>
      </c>
    </row>
    <row r="483" spans="2:6">
      <c r="B483" s="186">
        <v>567</v>
      </c>
      <c r="D483" s="188" t="s">
        <v>267</v>
      </c>
      <c r="E483" s="188" t="s">
        <v>1254</v>
      </c>
      <c r="F483" s="188" t="s">
        <v>1254</v>
      </c>
    </row>
    <row r="484" spans="2:6">
      <c r="B484" s="186">
        <v>568</v>
      </c>
      <c r="D484" s="188" t="s">
        <v>268</v>
      </c>
      <c r="E484" s="188" t="s">
        <v>1255</v>
      </c>
      <c r="F484" s="188" t="s">
        <v>1255</v>
      </c>
    </row>
    <row r="485" spans="2:6">
      <c r="B485" s="186">
        <v>569</v>
      </c>
      <c r="D485" s="188" t="s">
        <v>269</v>
      </c>
      <c r="E485" s="188" t="s">
        <v>1256</v>
      </c>
      <c r="F485" s="188" t="s">
        <v>1256</v>
      </c>
    </row>
    <row r="486" spans="2:6">
      <c r="B486" s="186">
        <v>570</v>
      </c>
      <c r="D486" s="188" t="s">
        <v>270</v>
      </c>
      <c r="E486" s="188" t="s">
        <v>1257</v>
      </c>
      <c r="F486" s="188" t="s">
        <v>1257</v>
      </c>
    </row>
    <row r="487" spans="2:6" ht="36">
      <c r="B487" s="186">
        <v>571</v>
      </c>
      <c r="D487" s="188" t="s">
        <v>271</v>
      </c>
      <c r="E487" s="188" t="s">
        <v>1258</v>
      </c>
      <c r="F487" s="188" t="s">
        <v>1258</v>
      </c>
    </row>
    <row r="488" spans="2:6" ht="24">
      <c r="B488" s="186">
        <v>572</v>
      </c>
      <c r="D488" s="188" t="s">
        <v>272</v>
      </c>
      <c r="E488" s="188" t="s">
        <v>1259</v>
      </c>
      <c r="F488" s="188" t="s">
        <v>1259</v>
      </c>
    </row>
    <row r="489" spans="2:6">
      <c r="B489" s="186">
        <v>573</v>
      </c>
      <c r="D489" s="188" t="s">
        <v>273</v>
      </c>
      <c r="E489" s="188" t="s">
        <v>1260</v>
      </c>
      <c r="F489" s="188" t="s">
        <v>1260</v>
      </c>
    </row>
    <row r="490" spans="2:6">
      <c r="B490" s="186">
        <v>574</v>
      </c>
      <c r="D490" s="188" t="s">
        <v>274</v>
      </c>
      <c r="E490" s="188" t="s">
        <v>1261</v>
      </c>
      <c r="F490" s="188" t="s">
        <v>1261</v>
      </c>
    </row>
    <row r="491" spans="2:6" ht="24">
      <c r="B491" s="186">
        <v>575</v>
      </c>
      <c r="D491" s="188" t="s">
        <v>403</v>
      </c>
      <c r="E491" s="188" t="s">
        <v>1262</v>
      </c>
      <c r="F491" s="188" t="s">
        <v>1262</v>
      </c>
    </row>
    <row r="492" spans="2:6">
      <c r="B492" s="186">
        <v>576</v>
      </c>
      <c r="D492" s="188" t="s">
        <v>275</v>
      </c>
      <c r="E492" s="188" t="s">
        <v>1263</v>
      </c>
      <c r="F492" s="188" t="s">
        <v>1263</v>
      </c>
    </row>
    <row r="493" spans="2:6">
      <c r="B493" s="186">
        <v>577</v>
      </c>
      <c r="D493" s="188" t="s">
        <v>276</v>
      </c>
      <c r="E493" s="188" t="s">
        <v>1264</v>
      </c>
      <c r="F493" s="188" t="s">
        <v>1264</v>
      </c>
    </row>
    <row r="494" spans="2:6">
      <c r="B494" s="186">
        <v>578</v>
      </c>
      <c r="D494" s="188" t="s">
        <v>616</v>
      </c>
      <c r="E494" s="188" t="s">
        <v>1265</v>
      </c>
      <c r="F494" s="188" t="s">
        <v>1265</v>
      </c>
    </row>
    <row r="495" spans="2:6">
      <c r="B495" s="186">
        <v>579</v>
      </c>
      <c r="D495" s="188" t="s">
        <v>614</v>
      </c>
      <c r="E495" s="188" t="s">
        <v>1266</v>
      </c>
      <c r="F495" s="188" t="s">
        <v>1266</v>
      </c>
    </row>
    <row r="496" spans="2:6">
      <c r="B496" s="186">
        <v>580</v>
      </c>
      <c r="D496" s="188" t="s">
        <v>277</v>
      </c>
      <c r="E496" s="188" t="s">
        <v>1267</v>
      </c>
      <c r="F496" s="188" t="s">
        <v>1267</v>
      </c>
    </row>
    <row r="497" spans="1:6">
      <c r="B497" s="186">
        <v>581</v>
      </c>
      <c r="D497" s="188" t="s">
        <v>404</v>
      </c>
      <c r="E497" s="188" t="s">
        <v>1268</v>
      </c>
      <c r="F497" s="188" t="s">
        <v>1268</v>
      </c>
    </row>
    <row r="498" spans="1:6" ht="36">
      <c r="B498" s="186">
        <v>582</v>
      </c>
      <c r="D498" s="188" t="s">
        <v>405</v>
      </c>
      <c r="E498" s="188" t="s">
        <v>1269</v>
      </c>
      <c r="F498" s="188" t="s">
        <v>1269</v>
      </c>
    </row>
    <row r="499" spans="1:6">
      <c r="B499" s="186">
        <v>583</v>
      </c>
      <c r="D499" s="188" t="s">
        <v>278</v>
      </c>
      <c r="E499" s="188" t="s">
        <v>1270</v>
      </c>
      <c r="F499" s="188" t="s">
        <v>1270</v>
      </c>
    </row>
    <row r="500" spans="1:6">
      <c r="B500" s="186">
        <v>584</v>
      </c>
      <c r="D500" s="188" t="s">
        <v>279</v>
      </c>
      <c r="E500" s="188" t="s">
        <v>1271</v>
      </c>
      <c r="F500" s="188" t="s">
        <v>1271</v>
      </c>
    </row>
    <row r="501" spans="1:6">
      <c r="B501" s="186">
        <v>585</v>
      </c>
      <c r="C501" s="187" t="s">
        <v>470</v>
      </c>
      <c r="D501" s="185" t="s">
        <v>465</v>
      </c>
      <c r="E501" s="193" t="s">
        <v>1272</v>
      </c>
      <c r="F501" s="193" t="s">
        <v>1272</v>
      </c>
    </row>
    <row r="502" spans="1:6">
      <c r="B502" s="186">
        <v>586</v>
      </c>
      <c r="C502" s="187" t="s">
        <v>470</v>
      </c>
      <c r="D502" s="188" t="s">
        <v>463</v>
      </c>
      <c r="E502" s="193" t="s">
        <v>1273</v>
      </c>
      <c r="F502" s="193" t="s">
        <v>1273</v>
      </c>
    </row>
    <row r="503" spans="1:6">
      <c r="B503" s="186">
        <v>587</v>
      </c>
      <c r="D503" s="188" t="s">
        <v>280</v>
      </c>
      <c r="E503" s="188" t="s">
        <v>1274</v>
      </c>
      <c r="F503" s="188" t="s">
        <v>1274</v>
      </c>
    </row>
    <row r="504" spans="1:6" ht="36">
      <c r="B504" s="186">
        <v>588</v>
      </c>
      <c r="D504" s="188" t="s">
        <v>281</v>
      </c>
      <c r="E504" s="188" t="s">
        <v>1275</v>
      </c>
      <c r="F504" s="188" t="s">
        <v>1275</v>
      </c>
    </row>
    <row r="505" spans="1:6">
      <c r="B505" s="186">
        <v>589</v>
      </c>
      <c r="D505" s="188" t="s">
        <v>282</v>
      </c>
      <c r="E505" s="188" t="s">
        <v>1276</v>
      </c>
      <c r="F505" s="188" t="s">
        <v>1276</v>
      </c>
    </row>
    <row r="506" spans="1:6">
      <c r="A506" s="190"/>
      <c r="B506" s="186">
        <v>590</v>
      </c>
      <c r="C506" s="191" t="s">
        <v>414</v>
      </c>
      <c r="D506" s="189" t="s">
        <v>420</v>
      </c>
      <c r="E506" s="189" t="s">
        <v>1277</v>
      </c>
      <c r="F506" s="189" t="s">
        <v>1277</v>
      </c>
    </row>
    <row r="507" spans="1:6">
      <c r="A507" s="190"/>
      <c r="B507" s="186">
        <v>591</v>
      </c>
      <c r="C507" s="191" t="s">
        <v>414</v>
      </c>
      <c r="D507" s="189" t="s">
        <v>446</v>
      </c>
      <c r="E507" s="189" t="s">
        <v>1278</v>
      </c>
      <c r="F507" s="189" t="s">
        <v>1278</v>
      </c>
    </row>
    <row r="508" spans="1:6">
      <c r="B508" s="186">
        <v>592</v>
      </c>
      <c r="D508" s="188" t="s">
        <v>283</v>
      </c>
      <c r="E508" s="189" t="s">
        <v>1279</v>
      </c>
      <c r="F508" s="189" t="s">
        <v>1279</v>
      </c>
    </row>
    <row r="509" spans="1:6">
      <c r="B509" s="186">
        <v>593</v>
      </c>
      <c r="D509" s="188" t="s">
        <v>284</v>
      </c>
      <c r="E509" s="188" t="s">
        <v>1280</v>
      </c>
      <c r="F509" s="188" t="s">
        <v>1280</v>
      </c>
    </row>
    <row r="510" spans="1:6">
      <c r="B510" s="186">
        <v>594</v>
      </c>
      <c r="D510" s="188" t="s">
        <v>285</v>
      </c>
      <c r="E510" s="188" t="s">
        <v>1281</v>
      </c>
      <c r="F510" s="188" t="s">
        <v>1281</v>
      </c>
    </row>
    <row r="511" spans="1:6" ht="24">
      <c r="B511" s="186">
        <v>595</v>
      </c>
      <c r="D511" s="188" t="s">
        <v>286</v>
      </c>
      <c r="E511" s="188" t="s">
        <v>1282</v>
      </c>
      <c r="F511" s="188" t="s">
        <v>1282</v>
      </c>
    </row>
    <row r="512" spans="1:6">
      <c r="B512" s="186">
        <v>596</v>
      </c>
      <c r="D512" s="188" t="s">
        <v>287</v>
      </c>
      <c r="E512" s="188" t="s">
        <v>1283</v>
      </c>
      <c r="F512" s="188" t="s">
        <v>1283</v>
      </c>
    </row>
    <row r="513" spans="2:6" ht="36">
      <c r="B513" s="186">
        <v>597</v>
      </c>
      <c r="D513" s="188" t="s">
        <v>288</v>
      </c>
      <c r="E513" s="188" t="s">
        <v>1284</v>
      </c>
      <c r="F513" s="188" t="s">
        <v>1284</v>
      </c>
    </row>
    <row r="514" spans="2:6">
      <c r="B514" s="186">
        <v>598</v>
      </c>
      <c r="D514" s="188" t="s">
        <v>289</v>
      </c>
      <c r="E514" s="188" t="s">
        <v>1285</v>
      </c>
      <c r="F514" s="188" t="s">
        <v>1285</v>
      </c>
    </row>
    <row r="515" spans="2:6">
      <c r="B515" s="186">
        <v>599</v>
      </c>
      <c r="D515" s="188" t="s">
        <v>290</v>
      </c>
      <c r="E515" s="188" t="s">
        <v>1286</v>
      </c>
      <c r="F515" s="188" t="s">
        <v>1286</v>
      </c>
    </row>
    <row r="516" spans="2:6">
      <c r="B516" s="186">
        <v>600</v>
      </c>
      <c r="D516" s="188" t="s">
        <v>291</v>
      </c>
      <c r="E516" s="188" t="s">
        <v>1287</v>
      </c>
      <c r="F516" s="188" t="s">
        <v>1287</v>
      </c>
    </row>
    <row r="517" spans="2:6">
      <c r="B517" s="186">
        <v>601</v>
      </c>
      <c r="D517" s="188" t="s">
        <v>292</v>
      </c>
      <c r="E517" s="188" t="s">
        <v>1288</v>
      </c>
      <c r="F517" s="188" t="s">
        <v>1288</v>
      </c>
    </row>
    <row r="518" spans="2:6">
      <c r="B518" s="186">
        <v>602</v>
      </c>
      <c r="D518" s="188" t="s">
        <v>293</v>
      </c>
      <c r="E518" s="188" t="s">
        <v>1289</v>
      </c>
      <c r="F518" s="188" t="s">
        <v>1289</v>
      </c>
    </row>
    <row r="519" spans="2:6">
      <c r="B519" s="186">
        <v>603</v>
      </c>
      <c r="D519" s="188" t="s">
        <v>294</v>
      </c>
      <c r="E519" s="188" t="s">
        <v>1290</v>
      </c>
      <c r="F519" s="188" t="s">
        <v>1290</v>
      </c>
    </row>
    <row r="520" spans="2:6">
      <c r="B520" s="186">
        <v>604</v>
      </c>
      <c r="D520" s="188" t="s">
        <v>295</v>
      </c>
      <c r="E520" s="188" t="s">
        <v>295</v>
      </c>
      <c r="F520" s="188" t="s">
        <v>295</v>
      </c>
    </row>
    <row r="521" spans="2:6">
      <c r="B521" s="186">
        <v>605</v>
      </c>
      <c r="D521" s="188" t="s">
        <v>406</v>
      </c>
      <c r="E521" s="188" t="s">
        <v>1291</v>
      </c>
      <c r="F521" s="188" t="s">
        <v>1291</v>
      </c>
    </row>
    <row r="522" spans="2:6" ht="24">
      <c r="B522" s="186">
        <v>606</v>
      </c>
      <c r="D522" s="188" t="s">
        <v>296</v>
      </c>
      <c r="E522" s="188" t="s">
        <v>1292</v>
      </c>
      <c r="F522" s="188" t="s">
        <v>1292</v>
      </c>
    </row>
    <row r="523" spans="2:6">
      <c r="B523" s="186">
        <v>607</v>
      </c>
      <c r="D523" s="188" t="s">
        <v>297</v>
      </c>
      <c r="E523" s="188" t="s">
        <v>297</v>
      </c>
      <c r="F523" s="188" t="s">
        <v>297</v>
      </c>
    </row>
    <row r="524" spans="2:6">
      <c r="B524" s="186">
        <v>608</v>
      </c>
      <c r="D524" s="188" t="s">
        <v>599</v>
      </c>
      <c r="E524" s="188" t="s">
        <v>1293</v>
      </c>
      <c r="F524" s="188" t="s">
        <v>1293</v>
      </c>
    </row>
    <row r="525" spans="2:6">
      <c r="B525" s="186">
        <v>609</v>
      </c>
      <c r="D525" s="188" t="s">
        <v>598</v>
      </c>
      <c r="E525" s="188" t="s">
        <v>1294</v>
      </c>
      <c r="F525" s="188" t="s">
        <v>1294</v>
      </c>
    </row>
    <row r="526" spans="2:6">
      <c r="B526" s="186">
        <v>610</v>
      </c>
      <c r="D526" s="188" t="s">
        <v>407</v>
      </c>
      <c r="F526" s="188"/>
    </row>
    <row r="527" spans="2:6">
      <c r="B527" s="186">
        <v>611</v>
      </c>
      <c r="D527" s="188" t="s">
        <v>298</v>
      </c>
      <c r="E527" s="188" t="s">
        <v>1295</v>
      </c>
      <c r="F527" s="188" t="s">
        <v>1295</v>
      </c>
    </row>
    <row r="528" spans="2:6">
      <c r="B528" s="186">
        <v>612</v>
      </c>
      <c r="C528" s="187" t="s">
        <v>488</v>
      </c>
      <c r="D528" s="188" t="s">
        <v>490</v>
      </c>
      <c r="E528" s="188" t="s">
        <v>1296</v>
      </c>
      <c r="F528" s="188" t="s">
        <v>1296</v>
      </c>
    </row>
    <row r="529" spans="2:6">
      <c r="B529" s="186">
        <v>613</v>
      </c>
      <c r="D529" s="188" t="s">
        <v>408</v>
      </c>
      <c r="E529" s="188" t="s">
        <v>1297</v>
      </c>
      <c r="F529" s="188" t="s">
        <v>1297</v>
      </c>
    </row>
    <row r="530" spans="2:6">
      <c r="B530" s="186">
        <v>614</v>
      </c>
      <c r="D530" s="188" t="s">
        <v>409</v>
      </c>
      <c r="E530" s="188" t="s">
        <v>1298</v>
      </c>
      <c r="F530" s="188" t="s">
        <v>1298</v>
      </c>
    </row>
    <row r="531" spans="2:6">
      <c r="B531" s="186">
        <v>615</v>
      </c>
      <c r="D531" s="188" t="s">
        <v>410</v>
      </c>
      <c r="E531" s="188" t="s">
        <v>1297</v>
      </c>
      <c r="F531" s="188" t="s">
        <v>1297</v>
      </c>
    </row>
    <row r="532" spans="2:6">
      <c r="B532" s="186">
        <v>616</v>
      </c>
      <c r="D532" s="188" t="s">
        <v>299</v>
      </c>
      <c r="E532" s="188" t="s">
        <v>1299</v>
      </c>
      <c r="F532" s="188" t="s">
        <v>1299</v>
      </c>
    </row>
    <row r="533" spans="2:6">
      <c r="B533" s="186">
        <v>617</v>
      </c>
      <c r="D533" s="188" t="s">
        <v>300</v>
      </c>
      <c r="E533" s="188" t="s">
        <v>1300</v>
      </c>
      <c r="F533" s="188" t="s">
        <v>1300</v>
      </c>
    </row>
    <row r="534" spans="2:6">
      <c r="B534" s="186">
        <v>618</v>
      </c>
      <c r="D534" s="188" t="s">
        <v>301</v>
      </c>
      <c r="E534" s="188" t="s">
        <v>1301</v>
      </c>
      <c r="F534" s="188" t="s">
        <v>1301</v>
      </c>
    </row>
    <row r="535" spans="2:6">
      <c r="B535" s="186">
        <v>619</v>
      </c>
      <c r="D535" s="188" t="s">
        <v>622</v>
      </c>
      <c r="E535" s="188" t="s">
        <v>1302</v>
      </c>
      <c r="F535" s="188" t="s">
        <v>1302</v>
      </c>
    </row>
    <row r="536" spans="2:6">
      <c r="B536" s="186">
        <v>620</v>
      </c>
      <c r="D536" s="188" t="s">
        <v>621</v>
      </c>
      <c r="E536" s="188" t="s">
        <v>1303</v>
      </c>
      <c r="F536" s="188" t="s">
        <v>1303</v>
      </c>
    </row>
    <row r="537" spans="2:6" ht="36">
      <c r="B537" s="186">
        <v>621</v>
      </c>
      <c r="C537" s="187" t="s">
        <v>547</v>
      </c>
      <c r="D537" s="188" t="s">
        <v>557</v>
      </c>
      <c r="E537" s="188" t="s">
        <v>1304</v>
      </c>
      <c r="F537" s="188" t="s">
        <v>1304</v>
      </c>
    </row>
    <row r="538" spans="2:6" ht="36">
      <c r="B538" s="186">
        <v>622</v>
      </c>
      <c r="C538" s="187" t="s">
        <v>547</v>
      </c>
      <c r="D538" s="188" t="s">
        <v>572</v>
      </c>
      <c r="E538" s="188" t="s">
        <v>1305</v>
      </c>
      <c r="F538" s="188" t="s">
        <v>1305</v>
      </c>
    </row>
    <row r="539" spans="2:6">
      <c r="B539" s="186">
        <v>623</v>
      </c>
      <c r="D539" s="188" t="s">
        <v>302</v>
      </c>
      <c r="E539" s="188" t="s">
        <v>1306</v>
      </c>
      <c r="F539" s="188" t="s">
        <v>1306</v>
      </c>
    </row>
    <row r="540" spans="2:6">
      <c r="B540" s="186">
        <v>624</v>
      </c>
      <c r="D540" s="188" t="s">
        <v>600</v>
      </c>
      <c r="E540" s="188" t="s">
        <v>1307</v>
      </c>
      <c r="F540" s="188" t="s">
        <v>1307</v>
      </c>
    </row>
    <row r="541" spans="2:6">
      <c r="B541" s="186">
        <v>625</v>
      </c>
      <c r="D541" s="188" t="s">
        <v>542</v>
      </c>
      <c r="E541" s="188" t="s">
        <v>542</v>
      </c>
      <c r="F541" s="188" t="s">
        <v>542</v>
      </c>
    </row>
    <row r="542" spans="2:6">
      <c r="B542" s="186">
        <v>626</v>
      </c>
      <c r="D542" s="188" t="s">
        <v>303</v>
      </c>
      <c r="F542" s="188"/>
    </row>
    <row r="543" spans="2:6">
      <c r="B543" s="186">
        <v>627</v>
      </c>
      <c r="D543" s="188" t="s">
        <v>304</v>
      </c>
      <c r="F543" s="188"/>
    </row>
    <row r="544" spans="2:6">
      <c r="B544" s="186">
        <v>628</v>
      </c>
      <c r="D544" s="188" t="s">
        <v>540</v>
      </c>
      <c r="E544" s="188" t="s">
        <v>541</v>
      </c>
      <c r="F544" s="188" t="s">
        <v>541</v>
      </c>
    </row>
    <row r="545" spans="1:6">
      <c r="B545" s="186">
        <v>629</v>
      </c>
      <c r="D545" s="188" t="s">
        <v>305</v>
      </c>
      <c r="E545" s="188" t="s">
        <v>1308</v>
      </c>
      <c r="F545" s="188" t="s">
        <v>1308</v>
      </c>
    </row>
    <row r="546" spans="1:6">
      <c r="B546" s="186">
        <v>630</v>
      </c>
      <c r="D546" s="188" t="s">
        <v>411</v>
      </c>
      <c r="E546" s="188" t="s">
        <v>1309</v>
      </c>
      <c r="F546" s="188" t="s">
        <v>1309</v>
      </c>
    </row>
    <row r="547" spans="1:6">
      <c r="B547" s="186">
        <v>631</v>
      </c>
      <c r="D547" s="188" t="s">
        <v>306</v>
      </c>
      <c r="E547" s="188" t="s">
        <v>1310</v>
      </c>
      <c r="F547" s="188" t="s">
        <v>1310</v>
      </c>
    </row>
    <row r="548" spans="1:6">
      <c r="B548" s="186">
        <v>632</v>
      </c>
      <c r="D548" s="188" t="s">
        <v>340</v>
      </c>
      <c r="E548" s="188" t="s">
        <v>1311</v>
      </c>
      <c r="F548" s="188" t="s">
        <v>1311</v>
      </c>
    </row>
    <row r="549" spans="1:6">
      <c r="B549" s="186">
        <v>633</v>
      </c>
      <c r="D549" s="188" t="s">
        <v>307</v>
      </c>
      <c r="E549" s="188" t="s">
        <v>1310</v>
      </c>
      <c r="F549" s="188" t="s">
        <v>1310</v>
      </c>
    </row>
    <row r="550" spans="1:6" ht="24">
      <c r="A550" s="189"/>
      <c r="B550" s="186">
        <v>634</v>
      </c>
      <c r="C550" s="189"/>
      <c r="D550" s="189" t="s">
        <v>447</v>
      </c>
      <c r="E550" s="189" t="s">
        <v>1312</v>
      </c>
      <c r="F550" s="189" t="s">
        <v>1312</v>
      </c>
    </row>
    <row r="551" spans="1:6">
      <c r="B551" s="186">
        <v>635</v>
      </c>
      <c r="C551" s="187" t="s">
        <v>547</v>
      </c>
      <c r="D551" s="188" t="s">
        <v>554</v>
      </c>
      <c r="E551" s="188" t="s">
        <v>1313</v>
      </c>
      <c r="F551" s="188" t="s">
        <v>1313</v>
      </c>
    </row>
    <row r="552" spans="1:6">
      <c r="B552" s="186">
        <v>636</v>
      </c>
      <c r="C552" s="187" t="s">
        <v>547</v>
      </c>
      <c r="D552" s="188" t="s">
        <v>648</v>
      </c>
      <c r="E552" s="188" t="s">
        <v>1314</v>
      </c>
      <c r="F552" s="188" t="s">
        <v>1314</v>
      </c>
    </row>
    <row r="553" spans="1:6">
      <c r="B553" s="186">
        <v>637</v>
      </c>
      <c r="D553" s="188" t="s">
        <v>308</v>
      </c>
      <c r="E553" s="188" t="s">
        <v>308</v>
      </c>
      <c r="F553" s="188" t="s">
        <v>308</v>
      </c>
    </row>
    <row r="554" spans="1:6">
      <c r="B554" s="186">
        <v>638</v>
      </c>
      <c r="D554" s="188" t="s">
        <v>309</v>
      </c>
      <c r="E554" s="188" t="s">
        <v>1315</v>
      </c>
      <c r="F554" s="188" t="s">
        <v>1315</v>
      </c>
    </row>
    <row r="555" spans="1:6">
      <c r="B555" s="186">
        <v>639</v>
      </c>
      <c r="D555" s="188" t="s">
        <v>310</v>
      </c>
      <c r="E555" s="188" t="s">
        <v>1316</v>
      </c>
      <c r="F555" s="188" t="s">
        <v>1316</v>
      </c>
    </row>
    <row r="556" spans="1:6">
      <c r="B556" s="186">
        <v>640</v>
      </c>
      <c r="D556" s="188" t="s">
        <v>412</v>
      </c>
      <c r="E556" s="188" t="s">
        <v>1317</v>
      </c>
      <c r="F556" s="188" t="s">
        <v>1317</v>
      </c>
    </row>
    <row r="557" spans="1:6" ht="24">
      <c r="B557" s="186">
        <v>641</v>
      </c>
      <c r="C557" s="187" t="s">
        <v>547</v>
      </c>
      <c r="D557" s="188" t="s">
        <v>573</v>
      </c>
      <c r="E557" s="188" t="s">
        <v>1318</v>
      </c>
      <c r="F557" s="188" t="s">
        <v>1318</v>
      </c>
    </row>
    <row r="558" spans="1:6">
      <c r="B558" s="186">
        <v>642</v>
      </c>
      <c r="D558" s="188" t="s">
        <v>311</v>
      </c>
      <c r="E558" s="188" t="s">
        <v>1319</v>
      </c>
      <c r="F558" s="188" t="s">
        <v>1319</v>
      </c>
    </row>
    <row r="559" spans="1:6" ht="36">
      <c r="B559" s="186">
        <v>643</v>
      </c>
      <c r="C559" s="187" t="s">
        <v>547</v>
      </c>
      <c r="D559" s="188" t="s">
        <v>580</v>
      </c>
      <c r="E559" s="188" t="s">
        <v>1320</v>
      </c>
      <c r="F559" s="188" t="s">
        <v>1320</v>
      </c>
    </row>
    <row r="560" spans="1:6">
      <c r="B560" s="186">
        <v>644</v>
      </c>
      <c r="D560" s="188" t="s">
        <v>312</v>
      </c>
      <c r="E560" s="188" t="s">
        <v>1321</v>
      </c>
      <c r="F560" s="188" t="s">
        <v>1321</v>
      </c>
    </row>
    <row r="561" spans="2:27">
      <c r="B561" s="186">
        <v>645</v>
      </c>
      <c r="D561" s="188" t="s">
        <v>313</v>
      </c>
      <c r="E561" s="188" t="s">
        <v>1322</v>
      </c>
      <c r="F561" s="188" t="s">
        <v>1322</v>
      </c>
    </row>
    <row r="562" spans="2:27">
      <c r="B562" s="186">
        <v>646</v>
      </c>
      <c r="D562" s="188" t="s">
        <v>413</v>
      </c>
      <c r="E562" s="188" t="s">
        <v>1323</v>
      </c>
      <c r="F562" s="188" t="s">
        <v>1323</v>
      </c>
    </row>
    <row r="563" spans="2:27" ht="24">
      <c r="B563" s="186">
        <v>647</v>
      </c>
      <c r="D563" s="188" t="s">
        <v>314</v>
      </c>
      <c r="E563" s="188" t="s">
        <v>1324</v>
      </c>
      <c r="F563" s="188" t="s">
        <v>1324</v>
      </c>
    </row>
    <row r="564" spans="2:27">
      <c r="B564" s="186">
        <v>648</v>
      </c>
      <c r="D564" s="188" t="s">
        <v>315</v>
      </c>
      <c r="E564" s="188" t="s">
        <v>1322</v>
      </c>
      <c r="F564" s="188" t="s">
        <v>1322</v>
      </c>
    </row>
    <row r="565" spans="2:27">
      <c r="B565" s="186">
        <v>649</v>
      </c>
      <c r="D565" s="188" t="s">
        <v>316</v>
      </c>
      <c r="E565" s="188" t="s">
        <v>1325</v>
      </c>
      <c r="F565" s="188" t="s">
        <v>1325</v>
      </c>
    </row>
    <row r="566" spans="2:27">
      <c r="B566" s="186">
        <v>650</v>
      </c>
      <c r="D566" s="188" t="s">
        <v>317</v>
      </c>
      <c r="E566" s="188" t="s">
        <v>1326</v>
      </c>
      <c r="F566" s="188" t="s">
        <v>1326</v>
      </c>
    </row>
    <row r="567" spans="2:27">
      <c r="B567" s="186">
        <v>651</v>
      </c>
      <c r="D567" s="188" t="s">
        <v>318</v>
      </c>
      <c r="E567" s="188" t="s">
        <v>1327</v>
      </c>
      <c r="F567" s="188" t="s">
        <v>1327</v>
      </c>
    </row>
    <row r="568" spans="2:27">
      <c r="B568" s="186">
        <v>652</v>
      </c>
      <c r="D568" s="188" t="s">
        <v>319</v>
      </c>
      <c r="E568" s="188" t="s">
        <v>1328</v>
      </c>
      <c r="F568" s="188" t="s">
        <v>1328</v>
      </c>
      <c r="G568" s="189"/>
      <c r="H568" s="189"/>
      <c r="I568" s="189"/>
      <c r="J568" s="189"/>
      <c r="K568" s="189"/>
      <c r="L568" s="189"/>
      <c r="M568" s="189"/>
      <c r="N568" s="189"/>
      <c r="O568" s="189"/>
      <c r="P568" s="189"/>
      <c r="Q568" s="189"/>
      <c r="R568" s="189"/>
      <c r="S568" s="189"/>
      <c r="T568" s="189"/>
      <c r="U568" s="189"/>
      <c r="V568" s="189"/>
      <c r="W568" s="189"/>
      <c r="X568" s="189"/>
      <c r="Y568" s="189"/>
      <c r="Z568" s="189"/>
      <c r="AA568" s="189"/>
    </row>
    <row r="569" spans="2:27" ht="24">
      <c r="B569" s="186">
        <v>653</v>
      </c>
      <c r="D569" s="188" t="s">
        <v>320</v>
      </c>
      <c r="E569" s="188" t="s">
        <v>1329</v>
      </c>
      <c r="F569" s="188" t="s">
        <v>1329</v>
      </c>
      <c r="G569" s="189"/>
      <c r="H569" s="189"/>
      <c r="I569" s="189"/>
      <c r="J569" s="189"/>
      <c r="K569" s="189"/>
      <c r="L569" s="189"/>
      <c r="M569" s="189"/>
      <c r="N569" s="189"/>
      <c r="O569" s="189"/>
      <c r="P569" s="189"/>
      <c r="Q569" s="189"/>
      <c r="R569" s="189"/>
      <c r="S569" s="189"/>
      <c r="T569" s="189"/>
      <c r="U569" s="189"/>
      <c r="V569" s="189"/>
      <c r="W569" s="189"/>
      <c r="X569" s="189"/>
      <c r="Y569" s="189"/>
      <c r="Z569" s="189"/>
      <c r="AA569" s="189"/>
    </row>
    <row r="570" spans="2:27">
      <c r="B570" s="186">
        <v>654</v>
      </c>
      <c r="D570" s="188" t="s">
        <v>321</v>
      </c>
      <c r="E570" s="188" t="s">
        <v>1321</v>
      </c>
      <c r="F570" s="188" t="s">
        <v>1321</v>
      </c>
      <c r="G570" s="190"/>
      <c r="H570" s="190"/>
      <c r="I570" s="190"/>
      <c r="J570" s="190"/>
      <c r="K570" s="190"/>
      <c r="L570" s="190"/>
      <c r="M570" s="190"/>
      <c r="N570" s="190"/>
      <c r="O570" s="190"/>
      <c r="P570" s="190"/>
      <c r="Q570" s="190"/>
      <c r="R570" s="190"/>
      <c r="S570" s="190"/>
      <c r="T570" s="190"/>
      <c r="U570" s="190"/>
      <c r="V570" s="190"/>
      <c r="W570" s="190"/>
      <c r="X570" s="190"/>
      <c r="Y570" s="190"/>
      <c r="Z570" s="190"/>
      <c r="AA570" s="190"/>
    </row>
    <row r="571" spans="2:27" ht="24">
      <c r="B571" s="186">
        <v>655</v>
      </c>
      <c r="C571" s="187" t="s">
        <v>547</v>
      </c>
      <c r="D571" s="188" t="s">
        <v>574</v>
      </c>
      <c r="E571" s="188" t="s">
        <v>1330</v>
      </c>
      <c r="F571" s="188" t="s">
        <v>1330</v>
      </c>
    </row>
    <row r="572" spans="2:27" ht="24">
      <c r="B572" s="186">
        <v>656</v>
      </c>
      <c r="D572" s="188" t="s">
        <v>322</v>
      </c>
      <c r="E572" s="188" t="s">
        <v>1331</v>
      </c>
      <c r="F572" s="188" t="s">
        <v>1331</v>
      </c>
      <c r="G572" s="190"/>
      <c r="H572" s="190"/>
      <c r="I572" s="190"/>
      <c r="J572" s="190"/>
      <c r="K572" s="190"/>
      <c r="L572" s="190"/>
      <c r="M572" s="190"/>
      <c r="N572" s="190"/>
      <c r="O572" s="190"/>
      <c r="P572" s="190"/>
      <c r="Q572" s="190"/>
      <c r="R572" s="190"/>
      <c r="S572" s="190"/>
      <c r="T572" s="190"/>
      <c r="U572" s="190"/>
      <c r="V572" s="190"/>
      <c r="W572" s="190"/>
      <c r="X572" s="190"/>
      <c r="Y572" s="190"/>
      <c r="Z572" s="190"/>
      <c r="AA572" s="190"/>
    </row>
    <row r="573" spans="2:27" ht="36">
      <c r="B573" s="186">
        <v>657</v>
      </c>
      <c r="D573" s="188" t="s">
        <v>323</v>
      </c>
      <c r="E573" s="188" t="s">
        <v>1332</v>
      </c>
      <c r="F573" s="188" t="s">
        <v>1332</v>
      </c>
      <c r="G573" s="190"/>
      <c r="H573" s="190"/>
      <c r="I573" s="190"/>
      <c r="J573" s="190"/>
      <c r="K573" s="190"/>
      <c r="L573" s="190"/>
      <c r="M573" s="190"/>
      <c r="N573" s="190"/>
      <c r="O573" s="190"/>
      <c r="P573" s="190"/>
      <c r="Q573" s="190"/>
      <c r="R573" s="190"/>
      <c r="S573" s="190"/>
      <c r="T573" s="190"/>
      <c r="U573" s="190"/>
      <c r="V573" s="190"/>
      <c r="W573" s="190"/>
      <c r="X573" s="190"/>
      <c r="Y573" s="190"/>
      <c r="Z573" s="190"/>
      <c r="AA573" s="190"/>
    </row>
    <row r="574" spans="2:27">
      <c r="B574" s="186">
        <v>658</v>
      </c>
      <c r="D574" s="188" t="s">
        <v>324</v>
      </c>
      <c r="E574" s="188" t="s">
        <v>1333</v>
      </c>
      <c r="F574" s="188" t="s">
        <v>1333</v>
      </c>
      <c r="G574" s="190"/>
      <c r="H574" s="190"/>
      <c r="I574" s="190"/>
      <c r="J574" s="190"/>
      <c r="K574" s="190"/>
      <c r="L574" s="190"/>
      <c r="M574" s="190"/>
      <c r="N574" s="190"/>
      <c r="O574" s="190"/>
      <c r="P574" s="190"/>
      <c r="Q574" s="190"/>
      <c r="R574" s="190"/>
      <c r="S574" s="190"/>
      <c r="T574" s="190"/>
      <c r="U574" s="190"/>
      <c r="V574" s="190"/>
      <c r="W574" s="190"/>
      <c r="X574" s="190"/>
      <c r="Y574" s="190"/>
      <c r="Z574" s="190"/>
      <c r="AA574" s="190"/>
    </row>
    <row r="575" spans="2:27" ht="36">
      <c r="B575" s="186">
        <v>659</v>
      </c>
      <c r="D575" s="188" t="s">
        <v>325</v>
      </c>
      <c r="E575" s="188" t="s">
        <v>1334</v>
      </c>
      <c r="F575" s="188" t="s">
        <v>1334</v>
      </c>
      <c r="G575" s="190"/>
      <c r="H575" s="190"/>
      <c r="I575" s="190"/>
      <c r="J575" s="190"/>
      <c r="K575" s="190"/>
      <c r="L575" s="190"/>
      <c r="M575" s="190"/>
      <c r="N575" s="190"/>
      <c r="O575" s="190"/>
      <c r="P575" s="190"/>
      <c r="Q575" s="190"/>
      <c r="R575" s="190"/>
      <c r="S575" s="190"/>
      <c r="T575" s="190"/>
      <c r="U575" s="190"/>
      <c r="V575" s="190"/>
      <c r="W575" s="190"/>
      <c r="X575" s="190"/>
      <c r="Y575" s="190"/>
      <c r="Z575" s="190"/>
      <c r="AA575" s="190"/>
    </row>
    <row r="576" spans="2:27">
      <c r="B576" s="186">
        <v>660</v>
      </c>
      <c r="D576" s="188" t="s">
        <v>326</v>
      </c>
      <c r="E576" s="188" t="s">
        <v>1335</v>
      </c>
      <c r="F576" s="188" t="s">
        <v>1335</v>
      </c>
      <c r="G576" s="190"/>
      <c r="H576" s="190"/>
      <c r="I576" s="190"/>
      <c r="J576" s="190"/>
      <c r="K576" s="190"/>
      <c r="L576" s="190"/>
      <c r="M576" s="190"/>
      <c r="N576" s="190"/>
      <c r="O576" s="190"/>
      <c r="P576" s="190"/>
      <c r="Q576" s="190"/>
      <c r="R576" s="190"/>
      <c r="S576" s="190"/>
      <c r="T576" s="190"/>
      <c r="U576" s="190"/>
      <c r="V576" s="190"/>
      <c r="W576" s="190"/>
      <c r="X576" s="190"/>
      <c r="Y576" s="190"/>
      <c r="Z576" s="190"/>
      <c r="AA576" s="190"/>
    </row>
    <row r="577" spans="2:27">
      <c r="B577" s="186">
        <v>661</v>
      </c>
      <c r="D577" s="188" t="s">
        <v>327</v>
      </c>
      <c r="E577" s="188" t="s">
        <v>1336</v>
      </c>
      <c r="F577" s="188" t="s">
        <v>1336</v>
      </c>
      <c r="G577" s="190"/>
      <c r="H577" s="190"/>
      <c r="I577" s="190"/>
      <c r="J577" s="190"/>
      <c r="K577" s="190"/>
      <c r="L577" s="190"/>
      <c r="M577" s="190"/>
      <c r="N577" s="190"/>
      <c r="O577" s="190"/>
      <c r="P577" s="190"/>
      <c r="Q577" s="190"/>
      <c r="R577" s="190"/>
      <c r="S577" s="190"/>
      <c r="T577" s="190"/>
      <c r="U577" s="190"/>
      <c r="V577" s="190"/>
      <c r="W577" s="190"/>
      <c r="X577" s="190"/>
      <c r="Y577" s="190"/>
      <c r="Z577" s="190"/>
      <c r="AA577" s="190"/>
    </row>
    <row r="578" spans="2:27">
      <c r="B578" s="186">
        <v>662</v>
      </c>
      <c r="D578" s="188" t="s">
        <v>328</v>
      </c>
      <c r="E578" s="188" t="s">
        <v>1337</v>
      </c>
      <c r="F578" s="188" t="s">
        <v>1337</v>
      </c>
      <c r="G578" s="190"/>
      <c r="H578" s="190"/>
      <c r="I578" s="190"/>
      <c r="J578" s="190"/>
      <c r="K578" s="190"/>
      <c r="L578" s="190"/>
      <c r="M578" s="190"/>
      <c r="N578" s="190"/>
      <c r="O578" s="190"/>
      <c r="P578" s="190"/>
      <c r="Q578" s="190"/>
      <c r="R578" s="190"/>
      <c r="S578" s="190"/>
      <c r="T578" s="190"/>
      <c r="U578" s="190"/>
      <c r="V578" s="190"/>
      <c r="W578" s="190"/>
      <c r="X578" s="190"/>
      <c r="Y578" s="190"/>
      <c r="Z578" s="190"/>
      <c r="AA578" s="190"/>
    </row>
    <row r="579" spans="2:27">
      <c r="B579" s="186">
        <v>663</v>
      </c>
      <c r="D579" s="188" t="s">
        <v>329</v>
      </c>
      <c r="E579" s="188" t="s">
        <v>1338</v>
      </c>
      <c r="F579" s="188" t="s">
        <v>1338</v>
      </c>
      <c r="G579" s="190"/>
      <c r="H579" s="190"/>
      <c r="I579" s="190"/>
      <c r="J579" s="190"/>
      <c r="K579" s="190"/>
      <c r="L579" s="190"/>
      <c r="M579" s="190"/>
      <c r="N579" s="190"/>
      <c r="O579" s="190"/>
      <c r="P579" s="190"/>
      <c r="Q579" s="190"/>
      <c r="R579" s="190"/>
      <c r="S579" s="190"/>
      <c r="T579" s="190"/>
      <c r="U579" s="190"/>
      <c r="V579" s="190"/>
      <c r="W579" s="190"/>
      <c r="X579" s="190"/>
      <c r="Y579" s="190"/>
      <c r="Z579" s="190"/>
      <c r="AA579" s="190"/>
    </row>
    <row r="580" spans="2:27">
      <c r="B580" s="186">
        <v>664</v>
      </c>
      <c r="D580" s="188" t="s">
        <v>330</v>
      </c>
      <c r="E580" s="188" t="s">
        <v>1339</v>
      </c>
      <c r="F580" s="188" t="s">
        <v>1339</v>
      </c>
      <c r="G580" s="190"/>
      <c r="H580" s="190"/>
      <c r="I580" s="190"/>
      <c r="J580" s="190"/>
      <c r="K580" s="190"/>
      <c r="L580" s="190"/>
      <c r="M580" s="190"/>
      <c r="N580" s="190"/>
      <c r="O580" s="190"/>
      <c r="P580" s="190"/>
      <c r="Q580" s="190"/>
      <c r="R580" s="190"/>
      <c r="S580" s="190"/>
      <c r="T580" s="190"/>
      <c r="U580" s="190"/>
      <c r="V580" s="190"/>
      <c r="W580" s="190"/>
      <c r="X580" s="190"/>
      <c r="Y580" s="190"/>
      <c r="Z580" s="190"/>
      <c r="AA580" s="190"/>
    </row>
    <row r="581" spans="2:27">
      <c r="B581" s="186">
        <v>665</v>
      </c>
      <c r="D581" s="188" t="s">
        <v>331</v>
      </c>
      <c r="E581" s="188" t="s">
        <v>1340</v>
      </c>
      <c r="F581" s="188" t="s">
        <v>1340</v>
      </c>
      <c r="G581" s="190"/>
      <c r="H581" s="190"/>
      <c r="I581" s="190"/>
      <c r="J581" s="190"/>
      <c r="K581" s="190"/>
      <c r="L581" s="190"/>
      <c r="M581" s="190"/>
      <c r="N581" s="190"/>
      <c r="O581" s="190"/>
      <c r="P581" s="190"/>
      <c r="Q581" s="190"/>
      <c r="R581" s="190"/>
      <c r="S581" s="190"/>
      <c r="T581" s="190"/>
      <c r="U581" s="190"/>
      <c r="V581" s="190"/>
      <c r="W581" s="190"/>
      <c r="X581" s="190"/>
      <c r="Y581" s="190"/>
      <c r="Z581" s="190"/>
      <c r="AA581" s="190"/>
    </row>
    <row r="582" spans="2:27">
      <c r="B582" s="186">
        <v>666</v>
      </c>
      <c r="D582" s="188" t="s">
        <v>656</v>
      </c>
      <c r="E582" s="188" t="s">
        <v>1341</v>
      </c>
      <c r="F582" s="188" t="s">
        <v>1341</v>
      </c>
    </row>
    <row r="583" spans="2:27">
      <c r="B583" s="186">
        <v>667</v>
      </c>
      <c r="D583" s="188" t="s">
        <v>657</v>
      </c>
      <c r="E583" s="188" t="s">
        <v>1342</v>
      </c>
      <c r="F583" s="188" t="s">
        <v>1342</v>
      </c>
    </row>
    <row r="584" spans="2:27">
      <c r="B584" s="186">
        <v>668</v>
      </c>
      <c r="D584" s="188" t="s">
        <v>649</v>
      </c>
      <c r="E584" s="188" t="s">
        <v>1343</v>
      </c>
      <c r="F584" s="188" t="s">
        <v>1343</v>
      </c>
    </row>
    <row r="585" spans="2:27">
      <c r="B585" s="186">
        <v>669</v>
      </c>
      <c r="D585" s="188" t="s">
        <v>655</v>
      </c>
      <c r="E585" s="188" t="s">
        <v>1344</v>
      </c>
      <c r="F585" s="188" t="s">
        <v>1344</v>
      </c>
    </row>
    <row r="586" spans="2:27">
      <c r="B586" s="186">
        <v>670</v>
      </c>
      <c r="D586" s="188" t="s">
        <v>652</v>
      </c>
      <c r="E586" s="188" t="s">
        <v>1345</v>
      </c>
      <c r="F586" s="188" t="s">
        <v>1345</v>
      </c>
    </row>
    <row r="587" spans="2:27">
      <c r="B587" s="186">
        <v>671</v>
      </c>
      <c r="D587" s="188" t="s">
        <v>653</v>
      </c>
      <c r="E587" s="188" t="s">
        <v>1346</v>
      </c>
      <c r="F587" s="188" t="s">
        <v>1346</v>
      </c>
    </row>
    <row r="588" spans="2:27">
      <c r="B588" s="186">
        <v>672</v>
      </c>
      <c r="D588" s="188" t="s">
        <v>654</v>
      </c>
      <c r="E588" s="188" t="s">
        <v>1347</v>
      </c>
      <c r="F588" s="188" t="s">
        <v>1347</v>
      </c>
    </row>
    <row r="589" spans="2:27">
      <c r="B589" s="186">
        <v>673</v>
      </c>
      <c r="D589" s="188" t="s">
        <v>658</v>
      </c>
      <c r="E589" s="188" t="s">
        <v>1348</v>
      </c>
      <c r="F589" s="188" t="s">
        <v>1348</v>
      </c>
    </row>
    <row r="590" spans="2:27">
      <c r="B590" s="186">
        <v>674</v>
      </c>
      <c r="D590" s="188" t="s">
        <v>738</v>
      </c>
      <c r="E590" s="188" t="s">
        <v>1349</v>
      </c>
      <c r="F590" s="188" t="s">
        <v>1349</v>
      </c>
    </row>
    <row r="591" spans="2:27">
      <c r="B591" s="186">
        <v>675</v>
      </c>
      <c r="D591" s="188" t="s">
        <v>742</v>
      </c>
      <c r="E591" s="188" t="s">
        <v>1350</v>
      </c>
      <c r="F591" s="188" t="s">
        <v>1350</v>
      </c>
    </row>
    <row r="592" spans="2:27">
      <c r="B592" s="186">
        <v>676</v>
      </c>
      <c r="D592" s="188" t="s">
        <v>743</v>
      </c>
      <c r="E592" s="188" t="s">
        <v>1351</v>
      </c>
      <c r="F592" s="188" t="s">
        <v>1351</v>
      </c>
    </row>
    <row r="593" spans="2:6">
      <c r="B593" s="186">
        <v>677</v>
      </c>
      <c r="D593" s="188" t="s">
        <v>744</v>
      </c>
      <c r="E593" s="188" t="s">
        <v>1352</v>
      </c>
      <c r="F593" s="185" t="s">
        <v>1352</v>
      </c>
    </row>
    <row r="594" spans="2:6">
      <c r="B594" s="186">
        <v>678</v>
      </c>
      <c r="D594" s="188" t="s">
        <v>745</v>
      </c>
      <c r="E594" s="188" t="s">
        <v>1353</v>
      </c>
      <c r="F594" s="188" t="s">
        <v>1353</v>
      </c>
    </row>
    <row r="595" spans="2:6">
      <c r="B595" s="186">
        <v>679</v>
      </c>
      <c r="D595" s="188" t="s">
        <v>1354</v>
      </c>
      <c r="E595" s="188" t="s">
        <v>1355</v>
      </c>
      <c r="F595" s="188" t="s">
        <v>1355</v>
      </c>
    </row>
    <row r="596" spans="2:6">
      <c r="B596" s="186">
        <v>680</v>
      </c>
      <c r="D596" s="188" t="s">
        <v>1356</v>
      </c>
      <c r="E596" s="205" t="s">
        <v>1358</v>
      </c>
      <c r="F596" s="205" t="s">
        <v>1358</v>
      </c>
    </row>
    <row r="597" spans="2:6">
      <c r="B597" s="186">
        <v>681</v>
      </c>
      <c r="D597" s="188" t="s">
        <v>1357</v>
      </c>
      <c r="E597" s="205" t="s">
        <v>1359</v>
      </c>
      <c r="F597" s="205" t="s">
        <v>1359</v>
      </c>
    </row>
    <row r="598" spans="2:6" ht="13.5">
      <c r="B598" s="186">
        <v>682</v>
      </c>
      <c r="D598" s="188" t="s">
        <v>1372</v>
      </c>
      <c r="E598" s="207" t="s">
        <v>1373</v>
      </c>
      <c r="F598" s="207" t="s">
        <v>1373</v>
      </c>
    </row>
    <row r="599" spans="2:6" ht="13.5">
      <c r="B599" s="186">
        <v>683</v>
      </c>
      <c r="D599" s="188" t="s">
        <v>1374</v>
      </c>
      <c r="E599" s="207" t="s">
        <v>1377</v>
      </c>
      <c r="F599" s="207" t="s">
        <v>1377</v>
      </c>
    </row>
    <row r="600" spans="2:6">
      <c r="B600" s="186">
        <v>684</v>
      </c>
      <c r="D600" s="188" t="s">
        <v>1375</v>
      </c>
      <c r="E600" s="188" t="s">
        <v>1376</v>
      </c>
      <c r="F600" s="188" t="s">
        <v>1376</v>
      </c>
    </row>
  </sheetData>
  <sortState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77"/>
  <sheetViews>
    <sheetView topLeftCell="K10" zoomScale="81" zoomScaleNormal="81" workbookViewId="0">
      <selection activeCell="N55" sqref="N55"/>
    </sheetView>
  </sheetViews>
  <sheetFormatPr defaultColWidth="10.625" defaultRowHeight="15"/>
  <cols>
    <col min="1" max="1" width="9.5" style="110" bestFit="1" customWidth="1"/>
    <col min="2" max="2" width="9.25" style="110" bestFit="1" customWidth="1"/>
    <col min="3" max="12" width="11.375" style="110" bestFit="1" customWidth="1"/>
    <col min="13" max="13" width="33.25" style="110" bestFit="1" customWidth="1"/>
    <col min="14" max="14" width="13.25" style="110" bestFit="1" customWidth="1"/>
    <col min="15" max="16" width="10.5" style="110" bestFit="1" customWidth="1"/>
    <col min="17" max="17" width="15.5" style="110" bestFit="1" customWidth="1"/>
    <col min="18" max="18" width="17.125" style="110" bestFit="1" customWidth="1"/>
    <col min="19" max="19" width="13.25" style="110" bestFit="1" customWidth="1"/>
    <col min="20" max="20" width="19.875" style="110" bestFit="1" customWidth="1"/>
    <col min="21" max="21" width="14.375" style="110" bestFit="1" customWidth="1"/>
    <col min="22" max="22" width="14.125" style="111" bestFit="1" customWidth="1"/>
    <col min="23" max="23" width="15.5" style="110" bestFit="1" customWidth="1"/>
    <col min="24" max="24" width="19.375" style="112" bestFit="1" customWidth="1"/>
    <col min="25" max="25" width="9.5" style="112" bestFit="1" customWidth="1"/>
    <col min="26" max="26" width="10.875" style="112" bestFit="1" customWidth="1"/>
    <col min="27" max="27" width="10.875" style="111" bestFit="1" customWidth="1"/>
    <col min="28" max="28" width="12.5" style="111" bestFit="1" customWidth="1"/>
    <col min="29" max="29" width="12.875" style="111" bestFit="1" customWidth="1"/>
    <col min="30" max="30" width="15.75" style="110" bestFit="1" customWidth="1"/>
    <col min="31" max="32" width="10.625" style="110"/>
    <col min="33" max="16384" width="10.625" style="111"/>
  </cols>
  <sheetData>
    <row r="1" spans="1:30">
      <c r="A1" s="114" t="s">
        <v>539</v>
      </c>
      <c r="B1" s="114" t="s">
        <v>333</v>
      </c>
      <c r="C1" s="114" t="s">
        <v>528</v>
      </c>
      <c r="D1" s="114" t="s">
        <v>529</v>
      </c>
      <c r="E1" s="114" t="s">
        <v>530</v>
      </c>
      <c r="F1" s="114" t="s">
        <v>531</v>
      </c>
      <c r="G1" s="114" t="s">
        <v>532</v>
      </c>
      <c r="H1" s="114" t="s">
        <v>533</v>
      </c>
      <c r="I1" s="114" t="s">
        <v>534</v>
      </c>
      <c r="J1" s="114" t="s">
        <v>535</v>
      </c>
      <c r="K1" s="114" t="s">
        <v>536</v>
      </c>
      <c r="L1" s="114" t="s">
        <v>537</v>
      </c>
      <c r="M1" s="114" t="s">
        <v>334</v>
      </c>
      <c r="N1" s="114" t="s">
        <v>335</v>
      </c>
      <c r="O1" s="114" t="s">
        <v>336</v>
      </c>
      <c r="P1" s="114" t="s">
        <v>337</v>
      </c>
      <c r="Q1" s="114" t="s">
        <v>505</v>
      </c>
      <c r="R1" s="114" t="s">
        <v>506</v>
      </c>
      <c r="S1" s="114" t="s">
        <v>538</v>
      </c>
      <c r="T1" s="114" t="s">
        <v>615</v>
      </c>
      <c r="U1" s="114" t="s">
        <v>492</v>
      </c>
      <c r="V1" s="115" t="s">
        <v>493</v>
      </c>
      <c r="W1" s="114" t="s">
        <v>495</v>
      </c>
      <c r="X1" s="116" t="s">
        <v>606</v>
      </c>
      <c r="Y1" s="116" t="s">
        <v>496</v>
      </c>
      <c r="Z1" s="116" t="s">
        <v>497</v>
      </c>
      <c r="AA1" s="115" t="s">
        <v>507</v>
      </c>
      <c r="AB1" s="115" t="s">
        <v>508</v>
      </c>
      <c r="AC1" s="115" t="s">
        <v>526</v>
      </c>
      <c r="AD1" s="114" t="s">
        <v>494</v>
      </c>
    </row>
    <row r="2" spans="1:30">
      <c r="A2" s="113" t="s">
        <v>1389</v>
      </c>
      <c r="B2" s="113" t="s">
        <v>1378</v>
      </c>
      <c r="C2" s="113" t="s">
        <v>499</v>
      </c>
      <c r="D2" s="113" t="s">
        <v>545</v>
      </c>
      <c r="E2" s="113" t="s">
        <v>1378</v>
      </c>
      <c r="M2" s="113" t="s">
        <v>1616</v>
      </c>
      <c r="N2" s="113" t="s">
        <v>1602</v>
      </c>
      <c r="O2" s="109">
        <v>44727</v>
      </c>
      <c r="P2" s="109">
        <v>44727</v>
      </c>
      <c r="Q2" s="109">
        <v>44727</v>
      </c>
      <c r="R2" s="109">
        <v>44730</v>
      </c>
      <c r="S2" s="110">
        <v>25</v>
      </c>
      <c r="T2" s="110">
        <v>1</v>
      </c>
      <c r="U2" s="110">
        <v>1</v>
      </c>
      <c r="V2" s="111">
        <v>0</v>
      </c>
      <c r="W2" s="110">
        <v>0</v>
      </c>
      <c r="X2" s="112">
        <v>1</v>
      </c>
      <c r="Y2" s="112">
        <v>0</v>
      </c>
      <c r="Z2" s="112">
        <v>1</v>
      </c>
      <c r="AA2" s="109">
        <v>44727</v>
      </c>
      <c r="AB2" s="109">
        <v>44727</v>
      </c>
      <c r="AC2" s="111">
        <v>1</v>
      </c>
      <c r="AD2" s="110">
        <v>1</v>
      </c>
    </row>
    <row r="3" spans="1:30">
      <c r="A3" s="113" t="s">
        <v>1504</v>
      </c>
      <c r="B3" s="113" t="s">
        <v>1605</v>
      </c>
      <c r="C3" s="113" t="s">
        <v>499</v>
      </c>
      <c r="D3" s="113" t="s">
        <v>545</v>
      </c>
      <c r="E3" s="113" t="s">
        <v>1379</v>
      </c>
      <c r="F3" s="113" t="s">
        <v>1605</v>
      </c>
      <c r="M3" s="113" t="s">
        <v>1617</v>
      </c>
      <c r="N3" s="113" t="s">
        <v>1602</v>
      </c>
      <c r="O3" s="109">
        <v>44727</v>
      </c>
      <c r="P3" s="109">
        <v>44736</v>
      </c>
      <c r="Q3" s="109">
        <v>44727</v>
      </c>
      <c r="R3" s="109">
        <v>44730</v>
      </c>
      <c r="S3" s="110">
        <v>25</v>
      </c>
      <c r="T3" s="110">
        <v>1</v>
      </c>
      <c r="U3" s="110">
        <v>3</v>
      </c>
      <c r="V3" s="111">
        <v>0</v>
      </c>
      <c r="W3" s="110">
        <v>0</v>
      </c>
      <c r="X3" s="112">
        <v>1</v>
      </c>
      <c r="Y3" s="112">
        <v>0</v>
      </c>
      <c r="Z3" s="112">
        <v>1</v>
      </c>
      <c r="AA3" s="109">
        <v>44729</v>
      </c>
      <c r="AB3" s="109">
        <v>44736</v>
      </c>
      <c r="AC3" s="111">
        <v>1</v>
      </c>
      <c r="AD3" s="110">
        <v>1</v>
      </c>
    </row>
    <row r="4" spans="1:30">
      <c r="A4" s="113" t="s">
        <v>1504</v>
      </c>
      <c r="B4" s="113" t="s">
        <v>1605</v>
      </c>
      <c r="C4" s="113" t="s">
        <v>499</v>
      </c>
      <c r="D4" s="113" t="s">
        <v>545</v>
      </c>
      <c r="E4" s="113" t="s">
        <v>1379</v>
      </c>
      <c r="F4" s="113" t="s">
        <v>1605</v>
      </c>
      <c r="M4" s="113" t="s">
        <v>1617</v>
      </c>
      <c r="N4" s="113" t="s">
        <v>1602</v>
      </c>
      <c r="O4" s="109">
        <v>44727</v>
      </c>
      <c r="P4" s="109">
        <v>44736</v>
      </c>
      <c r="Q4" s="109">
        <v>44731</v>
      </c>
      <c r="R4" s="109">
        <v>44737</v>
      </c>
      <c r="S4" s="110">
        <v>26</v>
      </c>
      <c r="T4" s="110">
        <v>2</v>
      </c>
      <c r="U4" s="110">
        <v>5</v>
      </c>
      <c r="V4" s="111">
        <v>0</v>
      </c>
      <c r="W4" s="110">
        <v>0</v>
      </c>
      <c r="X4" s="112">
        <v>1</v>
      </c>
      <c r="Y4" s="112">
        <v>0</v>
      </c>
      <c r="Z4" s="112">
        <v>1</v>
      </c>
      <c r="AA4" s="109">
        <v>44729</v>
      </c>
      <c r="AB4" s="109">
        <v>44736</v>
      </c>
      <c r="AC4" s="111">
        <v>5</v>
      </c>
      <c r="AD4" s="110">
        <v>5</v>
      </c>
    </row>
    <row r="5" spans="1:30">
      <c r="A5" s="113" t="s">
        <v>1389</v>
      </c>
      <c r="B5" s="113" t="s">
        <v>1380</v>
      </c>
      <c r="C5" s="113" t="s">
        <v>499</v>
      </c>
      <c r="D5" s="113" t="s">
        <v>1383</v>
      </c>
      <c r="E5" s="113" t="s">
        <v>1380</v>
      </c>
      <c r="M5" s="113" t="s">
        <v>1569</v>
      </c>
      <c r="N5" s="113" t="s">
        <v>1602</v>
      </c>
      <c r="O5" s="109">
        <v>44834</v>
      </c>
      <c r="P5" s="109">
        <v>44834</v>
      </c>
      <c r="Q5" s="109">
        <v>44829</v>
      </c>
      <c r="R5" s="109">
        <v>44835</v>
      </c>
      <c r="S5" s="110">
        <v>40</v>
      </c>
      <c r="T5" s="110">
        <v>16</v>
      </c>
      <c r="U5" s="110">
        <v>1</v>
      </c>
      <c r="V5" s="111">
        <v>0</v>
      </c>
      <c r="W5" s="110">
        <v>0</v>
      </c>
      <c r="X5" s="112">
        <v>1</v>
      </c>
      <c r="Y5" s="112">
        <v>0</v>
      </c>
      <c r="Z5" s="112">
        <v>0.7</v>
      </c>
      <c r="AA5" s="109">
        <v>44834</v>
      </c>
      <c r="AC5" s="111">
        <v>0.7</v>
      </c>
      <c r="AD5" s="110">
        <v>0.7</v>
      </c>
    </row>
    <row r="6" spans="1:30">
      <c r="A6" s="113" t="s">
        <v>1389</v>
      </c>
      <c r="B6" s="113" t="s">
        <v>1381</v>
      </c>
      <c r="C6" s="113" t="s">
        <v>499</v>
      </c>
      <c r="D6" s="113" t="s">
        <v>1384</v>
      </c>
      <c r="E6" s="113" t="s">
        <v>1381</v>
      </c>
      <c r="M6" s="113" t="s">
        <v>1571</v>
      </c>
      <c r="N6" s="113" t="s">
        <v>1602</v>
      </c>
      <c r="O6" s="109">
        <v>44921</v>
      </c>
      <c r="P6" s="109">
        <v>44925</v>
      </c>
      <c r="Q6" s="109">
        <v>44920</v>
      </c>
      <c r="R6" s="109">
        <v>44926</v>
      </c>
      <c r="S6" s="110">
        <v>53</v>
      </c>
      <c r="T6" s="110">
        <v>29</v>
      </c>
      <c r="U6" s="110">
        <v>5</v>
      </c>
      <c r="V6" s="111">
        <v>0</v>
      </c>
      <c r="W6" s="110">
        <v>0</v>
      </c>
      <c r="X6" s="112">
        <v>1</v>
      </c>
      <c r="Y6" s="112">
        <v>0</v>
      </c>
      <c r="Z6" s="112">
        <v>0</v>
      </c>
      <c r="AC6" s="111">
        <v>0</v>
      </c>
      <c r="AD6" s="110">
        <v>0</v>
      </c>
    </row>
    <row r="7" spans="1:30">
      <c r="A7" s="113" t="s">
        <v>1389</v>
      </c>
      <c r="B7" s="113" t="s">
        <v>1382</v>
      </c>
      <c r="C7" s="113" t="s">
        <v>499</v>
      </c>
      <c r="D7" s="113" t="s">
        <v>1384</v>
      </c>
      <c r="E7" s="113" t="s">
        <v>1382</v>
      </c>
      <c r="M7" s="113" t="s">
        <v>1572</v>
      </c>
      <c r="N7" s="113" t="s">
        <v>1602</v>
      </c>
      <c r="O7" s="109">
        <v>44921</v>
      </c>
      <c r="P7" s="109">
        <v>44925</v>
      </c>
      <c r="Q7" s="109">
        <v>44920</v>
      </c>
      <c r="R7" s="109">
        <v>44926</v>
      </c>
      <c r="S7" s="110">
        <v>53</v>
      </c>
      <c r="T7" s="110">
        <v>29</v>
      </c>
      <c r="U7" s="110">
        <v>5</v>
      </c>
      <c r="V7" s="111">
        <v>0</v>
      </c>
      <c r="W7" s="110">
        <v>0</v>
      </c>
      <c r="X7" s="112">
        <v>1</v>
      </c>
      <c r="Y7" s="112">
        <v>0</v>
      </c>
      <c r="Z7" s="112">
        <v>0</v>
      </c>
      <c r="AC7" s="111">
        <v>0</v>
      </c>
      <c r="AD7" s="110">
        <v>0</v>
      </c>
    </row>
    <row r="8" spans="1:30">
      <c r="A8" s="113" t="s">
        <v>1389</v>
      </c>
      <c r="B8" s="113" t="s">
        <v>1531</v>
      </c>
      <c r="C8" s="113" t="s">
        <v>1490</v>
      </c>
      <c r="D8" s="113" t="s">
        <v>1530</v>
      </c>
      <c r="E8" s="113" t="s">
        <v>1531</v>
      </c>
      <c r="M8" s="113" t="s">
        <v>1512</v>
      </c>
      <c r="N8" s="113" t="s">
        <v>1602</v>
      </c>
      <c r="O8" s="109">
        <v>44727</v>
      </c>
      <c r="P8" s="109">
        <v>44734</v>
      </c>
      <c r="Q8" s="109">
        <v>44727</v>
      </c>
      <c r="R8" s="109">
        <v>44730</v>
      </c>
      <c r="S8" s="110">
        <v>25</v>
      </c>
      <c r="T8" s="110">
        <v>1</v>
      </c>
      <c r="U8" s="110">
        <v>3</v>
      </c>
      <c r="V8" s="111">
        <v>0</v>
      </c>
      <c r="W8" s="110">
        <v>0</v>
      </c>
      <c r="X8" s="112">
        <v>1</v>
      </c>
      <c r="Y8" s="112">
        <v>0</v>
      </c>
      <c r="Z8" s="112">
        <v>0</v>
      </c>
      <c r="AC8" s="111">
        <v>0</v>
      </c>
      <c r="AD8" s="110">
        <v>0</v>
      </c>
    </row>
    <row r="9" spans="1:30">
      <c r="A9" s="113" t="s">
        <v>1389</v>
      </c>
      <c r="B9" s="113" t="s">
        <v>1531</v>
      </c>
      <c r="C9" s="113" t="s">
        <v>1490</v>
      </c>
      <c r="D9" s="113" t="s">
        <v>1530</v>
      </c>
      <c r="E9" s="113" t="s">
        <v>1531</v>
      </c>
      <c r="M9" s="113" t="s">
        <v>1512</v>
      </c>
      <c r="N9" s="113" t="s">
        <v>1602</v>
      </c>
      <c r="O9" s="109">
        <v>44727</v>
      </c>
      <c r="P9" s="109">
        <v>44734</v>
      </c>
      <c r="Q9" s="109">
        <v>44731</v>
      </c>
      <c r="R9" s="109">
        <v>44737</v>
      </c>
      <c r="S9" s="110">
        <v>26</v>
      </c>
      <c r="T9" s="110">
        <v>2</v>
      </c>
      <c r="U9" s="110">
        <v>3</v>
      </c>
      <c r="V9" s="111">
        <v>0</v>
      </c>
      <c r="W9" s="110">
        <v>0</v>
      </c>
      <c r="X9" s="112">
        <v>1</v>
      </c>
      <c r="Y9" s="112">
        <v>0</v>
      </c>
      <c r="Z9" s="112">
        <v>0</v>
      </c>
      <c r="AC9" s="111">
        <v>0</v>
      </c>
      <c r="AD9" s="110">
        <v>0</v>
      </c>
    </row>
    <row r="10" spans="1:30">
      <c r="A10" s="113" t="s">
        <v>1504</v>
      </c>
      <c r="B10" s="113" t="s">
        <v>1533</v>
      </c>
      <c r="C10" s="113" t="s">
        <v>1490</v>
      </c>
      <c r="D10" s="113" t="s">
        <v>1530</v>
      </c>
      <c r="E10" s="113" t="s">
        <v>1532</v>
      </c>
      <c r="F10" s="113" t="s">
        <v>1533</v>
      </c>
      <c r="M10" s="113" t="s">
        <v>1516</v>
      </c>
      <c r="N10" s="113" t="s">
        <v>1602</v>
      </c>
      <c r="O10" s="109">
        <v>44727</v>
      </c>
      <c r="P10" s="109">
        <v>44728</v>
      </c>
      <c r="Q10" s="109">
        <v>44727</v>
      </c>
      <c r="R10" s="109">
        <v>44730</v>
      </c>
      <c r="S10" s="110">
        <v>25</v>
      </c>
      <c r="T10" s="110">
        <v>1</v>
      </c>
      <c r="U10" s="110">
        <v>2</v>
      </c>
      <c r="V10" s="111">
        <v>0</v>
      </c>
      <c r="W10" s="110">
        <v>0</v>
      </c>
      <c r="X10" s="112">
        <v>1</v>
      </c>
      <c r="Y10" s="112">
        <v>0</v>
      </c>
      <c r="Z10" s="112">
        <v>0</v>
      </c>
      <c r="AC10" s="111">
        <v>0</v>
      </c>
      <c r="AD10" s="110">
        <v>0</v>
      </c>
    </row>
    <row r="11" spans="1:30">
      <c r="A11" s="113" t="s">
        <v>1504</v>
      </c>
      <c r="B11" s="113" t="s">
        <v>1534</v>
      </c>
      <c r="C11" s="113" t="s">
        <v>1490</v>
      </c>
      <c r="D11" s="113" t="s">
        <v>1530</v>
      </c>
      <c r="E11" s="113" t="s">
        <v>1532</v>
      </c>
      <c r="F11" s="113" t="s">
        <v>1534</v>
      </c>
      <c r="M11" s="113" t="s">
        <v>1517</v>
      </c>
      <c r="N11" s="113" t="s">
        <v>1602</v>
      </c>
      <c r="O11" s="109">
        <v>44729</v>
      </c>
      <c r="P11" s="109">
        <v>44732</v>
      </c>
      <c r="Q11" s="109">
        <v>44727</v>
      </c>
      <c r="R11" s="109">
        <v>44730</v>
      </c>
      <c r="S11" s="110">
        <v>25</v>
      </c>
      <c r="T11" s="110">
        <v>1</v>
      </c>
      <c r="U11" s="110">
        <v>1</v>
      </c>
      <c r="V11" s="111">
        <v>0</v>
      </c>
      <c r="W11" s="110">
        <v>0</v>
      </c>
      <c r="X11" s="112">
        <v>1</v>
      </c>
      <c r="Y11" s="112">
        <v>0</v>
      </c>
      <c r="Z11" s="112">
        <v>0</v>
      </c>
      <c r="AC11" s="111">
        <v>0</v>
      </c>
      <c r="AD11" s="110">
        <v>0</v>
      </c>
    </row>
    <row r="12" spans="1:30">
      <c r="A12" s="113" t="s">
        <v>1504</v>
      </c>
      <c r="B12" s="113" t="s">
        <v>1534</v>
      </c>
      <c r="C12" s="113" t="s">
        <v>1490</v>
      </c>
      <c r="D12" s="113" t="s">
        <v>1530</v>
      </c>
      <c r="E12" s="113" t="s">
        <v>1532</v>
      </c>
      <c r="F12" s="113" t="s">
        <v>1534</v>
      </c>
      <c r="M12" s="113" t="s">
        <v>1517</v>
      </c>
      <c r="N12" s="113" t="s">
        <v>1602</v>
      </c>
      <c r="O12" s="109">
        <v>44729</v>
      </c>
      <c r="P12" s="109">
        <v>44732</v>
      </c>
      <c r="Q12" s="109">
        <v>44731</v>
      </c>
      <c r="R12" s="109">
        <v>44737</v>
      </c>
      <c r="S12" s="110">
        <v>26</v>
      </c>
      <c r="T12" s="110">
        <v>2</v>
      </c>
      <c r="U12" s="110">
        <v>1</v>
      </c>
      <c r="V12" s="111">
        <v>0</v>
      </c>
      <c r="W12" s="110">
        <v>0</v>
      </c>
      <c r="X12" s="112">
        <v>1</v>
      </c>
      <c r="Y12" s="112">
        <v>0</v>
      </c>
      <c r="Z12" s="112">
        <v>0</v>
      </c>
      <c r="AC12" s="111">
        <v>0</v>
      </c>
      <c r="AD12" s="110">
        <v>0</v>
      </c>
    </row>
    <row r="13" spans="1:30">
      <c r="A13" s="113" t="s">
        <v>1504</v>
      </c>
      <c r="B13" s="113" t="s">
        <v>1535</v>
      </c>
      <c r="C13" s="113" t="s">
        <v>1490</v>
      </c>
      <c r="D13" s="113" t="s">
        <v>1530</v>
      </c>
      <c r="E13" s="113" t="s">
        <v>1532</v>
      </c>
      <c r="F13" s="113" t="s">
        <v>1535</v>
      </c>
      <c r="M13" s="113" t="s">
        <v>1518</v>
      </c>
      <c r="N13" s="113" t="s">
        <v>1602</v>
      </c>
      <c r="O13" s="109">
        <v>44733</v>
      </c>
      <c r="P13" s="109">
        <v>44734</v>
      </c>
      <c r="Q13" s="109">
        <v>44731</v>
      </c>
      <c r="R13" s="109">
        <v>44737</v>
      </c>
      <c r="S13" s="110">
        <v>26</v>
      </c>
      <c r="T13" s="110">
        <v>2</v>
      </c>
      <c r="U13" s="110">
        <v>2</v>
      </c>
      <c r="V13" s="111">
        <v>0</v>
      </c>
      <c r="W13" s="110">
        <v>0</v>
      </c>
      <c r="X13" s="112">
        <v>1</v>
      </c>
      <c r="Y13" s="112">
        <v>0</v>
      </c>
      <c r="Z13" s="112">
        <v>0</v>
      </c>
      <c r="AC13" s="111">
        <v>0</v>
      </c>
      <c r="AD13" s="110">
        <v>0</v>
      </c>
    </row>
    <row r="14" spans="1:30">
      <c r="A14" s="113" t="s">
        <v>1504</v>
      </c>
      <c r="B14" s="113" t="s">
        <v>1536</v>
      </c>
      <c r="C14" s="113" t="s">
        <v>1490</v>
      </c>
      <c r="D14" s="113" t="s">
        <v>1530</v>
      </c>
      <c r="E14" s="113" t="s">
        <v>1532</v>
      </c>
      <c r="F14" s="113" t="s">
        <v>1536</v>
      </c>
      <c r="M14" s="113" t="s">
        <v>1519</v>
      </c>
      <c r="N14" s="113" t="s">
        <v>1602</v>
      </c>
      <c r="O14" s="109">
        <v>44735</v>
      </c>
      <c r="P14" s="109">
        <v>44736</v>
      </c>
      <c r="Q14" s="109">
        <v>44731</v>
      </c>
      <c r="R14" s="109">
        <v>44737</v>
      </c>
      <c r="S14" s="110">
        <v>26</v>
      </c>
      <c r="T14" s="110">
        <v>2</v>
      </c>
      <c r="U14" s="110">
        <v>2</v>
      </c>
      <c r="V14" s="111">
        <v>0</v>
      </c>
      <c r="W14" s="110">
        <v>0</v>
      </c>
      <c r="X14" s="112">
        <v>1</v>
      </c>
      <c r="Y14" s="112">
        <v>0</v>
      </c>
      <c r="Z14" s="112">
        <v>0</v>
      </c>
      <c r="AC14" s="111">
        <v>0</v>
      </c>
      <c r="AD14" s="110">
        <v>0</v>
      </c>
    </row>
    <row r="15" spans="1:30">
      <c r="A15" s="113" t="s">
        <v>1504</v>
      </c>
      <c r="B15" s="113" t="s">
        <v>1537</v>
      </c>
      <c r="C15" s="113" t="s">
        <v>1490</v>
      </c>
      <c r="D15" s="113" t="s">
        <v>1530</v>
      </c>
      <c r="E15" s="113" t="s">
        <v>1532</v>
      </c>
      <c r="F15" s="113" t="s">
        <v>1537</v>
      </c>
      <c r="M15" s="113" t="s">
        <v>1520</v>
      </c>
      <c r="N15" s="113" t="s">
        <v>1602</v>
      </c>
      <c r="O15" s="109">
        <v>44739</v>
      </c>
      <c r="P15" s="109">
        <v>44740</v>
      </c>
      <c r="Q15" s="109">
        <v>44738</v>
      </c>
      <c r="R15" s="109">
        <v>44744</v>
      </c>
      <c r="S15" s="110">
        <v>27</v>
      </c>
      <c r="T15" s="110">
        <v>3</v>
      </c>
      <c r="U15" s="110">
        <v>2</v>
      </c>
      <c r="V15" s="111">
        <v>0</v>
      </c>
      <c r="W15" s="110">
        <v>0</v>
      </c>
      <c r="X15" s="112">
        <v>1</v>
      </c>
      <c r="Y15" s="112">
        <v>0</v>
      </c>
      <c r="Z15" s="112">
        <v>0</v>
      </c>
      <c r="AC15" s="111">
        <v>0</v>
      </c>
      <c r="AD15" s="110">
        <v>0</v>
      </c>
    </row>
    <row r="16" spans="1:30">
      <c r="A16" s="113" t="s">
        <v>1504</v>
      </c>
      <c r="B16" s="113" t="s">
        <v>1538</v>
      </c>
      <c r="C16" s="113" t="s">
        <v>1490</v>
      </c>
      <c r="D16" s="113" t="s">
        <v>1530</v>
      </c>
      <c r="E16" s="113" t="s">
        <v>1532</v>
      </c>
      <c r="F16" s="113" t="s">
        <v>1538</v>
      </c>
      <c r="M16" s="113" t="s">
        <v>1521</v>
      </c>
      <c r="N16" s="113" t="s">
        <v>1602</v>
      </c>
      <c r="O16" s="109">
        <v>44741</v>
      </c>
      <c r="P16" s="109">
        <v>44742</v>
      </c>
      <c r="Q16" s="109">
        <v>44738</v>
      </c>
      <c r="R16" s="109">
        <v>44744</v>
      </c>
      <c r="S16" s="110">
        <v>27</v>
      </c>
      <c r="T16" s="110">
        <v>3</v>
      </c>
      <c r="U16" s="110">
        <v>2</v>
      </c>
      <c r="V16" s="111">
        <v>0</v>
      </c>
      <c r="W16" s="110">
        <v>0</v>
      </c>
      <c r="X16" s="112">
        <v>1</v>
      </c>
      <c r="Y16" s="112">
        <v>0</v>
      </c>
      <c r="Z16" s="112">
        <v>0</v>
      </c>
      <c r="AC16" s="111">
        <v>0</v>
      </c>
      <c r="AD16" s="110">
        <v>0</v>
      </c>
    </row>
    <row r="17" spans="1:30">
      <c r="A17" s="113" t="s">
        <v>1504</v>
      </c>
      <c r="B17" s="113" t="s">
        <v>1539</v>
      </c>
      <c r="C17" s="113" t="s">
        <v>1490</v>
      </c>
      <c r="D17" s="113" t="s">
        <v>1530</v>
      </c>
      <c r="E17" s="113" t="s">
        <v>1532</v>
      </c>
      <c r="F17" s="113" t="s">
        <v>1539</v>
      </c>
      <c r="M17" s="113" t="s">
        <v>1522</v>
      </c>
      <c r="N17" s="113" t="s">
        <v>1602</v>
      </c>
      <c r="O17" s="109">
        <v>44743</v>
      </c>
      <c r="P17" s="109">
        <v>44746</v>
      </c>
      <c r="Q17" s="109">
        <v>44738</v>
      </c>
      <c r="R17" s="109">
        <v>44744</v>
      </c>
      <c r="S17" s="110">
        <v>27</v>
      </c>
      <c r="T17" s="110">
        <v>3</v>
      </c>
      <c r="U17" s="110">
        <v>1</v>
      </c>
      <c r="V17" s="111">
        <v>0</v>
      </c>
      <c r="W17" s="110">
        <v>0</v>
      </c>
      <c r="X17" s="112">
        <v>1</v>
      </c>
      <c r="Y17" s="112">
        <v>0</v>
      </c>
      <c r="Z17" s="112">
        <v>0</v>
      </c>
      <c r="AC17" s="111">
        <v>0</v>
      </c>
      <c r="AD17" s="110">
        <v>0</v>
      </c>
    </row>
    <row r="18" spans="1:30">
      <c r="A18" s="113" t="s">
        <v>1504</v>
      </c>
      <c r="B18" s="113" t="s">
        <v>1539</v>
      </c>
      <c r="C18" s="113" t="s">
        <v>1490</v>
      </c>
      <c r="D18" s="113" t="s">
        <v>1530</v>
      </c>
      <c r="E18" s="113" t="s">
        <v>1532</v>
      </c>
      <c r="F18" s="113" t="s">
        <v>1539</v>
      </c>
      <c r="M18" s="113" t="s">
        <v>1522</v>
      </c>
      <c r="N18" s="113" t="s">
        <v>1602</v>
      </c>
      <c r="O18" s="109">
        <v>44743</v>
      </c>
      <c r="P18" s="109">
        <v>44746</v>
      </c>
      <c r="Q18" s="109">
        <v>44745</v>
      </c>
      <c r="R18" s="109">
        <v>44751</v>
      </c>
      <c r="S18" s="110">
        <v>28</v>
      </c>
      <c r="T18" s="110">
        <v>4</v>
      </c>
      <c r="U18" s="110">
        <v>1</v>
      </c>
      <c r="V18" s="111">
        <v>0</v>
      </c>
      <c r="W18" s="110">
        <v>0</v>
      </c>
      <c r="X18" s="112">
        <v>1</v>
      </c>
      <c r="Y18" s="112">
        <v>0</v>
      </c>
      <c r="Z18" s="112">
        <v>0</v>
      </c>
      <c r="AC18" s="111">
        <v>0</v>
      </c>
      <c r="AD18" s="110">
        <v>0</v>
      </c>
    </row>
    <row r="19" spans="1:30">
      <c r="A19" s="113" t="s">
        <v>1504</v>
      </c>
      <c r="B19" s="113" t="s">
        <v>1540</v>
      </c>
      <c r="C19" s="113" t="s">
        <v>1490</v>
      </c>
      <c r="D19" s="113" t="s">
        <v>1530</v>
      </c>
      <c r="E19" s="113" t="s">
        <v>1532</v>
      </c>
      <c r="F19" s="113" t="s">
        <v>1540</v>
      </c>
      <c r="M19" s="113" t="s">
        <v>1523</v>
      </c>
      <c r="N19" s="113" t="s">
        <v>1602</v>
      </c>
      <c r="O19" s="109">
        <v>44747</v>
      </c>
      <c r="P19" s="109">
        <v>44747</v>
      </c>
      <c r="Q19" s="109">
        <v>44745</v>
      </c>
      <c r="R19" s="109">
        <v>44751</v>
      </c>
      <c r="S19" s="110">
        <v>28</v>
      </c>
      <c r="T19" s="110">
        <v>4</v>
      </c>
      <c r="U19" s="110">
        <v>1</v>
      </c>
      <c r="V19" s="111">
        <v>0</v>
      </c>
      <c r="W19" s="110">
        <v>0</v>
      </c>
      <c r="X19" s="112">
        <v>1</v>
      </c>
      <c r="Y19" s="112">
        <v>0</v>
      </c>
      <c r="Z19" s="112">
        <v>0</v>
      </c>
      <c r="AC19" s="111">
        <v>0</v>
      </c>
      <c r="AD19" s="110">
        <v>0</v>
      </c>
    </row>
    <row r="20" spans="1:30">
      <c r="A20" s="113" t="s">
        <v>1504</v>
      </c>
      <c r="B20" s="113" t="s">
        <v>1541</v>
      </c>
      <c r="C20" s="113" t="s">
        <v>1490</v>
      </c>
      <c r="D20" s="113" t="s">
        <v>1530</v>
      </c>
      <c r="E20" s="113" t="s">
        <v>1532</v>
      </c>
      <c r="F20" s="113" t="s">
        <v>1541</v>
      </c>
      <c r="M20" s="113" t="s">
        <v>1524</v>
      </c>
      <c r="N20" s="113" t="s">
        <v>1602</v>
      </c>
      <c r="O20" s="109">
        <v>44748</v>
      </c>
      <c r="P20" s="109">
        <v>44755</v>
      </c>
      <c r="Q20" s="109">
        <v>44745</v>
      </c>
      <c r="R20" s="109">
        <v>44751</v>
      </c>
      <c r="S20" s="110">
        <v>28</v>
      </c>
      <c r="T20" s="110">
        <v>4</v>
      </c>
      <c r="U20" s="110">
        <v>3</v>
      </c>
      <c r="V20" s="111">
        <v>0</v>
      </c>
      <c r="W20" s="110">
        <v>0</v>
      </c>
      <c r="X20" s="112">
        <v>1</v>
      </c>
      <c r="Y20" s="112">
        <v>0</v>
      </c>
      <c r="Z20" s="112">
        <v>0</v>
      </c>
      <c r="AC20" s="111">
        <v>0</v>
      </c>
      <c r="AD20" s="110">
        <v>0</v>
      </c>
    </row>
    <row r="21" spans="1:30">
      <c r="A21" s="113" t="s">
        <v>1504</v>
      </c>
      <c r="B21" s="113" t="s">
        <v>1541</v>
      </c>
      <c r="C21" s="113" t="s">
        <v>1490</v>
      </c>
      <c r="D21" s="113" t="s">
        <v>1530</v>
      </c>
      <c r="E21" s="113" t="s">
        <v>1532</v>
      </c>
      <c r="F21" s="113" t="s">
        <v>1541</v>
      </c>
      <c r="M21" s="113" t="s">
        <v>1524</v>
      </c>
      <c r="N21" s="113" t="s">
        <v>1602</v>
      </c>
      <c r="O21" s="109">
        <v>44748</v>
      </c>
      <c r="P21" s="109">
        <v>44755</v>
      </c>
      <c r="Q21" s="109">
        <v>44752</v>
      </c>
      <c r="R21" s="109">
        <v>44758</v>
      </c>
      <c r="S21" s="110">
        <v>29</v>
      </c>
      <c r="T21" s="110">
        <v>5</v>
      </c>
      <c r="U21" s="110">
        <v>3</v>
      </c>
      <c r="V21" s="111">
        <v>0</v>
      </c>
      <c r="W21" s="110">
        <v>0</v>
      </c>
      <c r="X21" s="112">
        <v>1</v>
      </c>
      <c r="Y21" s="112">
        <v>0</v>
      </c>
      <c r="Z21" s="112">
        <v>0</v>
      </c>
      <c r="AC21" s="111">
        <v>0</v>
      </c>
      <c r="AD21" s="110">
        <v>0</v>
      </c>
    </row>
    <row r="22" spans="1:30">
      <c r="A22" s="113" t="s">
        <v>1504</v>
      </c>
      <c r="B22" s="113" t="s">
        <v>1607</v>
      </c>
      <c r="C22" s="113" t="s">
        <v>1490</v>
      </c>
      <c r="D22" s="113" t="s">
        <v>1530</v>
      </c>
      <c r="E22" s="113" t="s">
        <v>1532</v>
      </c>
      <c r="F22" s="113" t="s">
        <v>1607</v>
      </c>
      <c r="M22" s="113" t="s">
        <v>1606</v>
      </c>
      <c r="N22" s="113" t="s">
        <v>1602</v>
      </c>
      <c r="O22" s="109">
        <v>44756</v>
      </c>
      <c r="P22" s="109">
        <v>44771</v>
      </c>
      <c r="Q22" s="109">
        <v>44752</v>
      </c>
      <c r="R22" s="109">
        <v>44758</v>
      </c>
      <c r="S22" s="110">
        <v>29</v>
      </c>
      <c r="T22" s="110">
        <v>5</v>
      </c>
      <c r="U22" s="110">
        <v>2</v>
      </c>
      <c r="V22" s="111">
        <v>0</v>
      </c>
      <c r="W22" s="110">
        <v>0</v>
      </c>
      <c r="X22" s="112">
        <v>1</v>
      </c>
      <c r="Y22" s="112">
        <v>0</v>
      </c>
      <c r="Z22" s="112">
        <v>0</v>
      </c>
      <c r="AC22" s="111">
        <v>0</v>
      </c>
      <c r="AD22" s="110">
        <v>0</v>
      </c>
    </row>
    <row r="23" spans="1:30">
      <c r="A23" s="113" t="s">
        <v>1504</v>
      </c>
      <c r="B23" s="113" t="s">
        <v>1607</v>
      </c>
      <c r="C23" s="113" t="s">
        <v>1490</v>
      </c>
      <c r="D23" s="113" t="s">
        <v>1530</v>
      </c>
      <c r="E23" s="113" t="s">
        <v>1532</v>
      </c>
      <c r="F23" s="113" t="s">
        <v>1607</v>
      </c>
      <c r="M23" s="113" t="s">
        <v>1606</v>
      </c>
      <c r="N23" s="113" t="s">
        <v>1602</v>
      </c>
      <c r="O23" s="109">
        <v>44756</v>
      </c>
      <c r="P23" s="109">
        <v>44771</v>
      </c>
      <c r="Q23" s="109">
        <v>44759</v>
      </c>
      <c r="R23" s="109">
        <v>44765</v>
      </c>
      <c r="S23" s="110">
        <v>30</v>
      </c>
      <c r="T23" s="110">
        <v>6</v>
      </c>
      <c r="U23" s="110">
        <v>5</v>
      </c>
      <c r="V23" s="111">
        <v>0</v>
      </c>
      <c r="W23" s="110">
        <v>0</v>
      </c>
      <c r="X23" s="112">
        <v>1</v>
      </c>
      <c r="Y23" s="112">
        <v>0</v>
      </c>
      <c r="Z23" s="112">
        <v>0</v>
      </c>
      <c r="AC23" s="111">
        <v>0</v>
      </c>
      <c r="AD23" s="110">
        <v>0</v>
      </c>
    </row>
    <row r="24" spans="1:30">
      <c r="A24" s="113" t="s">
        <v>1504</v>
      </c>
      <c r="B24" s="113" t="s">
        <v>1607</v>
      </c>
      <c r="C24" s="113" t="s">
        <v>1490</v>
      </c>
      <c r="D24" s="113" t="s">
        <v>1530</v>
      </c>
      <c r="E24" s="113" t="s">
        <v>1532</v>
      </c>
      <c r="F24" s="113" t="s">
        <v>1607</v>
      </c>
      <c r="M24" s="113" t="s">
        <v>1606</v>
      </c>
      <c r="N24" s="113" t="s">
        <v>1602</v>
      </c>
      <c r="O24" s="109">
        <v>44756</v>
      </c>
      <c r="P24" s="109">
        <v>44771</v>
      </c>
      <c r="Q24" s="109">
        <v>44766</v>
      </c>
      <c r="R24" s="109">
        <v>44772</v>
      </c>
      <c r="S24" s="110">
        <v>31</v>
      </c>
      <c r="T24" s="110">
        <v>7</v>
      </c>
      <c r="U24" s="110">
        <v>5</v>
      </c>
      <c r="V24" s="111">
        <v>0</v>
      </c>
      <c r="W24" s="110">
        <v>0</v>
      </c>
      <c r="X24" s="112">
        <v>1</v>
      </c>
      <c r="Y24" s="112">
        <v>0</v>
      </c>
      <c r="Z24" s="112">
        <v>0</v>
      </c>
      <c r="AC24" s="111">
        <v>0</v>
      </c>
      <c r="AD24" s="110">
        <v>0</v>
      </c>
    </row>
    <row r="25" spans="1:30">
      <c r="A25" s="113" t="s">
        <v>1389</v>
      </c>
      <c r="B25" s="113" t="s">
        <v>1543</v>
      </c>
      <c r="C25" s="113" t="s">
        <v>1490</v>
      </c>
      <c r="D25" s="113" t="s">
        <v>1542</v>
      </c>
      <c r="E25" s="113" t="s">
        <v>1543</v>
      </c>
      <c r="M25" s="113" t="s">
        <v>1608</v>
      </c>
      <c r="N25" s="113" t="s">
        <v>1602</v>
      </c>
      <c r="O25" s="109">
        <v>44743</v>
      </c>
      <c r="P25" s="109">
        <v>44757</v>
      </c>
      <c r="Q25" s="109">
        <v>44738</v>
      </c>
      <c r="R25" s="109">
        <v>44744</v>
      </c>
      <c r="S25" s="110">
        <v>27</v>
      </c>
      <c r="T25" s="110">
        <v>3</v>
      </c>
      <c r="U25" s="110">
        <v>0.5</v>
      </c>
      <c r="V25" s="111">
        <v>0</v>
      </c>
      <c r="W25" s="110">
        <v>0</v>
      </c>
      <c r="X25" s="112">
        <v>0.5</v>
      </c>
      <c r="Y25" s="112">
        <v>0</v>
      </c>
      <c r="Z25" s="112">
        <v>0</v>
      </c>
      <c r="AC25" s="111">
        <v>0</v>
      </c>
      <c r="AD25" s="110">
        <v>0</v>
      </c>
    </row>
    <row r="26" spans="1:30">
      <c r="A26" s="113" t="s">
        <v>1389</v>
      </c>
      <c r="B26" s="113" t="s">
        <v>1543</v>
      </c>
      <c r="C26" s="113" t="s">
        <v>1490</v>
      </c>
      <c r="D26" s="113" t="s">
        <v>1542</v>
      </c>
      <c r="E26" s="113" t="s">
        <v>1543</v>
      </c>
      <c r="M26" s="113" t="s">
        <v>1608</v>
      </c>
      <c r="N26" s="113" t="s">
        <v>1602</v>
      </c>
      <c r="O26" s="109">
        <v>44743</v>
      </c>
      <c r="P26" s="109">
        <v>44757</v>
      </c>
      <c r="Q26" s="109">
        <v>44745</v>
      </c>
      <c r="R26" s="109">
        <v>44751</v>
      </c>
      <c r="S26" s="110">
        <v>28</v>
      </c>
      <c r="T26" s="110">
        <v>4</v>
      </c>
      <c r="U26" s="110">
        <v>2.5</v>
      </c>
      <c r="V26" s="111">
        <v>0</v>
      </c>
      <c r="W26" s="110">
        <v>0</v>
      </c>
      <c r="X26" s="112">
        <v>0.5</v>
      </c>
      <c r="Y26" s="112">
        <v>0</v>
      </c>
      <c r="Z26" s="112">
        <v>0</v>
      </c>
      <c r="AC26" s="111">
        <v>0</v>
      </c>
      <c r="AD26" s="110">
        <v>0</v>
      </c>
    </row>
    <row r="27" spans="1:30">
      <c r="A27" s="113" t="s">
        <v>1389</v>
      </c>
      <c r="B27" s="113" t="s">
        <v>1543</v>
      </c>
      <c r="C27" s="113" t="s">
        <v>1490</v>
      </c>
      <c r="D27" s="113" t="s">
        <v>1542</v>
      </c>
      <c r="E27" s="113" t="s">
        <v>1543</v>
      </c>
      <c r="M27" s="113" t="s">
        <v>1608</v>
      </c>
      <c r="N27" s="113" t="s">
        <v>1602</v>
      </c>
      <c r="O27" s="109">
        <v>44743</v>
      </c>
      <c r="P27" s="109">
        <v>44757</v>
      </c>
      <c r="Q27" s="109">
        <v>44752</v>
      </c>
      <c r="R27" s="109">
        <v>44758</v>
      </c>
      <c r="S27" s="110">
        <v>29</v>
      </c>
      <c r="T27" s="110">
        <v>5</v>
      </c>
      <c r="U27" s="110">
        <v>2.5</v>
      </c>
      <c r="V27" s="111">
        <v>0</v>
      </c>
      <c r="W27" s="110">
        <v>0</v>
      </c>
      <c r="X27" s="112">
        <v>0.5</v>
      </c>
      <c r="Y27" s="112">
        <v>0</v>
      </c>
      <c r="Z27" s="112">
        <v>0</v>
      </c>
      <c r="AC27" s="111">
        <v>0</v>
      </c>
      <c r="AD27" s="110">
        <v>0</v>
      </c>
    </row>
    <row r="28" spans="1:30">
      <c r="A28" s="113" t="s">
        <v>1389</v>
      </c>
      <c r="B28" s="113" t="s">
        <v>1544</v>
      </c>
      <c r="C28" s="113" t="s">
        <v>1490</v>
      </c>
      <c r="D28" s="113" t="s">
        <v>1542</v>
      </c>
      <c r="E28" s="113" t="s">
        <v>1544</v>
      </c>
      <c r="M28" s="113" t="s">
        <v>1609</v>
      </c>
      <c r="N28" s="113" t="s">
        <v>1602</v>
      </c>
      <c r="O28" s="109">
        <v>44743</v>
      </c>
      <c r="P28" s="109">
        <v>44757</v>
      </c>
      <c r="Q28" s="109">
        <v>44738</v>
      </c>
      <c r="R28" s="109">
        <v>44744</v>
      </c>
      <c r="S28" s="110">
        <v>27</v>
      </c>
      <c r="T28" s="110">
        <v>3</v>
      </c>
      <c r="U28" s="110">
        <v>0.5</v>
      </c>
      <c r="V28" s="111">
        <v>0</v>
      </c>
      <c r="W28" s="110">
        <v>0</v>
      </c>
      <c r="X28" s="112">
        <v>0.5</v>
      </c>
      <c r="Y28" s="112">
        <v>0</v>
      </c>
      <c r="Z28" s="112">
        <v>0</v>
      </c>
      <c r="AC28" s="111">
        <v>0</v>
      </c>
      <c r="AD28" s="110">
        <v>0</v>
      </c>
    </row>
    <row r="29" spans="1:30">
      <c r="A29" s="113" t="s">
        <v>1389</v>
      </c>
      <c r="B29" s="113" t="s">
        <v>1544</v>
      </c>
      <c r="C29" s="113" t="s">
        <v>1490</v>
      </c>
      <c r="D29" s="113" t="s">
        <v>1542</v>
      </c>
      <c r="E29" s="113" t="s">
        <v>1544</v>
      </c>
      <c r="M29" s="113" t="s">
        <v>1609</v>
      </c>
      <c r="N29" s="113" t="s">
        <v>1602</v>
      </c>
      <c r="O29" s="109">
        <v>44743</v>
      </c>
      <c r="P29" s="109">
        <v>44757</v>
      </c>
      <c r="Q29" s="109">
        <v>44745</v>
      </c>
      <c r="R29" s="109">
        <v>44751</v>
      </c>
      <c r="S29" s="110">
        <v>28</v>
      </c>
      <c r="T29" s="110">
        <v>4</v>
      </c>
      <c r="U29" s="110">
        <v>2.5</v>
      </c>
      <c r="V29" s="111">
        <v>0</v>
      </c>
      <c r="W29" s="110">
        <v>0</v>
      </c>
      <c r="X29" s="112">
        <v>0.5</v>
      </c>
      <c r="Y29" s="112">
        <v>0</v>
      </c>
      <c r="Z29" s="112">
        <v>0</v>
      </c>
      <c r="AC29" s="111">
        <v>0</v>
      </c>
      <c r="AD29" s="110">
        <v>0</v>
      </c>
    </row>
    <row r="30" spans="1:30">
      <c r="A30" s="113" t="s">
        <v>1389</v>
      </c>
      <c r="B30" s="113" t="s">
        <v>1544</v>
      </c>
      <c r="C30" s="113" t="s">
        <v>1490</v>
      </c>
      <c r="D30" s="113" t="s">
        <v>1542</v>
      </c>
      <c r="E30" s="113" t="s">
        <v>1544</v>
      </c>
      <c r="M30" s="113" t="s">
        <v>1609</v>
      </c>
      <c r="N30" s="113" t="s">
        <v>1602</v>
      </c>
      <c r="O30" s="109">
        <v>44743</v>
      </c>
      <c r="P30" s="109">
        <v>44757</v>
      </c>
      <c r="Q30" s="109">
        <v>44752</v>
      </c>
      <c r="R30" s="109">
        <v>44758</v>
      </c>
      <c r="S30" s="110">
        <v>29</v>
      </c>
      <c r="T30" s="110">
        <v>5</v>
      </c>
      <c r="U30" s="110">
        <v>2.5</v>
      </c>
      <c r="V30" s="111">
        <v>0</v>
      </c>
      <c r="W30" s="110">
        <v>0</v>
      </c>
      <c r="X30" s="112">
        <v>0.5</v>
      </c>
      <c r="Y30" s="112">
        <v>0</v>
      </c>
      <c r="Z30" s="112">
        <v>0</v>
      </c>
      <c r="AC30" s="111">
        <v>0</v>
      </c>
      <c r="AD30" s="110">
        <v>0</v>
      </c>
    </row>
    <row r="31" spans="1:30">
      <c r="A31" s="113" t="s">
        <v>1389</v>
      </c>
      <c r="B31" s="113" t="s">
        <v>1545</v>
      </c>
      <c r="C31" s="113" t="s">
        <v>1490</v>
      </c>
      <c r="D31" s="113" t="s">
        <v>1542</v>
      </c>
      <c r="E31" s="113" t="s">
        <v>1545</v>
      </c>
      <c r="M31" s="113" t="s">
        <v>1514</v>
      </c>
      <c r="N31" s="113" t="s">
        <v>1602</v>
      </c>
      <c r="O31" s="109">
        <v>44760</v>
      </c>
      <c r="P31" s="109">
        <v>44773</v>
      </c>
      <c r="Q31" s="109">
        <v>44759</v>
      </c>
      <c r="R31" s="109">
        <v>44765</v>
      </c>
      <c r="S31" s="110">
        <v>30</v>
      </c>
      <c r="T31" s="110">
        <v>6</v>
      </c>
      <c r="U31" s="110">
        <v>5</v>
      </c>
      <c r="V31" s="111">
        <v>0</v>
      </c>
      <c r="W31" s="110">
        <v>0</v>
      </c>
      <c r="X31" s="112">
        <v>1</v>
      </c>
      <c r="Y31" s="112">
        <v>0</v>
      </c>
      <c r="Z31" s="112">
        <v>0</v>
      </c>
      <c r="AC31" s="111">
        <v>0</v>
      </c>
      <c r="AD31" s="110">
        <v>0</v>
      </c>
    </row>
    <row r="32" spans="1:30">
      <c r="A32" s="113" t="s">
        <v>1389</v>
      </c>
      <c r="B32" s="113" t="s">
        <v>1545</v>
      </c>
      <c r="C32" s="113" t="s">
        <v>1490</v>
      </c>
      <c r="D32" s="113" t="s">
        <v>1542</v>
      </c>
      <c r="E32" s="113" t="s">
        <v>1545</v>
      </c>
      <c r="M32" s="113" t="s">
        <v>1514</v>
      </c>
      <c r="N32" s="113" t="s">
        <v>1602</v>
      </c>
      <c r="O32" s="109">
        <v>44760</v>
      </c>
      <c r="P32" s="109">
        <v>44773</v>
      </c>
      <c r="Q32" s="109">
        <v>44766</v>
      </c>
      <c r="R32" s="109">
        <v>44772</v>
      </c>
      <c r="S32" s="110">
        <v>31</v>
      </c>
      <c r="T32" s="110">
        <v>7</v>
      </c>
      <c r="U32" s="110">
        <v>5</v>
      </c>
      <c r="V32" s="111">
        <v>0</v>
      </c>
      <c r="W32" s="110">
        <v>0</v>
      </c>
      <c r="X32" s="112">
        <v>1</v>
      </c>
      <c r="Y32" s="112">
        <v>0</v>
      </c>
      <c r="Z32" s="112">
        <v>0</v>
      </c>
      <c r="AC32" s="111">
        <v>0</v>
      </c>
      <c r="AD32" s="110">
        <v>0</v>
      </c>
    </row>
    <row r="33" spans="1:30">
      <c r="A33" s="113" t="s">
        <v>1389</v>
      </c>
      <c r="B33" s="113" t="s">
        <v>1545</v>
      </c>
      <c r="C33" s="113" t="s">
        <v>1490</v>
      </c>
      <c r="D33" s="113" t="s">
        <v>1542</v>
      </c>
      <c r="E33" s="113" t="s">
        <v>1545</v>
      </c>
      <c r="M33" s="113" t="s">
        <v>1514</v>
      </c>
      <c r="N33" s="113" t="s">
        <v>1602</v>
      </c>
      <c r="O33" s="109">
        <v>44760</v>
      </c>
      <c r="P33" s="109">
        <v>44773</v>
      </c>
      <c r="Q33" s="109">
        <v>44773</v>
      </c>
      <c r="R33" s="109">
        <v>44779</v>
      </c>
      <c r="S33" s="110">
        <v>32</v>
      </c>
      <c r="T33" s="110">
        <v>8</v>
      </c>
      <c r="U33" s="110">
        <v>0</v>
      </c>
      <c r="V33" s="111">
        <v>0</v>
      </c>
      <c r="W33" s="110">
        <v>0</v>
      </c>
      <c r="X33" s="112">
        <v>1</v>
      </c>
      <c r="Y33" s="112">
        <v>0</v>
      </c>
      <c r="Z33" s="112">
        <v>0</v>
      </c>
      <c r="AC33" s="111">
        <v>0</v>
      </c>
      <c r="AD33" s="110">
        <v>0</v>
      </c>
    </row>
    <row r="34" spans="1:30">
      <c r="A34" s="113" t="s">
        <v>1597</v>
      </c>
      <c r="B34" s="113" t="s">
        <v>1679</v>
      </c>
      <c r="C34" s="113" t="s">
        <v>1490</v>
      </c>
      <c r="D34" s="113" t="s">
        <v>1546</v>
      </c>
      <c r="E34" s="113" t="s">
        <v>1547</v>
      </c>
      <c r="F34" s="113" t="s">
        <v>1548</v>
      </c>
      <c r="G34" s="113" t="s">
        <v>1679</v>
      </c>
      <c r="M34" s="113" t="s">
        <v>1618</v>
      </c>
      <c r="N34" s="113" t="s">
        <v>1603</v>
      </c>
      <c r="O34" s="109">
        <v>44760</v>
      </c>
      <c r="P34" s="109">
        <v>44760</v>
      </c>
      <c r="Q34" s="109">
        <v>44759</v>
      </c>
      <c r="R34" s="109">
        <v>44765</v>
      </c>
      <c r="S34" s="110">
        <v>30</v>
      </c>
      <c r="T34" s="110">
        <v>6</v>
      </c>
      <c r="U34" s="110">
        <v>1</v>
      </c>
      <c r="V34" s="111">
        <v>0</v>
      </c>
      <c r="W34" s="110">
        <v>0</v>
      </c>
      <c r="X34" s="112">
        <v>1</v>
      </c>
      <c r="Y34" s="112">
        <v>0</v>
      </c>
      <c r="Z34" s="112">
        <v>0</v>
      </c>
      <c r="AC34" s="111">
        <v>0</v>
      </c>
      <c r="AD34" s="110">
        <v>0</v>
      </c>
    </row>
    <row r="35" spans="1:30">
      <c r="A35" s="113" t="s">
        <v>1597</v>
      </c>
      <c r="B35" s="113" t="s">
        <v>1690</v>
      </c>
      <c r="C35" s="113" t="s">
        <v>1490</v>
      </c>
      <c r="D35" s="113" t="s">
        <v>1546</v>
      </c>
      <c r="E35" s="113" t="s">
        <v>1547</v>
      </c>
      <c r="F35" s="113" t="s">
        <v>1548</v>
      </c>
      <c r="G35" s="113" t="s">
        <v>1690</v>
      </c>
      <c r="M35" s="113" t="s">
        <v>1629</v>
      </c>
      <c r="N35" s="113" t="s">
        <v>1603</v>
      </c>
      <c r="O35" s="109">
        <v>44764</v>
      </c>
      <c r="P35" s="109">
        <v>44764</v>
      </c>
      <c r="Q35" s="109">
        <v>44759</v>
      </c>
      <c r="R35" s="109">
        <v>44765</v>
      </c>
      <c r="S35" s="110">
        <v>30</v>
      </c>
      <c r="T35" s="110">
        <v>6</v>
      </c>
      <c r="U35" s="110">
        <v>1</v>
      </c>
      <c r="V35" s="111">
        <v>0</v>
      </c>
      <c r="W35" s="110">
        <v>0</v>
      </c>
      <c r="X35" s="112">
        <v>1</v>
      </c>
      <c r="Y35" s="112">
        <v>0</v>
      </c>
      <c r="Z35" s="112">
        <v>0</v>
      </c>
      <c r="AC35" s="111">
        <v>0</v>
      </c>
      <c r="AD35" s="110">
        <v>0</v>
      </c>
    </row>
    <row r="36" spans="1:30">
      <c r="A36" s="113" t="s">
        <v>1597</v>
      </c>
      <c r="B36" s="113" t="s">
        <v>1586</v>
      </c>
      <c r="C36" s="113" t="s">
        <v>1490</v>
      </c>
      <c r="D36" s="113" t="s">
        <v>1546</v>
      </c>
      <c r="E36" s="113" t="s">
        <v>1584</v>
      </c>
      <c r="F36" s="113" t="s">
        <v>1585</v>
      </c>
      <c r="G36" s="113" t="s">
        <v>1586</v>
      </c>
      <c r="M36" s="113" t="s">
        <v>1574</v>
      </c>
      <c r="N36" s="113" t="s">
        <v>1603</v>
      </c>
      <c r="O36" s="109">
        <v>44851</v>
      </c>
      <c r="P36" s="109">
        <v>44864</v>
      </c>
      <c r="Q36" s="109">
        <v>44850</v>
      </c>
      <c r="R36" s="109">
        <v>44856</v>
      </c>
      <c r="S36" s="110">
        <v>43</v>
      </c>
      <c r="T36" s="110">
        <v>19</v>
      </c>
      <c r="U36" s="110">
        <v>5</v>
      </c>
      <c r="V36" s="111">
        <v>0</v>
      </c>
      <c r="W36" s="110">
        <v>0</v>
      </c>
      <c r="X36" s="112">
        <v>1</v>
      </c>
      <c r="Y36" s="112">
        <v>0</v>
      </c>
      <c r="Z36" s="112">
        <v>0</v>
      </c>
      <c r="AC36" s="111">
        <v>0</v>
      </c>
      <c r="AD36" s="110">
        <v>0</v>
      </c>
    </row>
    <row r="37" spans="1:30">
      <c r="A37" s="113" t="s">
        <v>1597</v>
      </c>
      <c r="B37" s="113" t="s">
        <v>1586</v>
      </c>
      <c r="C37" s="113" t="s">
        <v>1490</v>
      </c>
      <c r="D37" s="113" t="s">
        <v>1546</v>
      </c>
      <c r="E37" s="113" t="s">
        <v>1584</v>
      </c>
      <c r="F37" s="113" t="s">
        <v>1585</v>
      </c>
      <c r="G37" s="113" t="s">
        <v>1586</v>
      </c>
      <c r="M37" s="113" t="s">
        <v>1574</v>
      </c>
      <c r="N37" s="113" t="s">
        <v>1603</v>
      </c>
      <c r="O37" s="109">
        <v>44851</v>
      </c>
      <c r="P37" s="109">
        <v>44864</v>
      </c>
      <c r="Q37" s="109">
        <v>44857</v>
      </c>
      <c r="R37" s="109">
        <v>44863</v>
      </c>
      <c r="S37" s="110">
        <v>44</v>
      </c>
      <c r="T37" s="110">
        <v>20</v>
      </c>
      <c r="U37" s="110">
        <v>5</v>
      </c>
      <c r="V37" s="111">
        <v>0</v>
      </c>
      <c r="W37" s="110">
        <v>0</v>
      </c>
      <c r="X37" s="112">
        <v>1</v>
      </c>
      <c r="Y37" s="112">
        <v>0</v>
      </c>
      <c r="Z37" s="112">
        <v>0</v>
      </c>
      <c r="AC37" s="111">
        <v>0</v>
      </c>
      <c r="AD37" s="110">
        <v>0</v>
      </c>
    </row>
    <row r="38" spans="1:30">
      <c r="A38" s="113" t="s">
        <v>1597</v>
      </c>
      <c r="B38" s="113" t="s">
        <v>1586</v>
      </c>
      <c r="C38" s="113" t="s">
        <v>1490</v>
      </c>
      <c r="D38" s="113" t="s">
        <v>1546</v>
      </c>
      <c r="E38" s="113" t="s">
        <v>1584</v>
      </c>
      <c r="F38" s="113" t="s">
        <v>1585</v>
      </c>
      <c r="G38" s="113" t="s">
        <v>1586</v>
      </c>
      <c r="M38" s="113" t="s">
        <v>1574</v>
      </c>
      <c r="N38" s="113" t="s">
        <v>1603</v>
      </c>
      <c r="O38" s="109">
        <v>44851</v>
      </c>
      <c r="P38" s="109">
        <v>44864</v>
      </c>
      <c r="Q38" s="109">
        <v>44864</v>
      </c>
      <c r="R38" s="109">
        <v>44870</v>
      </c>
      <c r="S38" s="110">
        <v>45</v>
      </c>
      <c r="T38" s="110">
        <v>21</v>
      </c>
      <c r="U38" s="110">
        <v>0</v>
      </c>
      <c r="V38" s="111">
        <v>0</v>
      </c>
      <c r="W38" s="110">
        <v>0</v>
      </c>
      <c r="X38" s="112">
        <v>1</v>
      </c>
      <c r="Y38" s="112">
        <v>0</v>
      </c>
      <c r="Z38" s="112">
        <v>0</v>
      </c>
      <c r="AC38" s="111">
        <v>0</v>
      </c>
      <c r="AD38" s="110">
        <v>0</v>
      </c>
    </row>
    <row r="39" spans="1:30">
      <c r="A39" s="113" t="s">
        <v>1597</v>
      </c>
      <c r="B39" s="113" t="s">
        <v>1587</v>
      </c>
      <c r="C39" s="113" t="s">
        <v>1490</v>
      </c>
      <c r="D39" s="113" t="s">
        <v>1546</v>
      </c>
      <c r="E39" s="113" t="s">
        <v>1584</v>
      </c>
      <c r="F39" s="113" t="s">
        <v>1585</v>
      </c>
      <c r="G39" s="113" t="s">
        <v>1587</v>
      </c>
      <c r="M39" s="113" t="s">
        <v>1575</v>
      </c>
      <c r="N39" s="113" t="s">
        <v>1603</v>
      </c>
      <c r="O39" s="109">
        <v>44866</v>
      </c>
      <c r="P39" s="109">
        <v>44869</v>
      </c>
      <c r="Q39" s="109">
        <v>44864</v>
      </c>
      <c r="R39" s="109">
        <v>44870</v>
      </c>
      <c r="S39" s="110">
        <v>45</v>
      </c>
      <c r="T39" s="110">
        <v>21</v>
      </c>
      <c r="U39" s="110">
        <v>4</v>
      </c>
      <c r="V39" s="111">
        <v>0</v>
      </c>
      <c r="W39" s="110">
        <v>0</v>
      </c>
      <c r="X39" s="112">
        <v>1</v>
      </c>
      <c r="Y39" s="112">
        <v>0</v>
      </c>
      <c r="Z39" s="112">
        <v>0</v>
      </c>
      <c r="AC39" s="111">
        <v>0</v>
      </c>
      <c r="AD39" s="110">
        <v>0</v>
      </c>
    </row>
    <row r="40" spans="1:30">
      <c r="A40" s="113" t="s">
        <v>1597</v>
      </c>
      <c r="B40" s="113" t="s">
        <v>1588</v>
      </c>
      <c r="C40" s="113" t="s">
        <v>1490</v>
      </c>
      <c r="D40" s="113" t="s">
        <v>1546</v>
      </c>
      <c r="E40" s="113" t="s">
        <v>1584</v>
      </c>
      <c r="F40" s="113" t="s">
        <v>1585</v>
      </c>
      <c r="G40" s="113" t="s">
        <v>1588</v>
      </c>
      <c r="M40" s="113" t="s">
        <v>1528</v>
      </c>
      <c r="N40" s="113" t="s">
        <v>1603</v>
      </c>
      <c r="O40" s="109">
        <v>44872</v>
      </c>
      <c r="P40" s="109">
        <v>44880</v>
      </c>
      <c r="Q40" s="109">
        <v>44871</v>
      </c>
      <c r="R40" s="109">
        <v>44877</v>
      </c>
      <c r="S40" s="110">
        <v>46</v>
      </c>
      <c r="T40" s="110">
        <v>22</v>
      </c>
      <c r="U40" s="110">
        <v>5</v>
      </c>
      <c r="V40" s="111">
        <v>0</v>
      </c>
      <c r="W40" s="110">
        <v>0</v>
      </c>
      <c r="X40" s="112">
        <v>1</v>
      </c>
      <c r="Y40" s="112">
        <v>0</v>
      </c>
      <c r="Z40" s="112">
        <v>0</v>
      </c>
      <c r="AC40" s="111">
        <v>0</v>
      </c>
      <c r="AD40" s="110">
        <v>0</v>
      </c>
    </row>
    <row r="41" spans="1:30">
      <c r="A41" s="113" t="s">
        <v>1597</v>
      </c>
      <c r="B41" s="113" t="s">
        <v>1588</v>
      </c>
      <c r="C41" s="113" t="s">
        <v>1490</v>
      </c>
      <c r="D41" s="113" t="s">
        <v>1546</v>
      </c>
      <c r="E41" s="113" t="s">
        <v>1584</v>
      </c>
      <c r="F41" s="113" t="s">
        <v>1585</v>
      </c>
      <c r="G41" s="113" t="s">
        <v>1588</v>
      </c>
      <c r="M41" s="113" t="s">
        <v>1528</v>
      </c>
      <c r="N41" s="113" t="s">
        <v>1603</v>
      </c>
      <c r="O41" s="109">
        <v>44872</v>
      </c>
      <c r="P41" s="109">
        <v>44880</v>
      </c>
      <c r="Q41" s="109">
        <v>44878</v>
      </c>
      <c r="R41" s="109">
        <v>44884</v>
      </c>
      <c r="S41" s="110">
        <v>47</v>
      </c>
      <c r="T41" s="110">
        <v>23</v>
      </c>
      <c r="U41" s="110">
        <v>2</v>
      </c>
      <c r="V41" s="111">
        <v>0</v>
      </c>
      <c r="W41" s="110">
        <v>0</v>
      </c>
      <c r="X41" s="112">
        <v>1</v>
      </c>
      <c r="Y41" s="112">
        <v>0</v>
      </c>
      <c r="Z41" s="112">
        <v>0</v>
      </c>
      <c r="AC41" s="111">
        <v>0</v>
      </c>
      <c r="AD41" s="110">
        <v>0</v>
      </c>
    </row>
    <row r="42" spans="1:30">
      <c r="A42" s="113" t="s">
        <v>1389</v>
      </c>
      <c r="B42" s="113" t="s">
        <v>1552</v>
      </c>
      <c r="C42" s="113" t="s">
        <v>1490</v>
      </c>
      <c r="D42" s="113" t="s">
        <v>1549</v>
      </c>
      <c r="E42" s="113" t="s">
        <v>1552</v>
      </c>
      <c r="M42" s="113" t="s">
        <v>1489</v>
      </c>
      <c r="N42" s="113" t="s">
        <v>1602</v>
      </c>
      <c r="O42" s="109">
        <v>44881</v>
      </c>
      <c r="P42" s="109">
        <v>44888</v>
      </c>
      <c r="Q42" s="109">
        <v>44878</v>
      </c>
      <c r="R42" s="109">
        <v>44884</v>
      </c>
      <c r="S42" s="110">
        <v>47</v>
      </c>
      <c r="T42" s="110">
        <v>23</v>
      </c>
      <c r="U42" s="110">
        <v>3</v>
      </c>
      <c r="V42" s="111">
        <v>0</v>
      </c>
      <c r="W42" s="110">
        <v>0</v>
      </c>
      <c r="X42" s="112">
        <v>1</v>
      </c>
      <c r="Y42" s="112">
        <v>0</v>
      </c>
      <c r="Z42" s="112">
        <v>0</v>
      </c>
      <c r="AC42" s="111">
        <v>0</v>
      </c>
      <c r="AD42" s="110">
        <v>0</v>
      </c>
    </row>
    <row r="43" spans="1:30">
      <c r="A43" s="113" t="s">
        <v>1389</v>
      </c>
      <c r="B43" s="113" t="s">
        <v>1552</v>
      </c>
      <c r="C43" s="113" t="s">
        <v>1490</v>
      </c>
      <c r="D43" s="113" t="s">
        <v>1549</v>
      </c>
      <c r="E43" s="113" t="s">
        <v>1552</v>
      </c>
      <c r="M43" s="113" t="s">
        <v>1489</v>
      </c>
      <c r="N43" s="113" t="s">
        <v>1602</v>
      </c>
      <c r="O43" s="109">
        <v>44881</v>
      </c>
      <c r="P43" s="109">
        <v>44888</v>
      </c>
      <c r="Q43" s="109">
        <v>44885</v>
      </c>
      <c r="R43" s="109">
        <v>44891</v>
      </c>
      <c r="S43" s="110">
        <v>48</v>
      </c>
      <c r="T43" s="110">
        <v>24</v>
      </c>
      <c r="U43" s="110">
        <v>3</v>
      </c>
      <c r="V43" s="111">
        <v>0</v>
      </c>
      <c r="W43" s="110">
        <v>0</v>
      </c>
      <c r="X43" s="112">
        <v>1</v>
      </c>
      <c r="Y43" s="112">
        <v>0</v>
      </c>
      <c r="Z43" s="112">
        <v>0</v>
      </c>
      <c r="AC43" s="111">
        <v>0</v>
      </c>
      <c r="AD43" s="110">
        <v>0</v>
      </c>
    </row>
    <row r="44" spans="1:30">
      <c r="A44" s="113" t="s">
        <v>1389</v>
      </c>
      <c r="B44" s="113" t="s">
        <v>1613</v>
      </c>
      <c r="C44" s="113" t="s">
        <v>1490</v>
      </c>
      <c r="D44" s="113" t="s">
        <v>1549</v>
      </c>
      <c r="E44" s="113" t="s">
        <v>1613</v>
      </c>
      <c r="M44" s="113" t="s">
        <v>1612</v>
      </c>
      <c r="N44" s="113" t="s">
        <v>1602</v>
      </c>
      <c r="O44" s="109">
        <v>44889</v>
      </c>
      <c r="P44" s="109">
        <v>44895</v>
      </c>
      <c r="Q44" s="109">
        <v>44885</v>
      </c>
      <c r="R44" s="109">
        <v>44891</v>
      </c>
      <c r="S44" s="110">
        <v>48</v>
      </c>
      <c r="T44" s="110">
        <v>24</v>
      </c>
      <c r="U44" s="110">
        <v>2</v>
      </c>
      <c r="V44" s="111">
        <v>0</v>
      </c>
      <c r="W44" s="110">
        <v>0</v>
      </c>
      <c r="X44" s="112">
        <v>1</v>
      </c>
      <c r="Y44" s="112">
        <v>0</v>
      </c>
      <c r="Z44" s="112">
        <v>0</v>
      </c>
      <c r="AC44" s="111">
        <v>0</v>
      </c>
      <c r="AD44" s="110">
        <v>0</v>
      </c>
    </row>
    <row r="45" spans="1:30">
      <c r="A45" s="113" t="s">
        <v>1389</v>
      </c>
      <c r="B45" s="113" t="s">
        <v>1613</v>
      </c>
      <c r="C45" s="113" t="s">
        <v>1490</v>
      </c>
      <c r="D45" s="113" t="s">
        <v>1549</v>
      </c>
      <c r="E45" s="113" t="s">
        <v>1613</v>
      </c>
      <c r="M45" s="113" t="s">
        <v>1612</v>
      </c>
      <c r="N45" s="113" t="s">
        <v>1602</v>
      </c>
      <c r="O45" s="109">
        <v>44889</v>
      </c>
      <c r="P45" s="109">
        <v>44895</v>
      </c>
      <c r="Q45" s="109">
        <v>44892</v>
      </c>
      <c r="R45" s="109">
        <v>44898</v>
      </c>
      <c r="S45" s="110">
        <v>49</v>
      </c>
      <c r="T45" s="110">
        <v>25</v>
      </c>
      <c r="U45" s="110">
        <v>3</v>
      </c>
      <c r="V45" s="111">
        <v>0</v>
      </c>
      <c r="W45" s="110">
        <v>0</v>
      </c>
      <c r="X45" s="112">
        <v>1</v>
      </c>
      <c r="Y45" s="112">
        <v>0</v>
      </c>
      <c r="Z45" s="112">
        <v>0</v>
      </c>
      <c r="AC45" s="111">
        <v>0</v>
      </c>
      <c r="AD45" s="110">
        <v>0</v>
      </c>
    </row>
    <row r="46" spans="1:30">
      <c r="A46" s="113" t="s">
        <v>1389</v>
      </c>
      <c r="B46" s="113" t="s">
        <v>1551</v>
      </c>
      <c r="C46" s="113" t="s">
        <v>1490</v>
      </c>
      <c r="D46" s="113" t="s">
        <v>1550</v>
      </c>
      <c r="E46" s="113" t="s">
        <v>1551</v>
      </c>
      <c r="M46" s="113" t="s">
        <v>1591</v>
      </c>
      <c r="N46" s="113" t="s">
        <v>1602</v>
      </c>
      <c r="O46" s="109">
        <v>44896</v>
      </c>
      <c r="P46" s="109">
        <v>44896</v>
      </c>
      <c r="Q46" s="109">
        <v>44892</v>
      </c>
      <c r="R46" s="109">
        <v>44898</v>
      </c>
      <c r="S46" s="110">
        <v>49</v>
      </c>
      <c r="T46" s="110">
        <v>25</v>
      </c>
      <c r="U46" s="110">
        <v>1</v>
      </c>
      <c r="V46" s="111">
        <v>0</v>
      </c>
      <c r="W46" s="110">
        <v>0</v>
      </c>
      <c r="X46" s="112">
        <v>1</v>
      </c>
      <c r="Y46" s="112">
        <v>0</v>
      </c>
      <c r="Z46" s="112">
        <v>0</v>
      </c>
      <c r="AC46" s="111">
        <v>0</v>
      </c>
      <c r="AD46" s="110">
        <v>0</v>
      </c>
    </row>
    <row r="47" spans="1:30">
      <c r="A47" s="113" t="s">
        <v>1389</v>
      </c>
      <c r="B47" s="113" t="s">
        <v>1590</v>
      </c>
      <c r="C47" s="113" t="s">
        <v>1490</v>
      </c>
      <c r="D47" s="113" t="s">
        <v>1589</v>
      </c>
      <c r="E47" s="113" t="s">
        <v>1590</v>
      </c>
      <c r="M47" s="113" t="s">
        <v>1573</v>
      </c>
      <c r="N47" s="113" t="s">
        <v>1602</v>
      </c>
      <c r="O47" s="109">
        <v>44896</v>
      </c>
      <c r="P47" s="109">
        <v>44926</v>
      </c>
      <c r="Q47" s="109">
        <v>44892</v>
      </c>
      <c r="R47" s="109">
        <v>44898</v>
      </c>
      <c r="S47" s="110">
        <v>49</v>
      </c>
      <c r="T47" s="110">
        <v>25</v>
      </c>
      <c r="U47" s="110">
        <v>2</v>
      </c>
      <c r="V47" s="111">
        <v>0</v>
      </c>
      <c r="W47" s="110">
        <v>0</v>
      </c>
      <c r="X47" s="112">
        <v>1</v>
      </c>
      <c r="Y47" s="112">
        <v>0</v>
      </c>
      <c r="Z47" s="112">
        <v>0</v>
      </c>
      <c r="AC47" s="111">
        <v>0</v>
      </c>
      <c r="AD47" s="110">
        <v>0</v>
      </c>
    </row>
    <row r="48" spans="1:30">
      <c r="A48" s="113" t="s">
        <v>1389</v>
      </c>
      <c r="B48" s="113" t="s">
        <v>1590</v>
      </c>
      <c r="C48" s="113" t="s">
        <v>1490</v>
      </c>
      <c r="D48" s="113" t="s">
        <v>1589</v>
      </c>
      <c r="E48" s="113" t="s">
        <v>1590</v>
      </c>
      <c r="M48" s="113" t="s">
        <v>1573</v>
      </c>
      <c r="N48" s="113" t="s">
        <v>1602</v>
      </c>
      <c r="O48" s="109">
        <v>44896</v>
      </c>
      <c r="P48" s="109">
        <v>44926</v>
      </c>
      <c r="Q48" s="109">
        <v>44899</v>
      </c>
      <c r="R48" s="109">
        <v>44905</v>
      </c>
      <c r="S48" s="110">
        <v>50</v>
      </c>
      <c r="T48" s="110">
        <v>26</v>
      </c>
      <c r="U48" s="110">
        <v>5</v>
      </c>
      <c r="V48" s="111">
        <v>0</v>
      </c>
      <c r="W48" s="110">
        <v>0</v>
      </c>
      <c r="X48" s="112">
        <v>1</v>
      </c>
      <c r="Y48" s="112">
        <v>0</v>
      </c>
      <c r="Z48" s="112">
        <v>0</v>
      </c>
      <c r="AC48" s="111">
        <v>0</v>
      </c>
      <c r="AD48" s="110">
        <v>0</v>
      </c>
    </row>
    <row r="49" spans="1:30">
      <c r="A49" s="113" t="s">
        <v>1389</v>
      </c>
      <c r="B49" s="113" t="s">
        <v>1590</v>
      </c>
      <c r="C49" s="113" t="s">
        <v>1490</v>
      </c>
      <c r="D49" s="113" t="s">
        <v>1589</v>
      </c>
      <c r="E49" s="113" t="s">
        <v>1590</v>
      </c>
      <c r="M49" s="113" t="s">
        <v>1573</v>
      </c>
      <c r="N49" s="113" t="s">
        <v>1602</v>
      </c>
      <c r="O49" s="109">
        <v>44896</v>
      </c>
      <c r="P49" s="109">
        <v>44926</v>
      </c>
      <c r="Q49" s="109">
        <v>44906</v>
      </c>
      <c r="R49" s="109">
        <v>44912</v>
      </c>
      <c r="S49" s="110">
        <v>51</v>
      </c>
      <c r="T49" s="110">
        <v>27</v>
      </c>
      <c r="U49" s="110">
        <v>5</v>
      </c>
      <c r="V49" s="111">
        <v>0</v>
      </c>
      <c r="W49" s="110">
        <v>0</v>
      </c>
      <c r="X49" s="112">
        <v>1</v>
      </c>
      <c r="Y49" s="112">
        <v>0</v>
      </c>
      <c r="Z49" s="112">
        <v>0</v>
      </c>
      <c r="AC49" s="111">
        <v>0</v>
      </c>
      <c r="AD49" s="110">
        <v>0</v>
      </c>
    </row>
    <row r="50" spans="1:30">
      <c r="A50" s="113" t="s">
        <v>1389</v>
      </c>
      <c r="B50" s="113" t="s">
        <v>1590</v>
      </c>
      <c r="C50" s="113" t="s">
        <v>1490</v>
      </c>
      <c r="D50" s="113" t="s">
        <v>1589</v>
      </c>
      <c r="E50" s="113" t="s">
        <v>1590</v>
      </c>
      <c r="M50" s="113" t="s">
        <v>1573</v>
      </c>
      <c r="N50" s="113" t="s">
        <v>1602</v>
      </c>
      <c r="O50" s="109">
        <v>44896</v>
      </c>
      <c r="P50" s="109">
        <v>44926</v>
      </c>
      <c r="Q50" s="109">
        <v>44913</v>
      </c>
      <c r="R50" s="109">
        <v>44919</v>
      </c>
      <c r="S50" s="110">
        <v>52</v>
      </c>
      <c r="T50" s="110">
        <v>28</v>
      </c>
      <c r="U50" s="110">
        <v>5</v>
      </c>
      <c r="V50" s="111">
        <v>0</v>
      </c>
      <c r="W50" s="110">
        <v>0</v>
      </c>
      <c r="X50" s="112">
        <v>1</v>
      </c>
      <c r="Y50" s="112">
        <v>0</v>
      </c>
      <c r="Z50" s="112">
        <v>0</v>
      </c>
      <c r="AC50" s="111">
        <v>0</v>
      </c>
      <c r="AD50" s="110">
        <v>0</v>
      </c>
    </row>
    <row r="51" spans="1:30">
      <c r="A51" s="113" t="s">
        <v>1389</v>
      </c>
      <c r="B51" s="113" t="s">
        <v>1590</v>
      </c>
      <c r="C51" s="113" t="s">
        <v>1490</v>
      </c>
      <c r="D51" s="113" t="s">
        <v>1589</v>
      </c>
      <c r="E51" s="113" t="s">
        <v>1590</v>
      </c>
      <c r="M51" s="113" t="s">
        <v>1573</v>
      </c>
      <c r="N51" s="113" t="s">
        <v>1602</v>
      </c>
      <c r="O51" s="109">
        <v>44896</v>
      </c>
      <c r="P51" s="109">
        <v>44926</v>
      </c>
      <c r="Q51" s="109">
        <v>44920</v>
      </c>
      <c r="R51" s="109">
        <v>44926</v>
      </c>
      <c r="S51" s="110">
        <v>53</v>
      </c>
      <c r="T51" s="110">
        <v>29</v>
      </c>
      <c r="U51" s="110">
        <v>5</v>
      </c>
      <c r="V51" s="111">
        <v>0</v>
      </c>
      <c r="W51" s="110">
        <v>0</v>
      </c>
      <c r="X51" s="112">
        <v>1</v>
      </c>
      <c r="Y51" s="112">
        <v>0</v>
      </c>
      <c r="Z51" s="112">
        <v>0</v>
      </c>
      <c r="AC51" s="111">
        <v>0</v>
      </c>
      <c r="AD51" s="110">
        <v>0</v>
      </c>
    </row>
    <row r="52" spans="1:30">
      <c r="A52" s="113" t="s">
        <v>1490</v>
      </c>
      <c r="B52" s="113" t="s">
        <v>1560</v>
      </c>
      <c r="C52" s="113" t="s">
        <v>1389</v>
      </c>
      <c r="D52" s="113" t="s">
        <v>1560</v>
      </c>
      <c r="M52" s="113" t="s">
        <v>1554</v>
      </c>
      <c r="N52" s="113" t="s">
        <v>1598</v>
      </c>
      <c r="O52" s="109">
        <v>44757</v>
      </c>
      <c r="P52" s="109">
        <v>44773</v>
      </c>
      <c r="Q52" s="109">
        <v>44752</v>
      </c>
      <c r="R52" s="109">
        <v>44758</v>
      </c>
      <c r="S52" s="110">
        <v>29</v>
      </c>
      <c r="T52" s="110">
        <v>5</v>
      </c>
      <c r="U52" s="110">
        <v>1</v>
      </c>
      <c r="V52" s="111">
        <v>0</v>
      </c>
      <c r="W52" s="110">
        <v>0</v>
      </c>
      <c r="X52" s="112">
        <v>1</v>
      </c>
      <c r="Y52" s="112">
        <v>0</v>
      </c>
      <c r="Z52" s="112">
        <v>0</v>
      </c>
      <c r="AC52" s="111">
        <v>0</v>
      </c>
      <c r="AD52" s="110">
        <v>0</v>
      </c>
    </row>
    <row r="53" spans="1:30">
      <c r="A53" s="113" t="s">
        <v>1490</v>
      </c>
      <c r="B53" s="113" t="s">
        <v>1560</v>
      </c>
      <c r="C53" s="113" t="s">
        <v>1389</v>
      </c>
      <c r="D53" s="113" t="s">
        <v>1560</v>
      </c>
      <c r="M53" s="113" t="s">
        <v>1554</v>
      </c>
      <c r="N53" s="113" t="s">
        <v>1598</v>
      </c>
      <c r="O53" s="109">
        <v>44757</v>
      </c>
      <c r="P53" s="109">
        <v>44773</v>
      </c>
      <c r="Q53" s="109">
        <v>44759</v>
      </c>
      <c r="R53" s="109">
        <v>44765</v>
      </c>
      <c r="S53" s="110">
        <v>30</v>
      </c>
      <c r="T53" s="110">
        <v>6</v>
      </c>
      <c r="U53" s="110">
        <v>5</v>
      </c>
      <c r="V53" s="111">
        <v>0</v>
      </c>
      <c r="W53" s="110">
        <v>0</v>
      </c>
      <c r="X53" s="112">
        <v>1</v>
      </c>
      <c r="Y53" s="112">
        <v>0</v>
      </c>
      <c r="Z53" s="112">
        <v>0</v>
      </c>
      <c r="AC53" s="111">
        <v>0</v>
      </c>
      <c r="AD53" s="110">
        <v>0</v>
      </c>
    </row>
    <row r="54" spans="1:30">
      <c r="A54" s="113" t="s">
        <v>1490</v>
      </c>
      <c r="B54" s="113" t="s">
        <v>1560</v>
      </c>
      <c r="C54" s="113" t="s">
        <v>1389</v>
      </c>
      <c r="D54" s="113" t="s">
        <v>1560</v>
      </c>
      <c r="M54" s="113" t="s">
        <v>1554</v>
      </c>
      <c r="N54" s="113" t="s">
        <v>1598</v>
      </c>
      <c r="O54" s="109">
        <v>44757</v>
      </c>
      <c r="P54" s="109">
        <v>44773</v>
      </c>
      <c r="Q54" s="109">
        <v>44766</v>
      </c>
      <c r="R54" s="109">
        <v>44772</v>
      </c>
      <c r="S54" s="110">
        <v>31</v>
      </c>
      <c r="T54" s="110">
        <v>7</v>
      </c>
      <c r="U54" s="110">
        <v>5</v>
      </c>
      <c r="V54" s="111">
        <v>0</v>
      </c>
      <c r="W54" s="110">
        <v>0</v>
      </c>
      <c r="X54" s="112">
        <v>1</v>
      </c>
      <c r="Y54" s="112">
        <v>0</v>
      </c>
      <c r="Z54" s="112">
        <v>0</v>
      </c>
      <c r="AC54" s="111">
        <v>0</v>
      </c>
      <c r="AD54" s="110">
        <v>0</v>
      </c>
    </row>
    <row r="55" spans="1:30">
      <c r="A55" s="113" t="s">
        <v>1490</v>
      </c>
      <c r="B55" s="113" t="s">
        <v>1560</v>
      </c>
      <c r="C55" s="113" t="s">
        <v>1389</v>
      </c>
      <c r="D55" s="113" t="s">
        <v>1560</v>
      </c>
      <c r="M55" s="113" t="s">
        <v>1554</v>
      </c>
      <c r="N55" s="113" t="s">
        <v>1598</v>
      </c>
      <c r="O55" s="109">
        <v>44757</v>
      </c>
      <c r="P55" s="109">
        <v>44773</v>
      </c>
      <c r="Q55" s="109">
        <v>44773</v>
      </c>
      <c r="R55" s="109">
        <v>44779</v>
      </c>
      <c r="S55" s="110">
        <v>32</v>
      </c>
      <c r="T55" s="110">
        <v>8</v>
      </c>
      <c r="U55" s="110">
        <v>0</v>
      </c>
      <c r="V55" s="111">
        <v>0</v>
      </c>
      <c r="W55" s="110">
        <v>0</v>
      </c>
      <c r="X55" s="112">
        <v>1</v>
      </c>
      <c r="Y55" s="112">
        <v>0</v>
      </c>
      <c r="Z55" s="112">
        <v>0</v>
      </c>
      <c r="AC55" s="111">
        <v>0</v>
      </c>
      <c r="AD55" s="110">
        <v>0</v>
      </c>
    </row>
    <row r="56" spans="1:30">
      <c r="A56" s="113" t="s">
        <v>1490</v>
      </c>
      <c r="B56" s="113" t="s">
        <v>1561</v>
      </c>
      <c r="C56" s="113" t="s">
        <v>1389</v>
      </c>
      <c r="D56" s="113" t="s">
        <v>1561</v>
      </c>
      <c r="M56" s="113" t="s">
        <v>1558</v>
      </c>
      <c r="N56" s="113" t="s">
        <v>1598</v>
      </c>
      <c r="O56" s="109">
        <v>44774</v>
      </c>
      <c r="P56" s="109">
        <v>44819</v>
      </c>
      <c r="Q56" s="109">
        <v>44773</v>
      </c>
      <c r="R56" s="109">
        <v>44779</v>
      </c>
      <c r="S56" s="110">
        <v>32</v>
      </c>
      <c r="T56" s="110">
        <v>8</v>
      </c>
      <c r="U56" s="110">
        <v>5</v>
      </c>
      <c r="V56" s="111">
        <v>0</v>
      </c>
      <c r="W56" s="110">
        <v>0</v>
      </c>
      <c r="X56" s="112">
        <v>1</v>
      </c>
      <c r="Y56" s="112">
        <v>0</v>
      </c>
      <c r="Z56" s="112">
        <v>0</v>
      </c>
      <c r="AC56" s="111">
        <v>0</v>
      </c>
      <c r="AD56" s="110">
        <v>0</v>
      </c>
    </row>
    <row r="57" spans="1:30">
      <c r="A57" s="113" t="s">
        <v>1490</v>
      </c>
      <c r="B57" s="113" t="s">
        <v>1561</v>
      </c>
      <c r="C57" s="113" t="s">
        <v>1389</v>
      </c>
      <c r="D57" s="113" t="s">
        <v>1561</v>
      </c>
      <c r="M57" s="113" t="s">
        <v>1558</v>
      </c>
      <c r="N57" s="113" t="s">
        <v>1598</v>
      </c>
      <c r="O57" s="109">
        <v>44774</v>
      </c>
      <c r="P57" s="109">
        <v>44819</v>
      </c>
      <c r="Q57" s="109">
        <v>44780</v>
      </c>
      <c r="R57" s="109">
        <v>44786</v>
      </c>
      <c r="S57" s="110">
        <v>33</v>
      </c>
      <c r="T57" s="110">
        <v>9</v>
      </c>
      <c r="U57" s="110">
        <v>5</v>
      </c>
      <c r="V57" s="111">
        <v>0</v>
      </c>
      <c r="W57" s="110">
        <v>0</v>
      </c>
      <c r="X57" s="112">
        <v>1</v>
      </c>
      <c r="Y57" s="112">
        <v>0</v>
      </c>
      <c r="Z57" s="112">
        <v>0</v>
      </c>
      <c r="AC57" s="111">
        <v>0</v>
      </c>
      <c r="AD57" s="110">
        <v>0</v>
      </c>
    </row>
    <row r="58" spans="1:30">
      <c r="A58" s="113" t="s">
        <v>1490</v>
      </c>
      <c r="B58" s="113" t="s">
        <v>1561</v>
      </c>
      <c r="C58" s="113" t="s">
        <v>1389</v>
      </c>
      <c r="D58" s="113" t="s">
        <v>1561</v>
      </c>
      <c r="M58" s="113" t="s">
        <v>1558</v>
      </c>
      <c r="N58" s="113" t="s">
        <v>1598</v>
      </c>
      <c r="O58" s="109">
        <v>44774</v>
      </c>
      <c r="P58" s="109">
        <v>44819</v>
      </c>
      <c r="Q58" s="109">
        <v>44787</v>
      </c>
      <c r="R58" s="109">
        <v>44793</v>
      </c>
      <c r="S58" s="110">
        <v>34</v>
      </c>
      <c r="T58" s="110">
        <v>10</v>
      </c>
      <c r="U58" s="110">
        <v>4</v>
      </c>
      <c r="V58" s="111">
        <v>0</v>
      </c>
      <c r="W58" s="110">
        <v>0</v>
      </c>
      <c r="X58" s="112">
        <v>1</v>
      </c>
      <c r="Y58" s="112">
        <v>0</v>
      </c>
      <c r="Z58" s="112">
        <v>0</v>
      </c>
      <c r="AC58" s="111">
        <v>0</v>
      </c>
      <c r="AD58" s="110">
        <v>0</v>
      </c>
    </row>
    <row r="59" spans="1:30">
      <c r="A59" s="113" t="s">
        <v>1490</v>
      </c>
      <c r="B59" s="113" t="s">
        <v>1561</v>
      </c>
      <c r="C59" s="113" t="s">
        <v>1389</v>
      </c>
      <c r="D59" s="113" t="s">
        <v>1561</v>
      </c>
      <c r="M59" s="113" t="s">
        <v>1558</v>
      </c>
      <c r="N59" s="113" t="s">
        <v>1598</v>
      </c>
      <c r="O59" s="109">
        <v>44774</v>
      </c>
      <c r="P59" s="109">
        <v>44819</v>
      </c>
      <c r="Q59" s="109">
        <v>44794</v>
      </c>
      <c r="R59" s="109">
        <v>44800</v>
      </c>
      <c r="S59" s="110">
        <v>35</v>
      </c>
      <c r="T59" s="110">
        <v>11</v>
      </c>
      <c r="U59" s="110">
        <v>5</v>
      </c>
      <c r="V59" s="111">
        <v>0</v>
      </c>
      <c r="W59" s="110">
        <v>0</v>
      </c>
      <c r="X59" s="112">
        <v>1</v>
      </c>
      <c r="Y59" s="112">
        <v>0</v>
      </c>
      <c r="Z59" s="112">
        <v>0</v>
      </c>
      <c r="AC59" s="111">
        <v>0</v>
      </c>
      <c r="AD59" s="110">
        <v>0</v>
      </c>
    </row>
    <row r="60" spans="1:30">
      <c r="A60" s="113" t="s">
        <v>1490</v>
      </c>
      <c r="B60" s="113" t="s">
        <v>1561</v>
      </c>
      <c r="C60" s="113" t="s">
        <v>1389</v>
      </c>
      <c r="D60" s="113" t="s">
        <v>1561</v>
      </c>
      <c r="M60" s="113" t="s">
        <v>1558</v>
      </c>
      <c r="N60" s="113" t="s">
        <v>1598</v>
      </c>
      <c r="O60" s="109">
        <v>44774</v>
      </c>
      <c r="P60" s="109">
        <v>44819</v>
      </c>
      <c r="Q60" s="109">
        <v>44801</v>
      </c>
      <c r="R60" s="109">
        <v>44807</v>
      </c>
      <c r="S60" s="110">
        <v>36</v>
      </c>
      <c r="T60" s="110">
        <v>12</v>
      </c>
      <c r="U60" s="110">
        <v>5</v>
      </c>
      <c r="V60" s="111">
        <v>0</v>
      </c>
      <c r="W60" s="110">
        <v>0</v>
      </c>
      <c r="X60" s="112">
        <v>1</v>
      </c>
      <c r="Y60" s="112">
        <v>0</v>
      </c>
      <c r="Z60" s="112">
        <v>0</v>
      </c>
      <c r="AC60" s="111">
        <v>0</v>
      </c>
      <c r="AD60" s="110">
        <v>0</v>
      </c>
    </row>
    <row r="61" spans="1:30">
      <c r="A61" s="113" t="s">
        <v>1490</v>
      </c>
      <c r="B61" s="113" t="s">
        <v>1561</v>
      </c>
      <c r="C61" s="113" t="s">
        <v>1389</v>
      </c>
      <c r="D61" s="113" t="s">
        <v>1561</v>
      </c>
      <c r="M61" s="113" t="s">
        <v>1558</v>
      </c>
      <c r="N61" s="113" t="s">
        <v>1598</v>
      </c>
      <c r="O61" s="109">
        <v>44774</v>
      </c>
      <c r="P61" s="109">
        <v>44819</v>
      </c>
      <c r="Q61" s="109">
        <v>44808</v>
      </c>
      <c r="R61" s="109">
        <v>44814</v>
      </c>
      <c r="S61" s="110">
        <v>37</v>
      </c>
      <c r="T61" s="110">
        <v>13</v>
      </c>
      <c r="U61" s="110">
        <v>4</v>
      </c>
      <c r="V61" s="111">
        <v>0</v>
      </c>
      <c r="W61" s="110">
        <v>0</v>
      </c>
      <c r="X61" s="112">
        <v>1</v>
      </c>
      <c r="Y61" s="112">
        <v>0</v>
      </c>
      <c r="Z61" s="112">
        <v>0</v>
      </c>
      <c r="AC61" s="111">
        <v>0</v>
      </c>
      <c r="AD61" s="110">
        <v>0</v>
      </c>
    </row>
    <row r="62" spans="1:30">
      <c r="A62" s="113" t="s">
        <v>1490</v>
      </c>
      <c r="B62" s="113" t="s">
        <v>1561</v>
      </c>
      <c r="C62" s="113" t="s">
        <v>1389</v>
      </c>
      <c r="D62" s="113" t="s">
        <v>1561</v>
      </c>
      <c r="M62" s="113" t="s">
        <v>1558</v>
      </c>
      <c r="N62" s="113" t="s">
        <v>1598</v>
      </c>
      <c r="O62" s="109">
        <v>44774</v>
      </c>
      <c r="P62" s="109">
        <v>44819</v>
      </c>
      <c r="Q62" s="109">
        <v>44815</v>
      </c>
      <c r="R62" s="109">
        <v>44821</v>
      </c>
      <c r="S62" s="110">
        <v>38</v>
      </c>
      <c r="T62" s="110">
        <v>14</v>
      </c>
      <c r="U62" s="110">
        <v>3</v>
      </c>
      <c r="V62" s="111">
        <v>0</v>
      </c>
      <c r="W62" s="110">
        <v>0</v>
      </c>
      <c r="X62" s="112">
        <v>1</v>
      </c>
      <c r="Y62" s="112">
        <v>0</v>
      </c>
      <c r="Z62" s="112">
        <v>0</v>
      </c>
      <c r="AC62" s="111">
        <v>0</v>
      </c>
      <c r="AD62" s="110">
        <v>0</v>
      </c>
    </row>
    <row r="63" spans="1:30">
      <c r="A63" s="113" t="s">
        <v>1490</v>
      </c>
      <c r="B63" s="113" t="s">
        <v>1562</v>
      </c>
      <c r="C63" s="113" t="s">
        <v>1389</v>
      </c>
      <c r="D63" s="113" t="s">
        <v>1562</v>
      </c>
      <c r="M63" s="113" t="s">
        <v>1559</v>
      </c>
      <c r="N63" s="113" t="s">
        <v>1598</v>
      </c>
      <c r="O63" s="109">
        <v>44805</v>
      </c>
      <c r="P63" s="109">
        <v>44819</v>
      </c>
      <c r="Q63" s="109">
        <v>44801</v>
      </c>
      <c r="R63" s="109">
        <v>44807</v>
      </c>
      <c r="S63" s="110">
        <v>36</v>
      </c>
      <c r="T63" s="110">
        <v>12</v>
      </c>
      <c r="U63" s="110">
        <v>2</v>
      </c>
      <c r="V63" s="111">
        <v>0</v>
      </c>
      <c r="W63" s="110">
        <v>0</v>
      </c>
      <c r="X63" s="112">
        <v>1</v>
      </c>
      <c r="Y63" s="112">
        <v>0</v>
      </c>
      <c r="Z63" s="112">
        <v>0</v>
      </c>
      <c r="AC63" s="111">
        <v>0</v>
      </c>
      <c r="AD63" s="110">
        <v>0</v>
      </c>
    </row>
    <row r="64" spans="1:30">
      <c r="A64" s="113" t="s">
        <v>1490</v>
      </c>
      <c r="B64" s="113" t="s">
        <v>1562</v>
      </c>
      <c r="C64" s="113" t="s">
        <v>1389</v>
      </c>
      <c r="D64" s="113" t="s">
        <v>1562</v>
      </c>
      <c r="M64" s="113" t="s">
        <v>1559</v>
      </c>
      <c r="N64" s="113" t="s">
        <v>1598</v>
      </c>
      <c r="O64" s="109">
        <v>44805</v>
      </c>
      <c r="P64" s="109">
        <v>44819</v>
      </c>
      <c r="Q64" s="109">
        <v>44808</v>
      </c>
      <c r="R64" s="109">
        <v>44814</v>
      </c>
      <c r="S64" s="110">
        <v>37</v>
      </c>
      <c r="T64" s="110">
        <v>13</v>
      </c>
      <c r="U64" s="110">
        <v>4</v>
      </c>
      <c r="V64" s="111">
        <v>0</v>
      </c>
      <c r="W64" s="110">
        <v>0</v>
      </c>
      <c r="X64" s="112">
        <v>1</v>
      </c>
      <c r="Y64" s="112">
        <v>0</v>
      </c>
      <c r="Z64" s="112">
        <v>0</v>
      </c>
      <c r="AC64" s="111">
        <v>0</v>
      </c>
      <c r="AD64" s="110">
        <v>0</v>
      </c>
    </row>
    <row r="65" spans="1:30">
      <c r="A65" s="113" t="s">
        <v>1490</v>
      </c>
      <c r="B65" s="113" t="s">
        <v>1562</v>
      </c>
      <c r="C65" s="113" t="s">
        <v>1389</v>
      </c>
      <c r="D65" s="113" t="s">
        <v>1562</v>
      </c>
      <c r="M65" s="113" t="s">
        <v>1559</v>
      </c>
      <c r="N65" s="113" t="s">
        <v>1598</v>
      </c>
      <c r="O65" s="109">
        <v>44805</v>
      </c>
      <c r="P65" s="109">
        <v>44819</v>
      </c>
      <c r="Q65" s="109">
        <v>44815</v>
      </c>
      <c r="R65" s="109">
        <v>44821</v>
      </c>
      <c r="S65" s="110">
        <v>38</v>
      </c>
      <c r="T65" s="110">
        <v>14</v>
      </c>
      <c r="U65" s="110">
        <v>3</v>
      </c>
      <c r="V65" s="111">
        <v>0</v>
      </c>
      <c r="W65" s="110">
        <v>0</v>
      </c>
      <c r="X65" s="112">
        <v>1</v>
      </c>
      <c r="Y65" s="112">
        <v>0</v>
      </c>
      <c r="Z65" s="112">
        <v>0</v>
      </c>
      <c r="AC65" s="111">
        <v>0</v>
      </c>
      <c r="AD65" s="110">
        <v>0</v>
      </c>
    </row>
    <row r="66" spans="1:30">
      <c r="A66" s="113" t="s">
        <v>1490</v>
      </c>
      <c r="B66" s="113" t="s">
        <v>1563</v>
      </c>
      <c r="C66" s="113" t="s">
        <v>1389</v>
      </c>
      <c r="D66" s="113" t="s">
        <v>1563</v>
      </c>
      <c r="M66" s="113" t="s">
        <v>1556</v>
      </c>
      <c r="N66" s="113" t="s">
        <v>1598</v>
      </c>
      <c r="O66" s="109">
        <v>44820</v>
      </c>
      <c r="P66" s="109">
        <v>44834</v>
      </c>
      <c r="Q66" s="109">
        <v>44815</v>
      </c>
      <c r="R66" s="109">
        <v>44821</v>
      </c>
      <c r="S66" s="110">
        <v>38</v>
      </c>
      <c r="T66" s="110">
        <v>14</v>
      </c>
      <c r="U66" s="110">
        <v>1</v>
      </c>
      <c r="V66" s="111">
        <v>0</v>
      </c>
      <c r="W66" s="110">
        <v>0</v>
      </c>
      <c r="X66" s="112">
        <v>1</v>
      </c>
      <c r="Y66" s="112">
        <v>0</v>
      </c>
      <c r="Z66" s="112">
        <v>0</v>
      </c>
      <c r="AC66" s="111">
        <v>0</v>
      </c>
      <c r="AD66" s="110">
        <v>0</v>
      </c>
    </row>
    <row r="67" spans="1:30">
      <c r="A67" s="113" t="s">
        <v>1490</v>
      </c>
      <c r="B67" s="113" t="s">
        <v>1563</v>
      </c>
      <c r="C67" s="113" t="s">
        <v>1389</v>
      </c>
      <c r="D67" s="113" t="s">
        <v>1563</v>
      </c>
      <c r="M67" s="113" t="s">
        <v>1556</v>
      </c>
      <c r="N67" s="113" t="s">
        <v>1598</v>
      </c>
      <c r="O67" s="109">
        <v>44820</v>
      </c>
      <c r="P67" s="109">
        <v>44834</v>
      </c>
      <c r="Q67" s="109">
        <v>44822</v>
      </c>
      <c r="R67" s="109">
        <v>44828</v>
      </c>
      <c r="S67" s="110">
        <v>39</v>
      </c>
      <c r="T67" s="110">
        <v>15</v>
      </c>
      <c r="U67" s="110">
        <v>5</v>
      </c>
      <c r="V67" s="111">
        <v>0</v>
      </c>
      <c r="W67" s="110">
        <v>0</v>
      </c>
      <c r="X67" s="112">
        <v>1</v>
      </c>
      <c r="Y67" s="112">
        <v>0</v>
      </c>
      <c r="Z67" s="112">
        <v>0</v>
      </c>
      <c r="AC67" s="111">
        <v>0</v>
      </c>
      <c r="AD67" s="110">
        <v>0</v>
      </c>
    </row>
    <row r="68" spans="1:30">
      <c r="A68" s="113" t="s">
        <v>1490</v>
      </c>
      <c r="B68" s="113" t="s">
        <v>1563</v>
      </c>
      <c r="C68" s="113" t="s">
        <v>1389</v>
      </c>
      <c r="D68" s="113" t="s">
        <v>1563</v>
      </c>
      <c r="M68" s="113" t="s">
        <v>1556</v>
      </c>
      <c r="N68" s="113" t="s">
        <v>1598</v>
      </c>
      <c r="O68" s="109">
        <v>44820</v>
      </c>
      <c r="P68" s="109">
        <v>44834</v>
      </c>
      <c r="Q68" s="109">
        <v>44829</v>
      </c>
      <c r="R68" s="109">
        <v>44835</v>
      </c>
      <c r="S68" s="110">
        <v>40</v>
      </c>
      <c r="T68" s="110">
        <v>16</v>
      </c>
      <c r="U68" s="110">
        <v>5</v>
      </c>
      <c r="V68" s="111">
        <v>0</v>
      </c>
      <c r="W68" s="110">
        <v>0</v>
      </c>
      <c r="X68" s="112">
        <v>1</v>
      </c>
      <c r="Y68" s="112">
        <v>0</v>
      </c>
      <c r="Z68" s="112">
        <v>0</v>
      </c>
      <c r="AC68" s="111">
        <v>0</v>
      </c>
      <c r="AD68" s="110">
        <v>0</v>
      </c>
    </row>
    <row r="69" spans="1:30">
      <c r="A69" s="113" t="s">
        <v>1490</v>
      </c>
      <c r="B69" s="113" t="s">
        <v>1564</v>
      </c>
      <c r="C69" s="113" t="s">
        <v>1504</v>
      </c>
      <c r="D69" s="113" t="s">
        <v>1564</v>
      </c>
      <c r="M69" s="113" t="s">
        <v>1554</v>
      </c>
      <c r="N69" s="113" t="s">
        <v>1599</v>
      </c>
      <c r="O69" s="109">
        <v>44805</v>
      </c>
      <c r="P69" s="109">
        <v>44819</v>
      </c>
      <c r="Q69" s="109">
        <v>44801</v>
      </c>
      <c r="R69" s="109">
        <v>44807</v>
      </c>
      <c r="S69" s="110">
        <v>36</v>
      </c>
      <c r="T69" s="110">
        <v>12</v>
      </c>
      <c r="U69" s="110">
        <v>2</v>
      </c>
      <c r="V69" s="111">
        <v>0</v>
      </c>
      <c r="W69" s="110">
        <v>0</v>
      </c>
      <c r="X69" s="112">
        <v>1</v>
      </c>
      <c r="Y69" s="112">
        <v>0</v>
      </c>
      <c r="Z69" s="112">
        <v>0</v>
      </c>
      <c r="AC69" s="111">
        <v>0</v>
      </c>
      <c r="AD69" s="110">
        <v>0</v>
      </c>
    </row>
    <row r="70" spans="1:30">
      <c r="A70" s="113" t="s">
        <v>1490</v>
      </c>
      <c r="B70" s="113" t="s">
        <v>1564</v>
      </c>
      <c r="C70" s="113" t="s">
        <v>1504</v>
      </c>
      <c r="D70" s="113" t="s">
        <v>1564</v>
      </c>
      <c r="M70" s="113" t="s">
        <v>1554</v>
      </c>
      <c r="N70" s="113" t="s">
        <v>1599</v>
      </c>
      <c r="O70" s="109">
        <v>44805</v>
      </c>
      <c r="P70" s="109">
        <v>44819</v>
      </c>
      <c r="Q70" s="109">
        <v>44808</v>
      </c>
      <c r="R70" s="109">
        <v>44814</v>
      </c>
      <c r="S70" s="110">
        <v>37</v>
      </c>
      <c r="T70" s="110">
        <v>13</v>
      </c>
      <c r="U70" s="110">
        <v>4</v>
      </c>
      <c r="V70" s="111">
        <v>0</v>
      </c>
      <c r="W70" s="110">
        <v>0</v>
      </c>
      <c r="X70" s="112">
        <v>1</v>
      </c>
      <c r="Y70" s="112">
        <v>0</v>
      </c>
      <c r="Z70" s="112">
        <v>0</v>
      </c>
      <c r="AC70" s="111">
        <v>0</v>
      </c>
      <c r="AD70" s="110">
        <v>0</v>
      </c>
    </row>
    <row r="71" spans="1:30">
      <c r="A71" s="113" t="s">
        <v>1490</v>
      </c>
      <c r="B71" s="113" t="s">
        <v>1564</v>
      </c>
      <c r="C71" s="113" t="s">
        <v>1504</v>
      </c>
      <c r="D71" s="113" t="s">
        <v>1564</v>
      </c>
      <c r="M71" s="113" t="s">
        <v>1554</v>
      </c>
      <c r="N71" s="113" t="s">
        <v>1599</v>
      </c>
      <c r="O71" s="109">
        <v>44805</v>
      </c>
      <c r="P71" s="109">
        <v>44819</v>
      </c>
      <c r="Q71" s="109">
        <v>44815</v>
      </c>
      <c r="R71" s="109">
        <v>44821</v>
      </c>
      <c r="S71" s="110">
        <v>38</v>
      </c>
      <c r="T71" s="110">
        <v>14</v>
      </c>
      <c r="U71" s="110">
        <v>3</v>
      </c>
      <c r="V71" s="111">
        <v>0</v>
      </c>
      <c r="W71" s="110">
        <v>0</v>
      </c>
      <c r="X71" s="112">
        <v>1</v>
      </c>
      <c r="Y71" s="112">
        <v>0</v>
      </c>
      <c r="Z71" s="112">
        <v>0</v>
      </c>
      <c r="AC71" s="111">
        <v>0</v>
      </c>
      <c r="AD71" s="110">
        <v>0</v>
      </c>
    </row>
    <row r="72" spans="1:30">
      <c r="A72" s="113" t="s">
        <v>1490</v>
      </c>
      <c r="B72" s="113" t="s">
        <v>1565</v>
      </c>
      <c r="C72" s="113" t="s">
        <v>1504</v>
      </c>
      <c r="D72" s="113" t="s">
        <v>1565</v>
      </c>
      <c r="M72" s="113" t="s">
        <v>1555</v>
      </c>
      <c r="N72" s="113" t="s">
        <v>1599</v>
      </c>
      <c r="O72" s="109">
        <v>44820</v>
      </c>
      <c r="P72" s="109">
        <v>44834</v>
      </c>
      <c r="Q72" s="109">
        <v>44815</v>
      </c>
      <c r="R72" s="109">
        <v>44821</v>
      </c>
      <c r="S72" s="110">
        <v>38</v>
      </c>
      <c r="T72" s="110">
        <v>14</v>
      </c>
      <c r="U72" s="110">
        <v>1</v>
      </c>
      <c r="V72" s="111">
        <v>0</v>
      </c>
      <c r="W72" s="110">
        <v>0</v>
      </c>
      <c r="X72" s="112">
        <v>1</v>
      </c>
      <c r="Y72" s="112">
        <v>0</v>
      </c>
      <c r="Z72" s="112">
        <v>0</v>
      </c>
      <c r="AC72" s="111">
        <v>0</v>
      </c>
      <c r="AD72" s="110">
        <v>0</v>
      </c>
    </row>
    <row r="73" spans="1:30">
      <c r="A73" s="113" t="s">
        <v>1490</v>
      </c>
      <c r="B73" s="113" t="s">
        <v>1565</v>
      </c>
      <c r="C73" s="113" t="s">
        <v>1504</v>
      </c>
      <c r="D73" s="113" t="s">
        <v>1565</v>
      </c>
      <c r="M73" s="113" t="s">
        <v>1555</v>
      </c>
      <c r="N73" s="113" t="s">
        <v>1599</v>
      </c>
      <c r="O73" s="109">
        <v>44820</v>
      </c>
      <c r="P73" s="109">
        <v>44834</v>
      </c>
      <c r="Q73" s="109">
        <v>44822</v>
      </c>
      <c r="R73" s="109">
        <v>44828</v>
      </c>
      <c r="S73" s="110">
        <v>39</v>
      </c>
      <c r="T73" s="110">
        <v>15</v>
      </c>
      <c r="U73" s="110">
        <v>5</v>
      </c>
      <c r="V73" s="111">
        <v>0</v>
      </c>
      <c r="W73" s="110">
        <v>0</v>
      </c>
      <c r="X73" s="112">
        <v>1</v>
      </c>
      <c r="Y73" s="112">
        <v>0</v>
      </c>
      <c r="Z73" s="112">
        <v>0</v>
      </c>
      <c r="AC73" s="111">
        <v>0</v>
      </c>
      <c r="AD73" s="110">
        <v>0</v>
      </c>
    </row>
    <row r="74" spans="1:30">
      <c r="A74" s="113" t="s">
        <v>1490</v>
      </c>
      <c r="B74" s="113" t="s">
        <v>1565</v>
      </c>
      <c r="C74" s="113" t="s">
        <v>1504</v>
      </c>
      <c r="D74" s="113" t="s">
        <v>1565</v>
      </c>
      <c r="M74" s="113" t="s">
        <v>1555</v>
      </c>
      <c r="N74" s="113" t="s">
        <v>1599</v>
      </c>
      <c r="O74" s="109">
        <v>44820</v>
      </c>
      <c r="P74" s="109">
        <v>44834</v>
      </c>
      <c r="Q74" s="109">
        <v>44829</v>
      </c>
      <c r="R74" s="109">
        <v>44835</v>
      </c>
      <c r="S74" s="110">
        <v>40</v>
      </c>
      <c r="T74" s="110">
        <v>16</v>
      </c>
      <c r="U74" s="110">
        <v>5</v>
      </c>
      <c r="V74" s="111">
        <v>0</v>
      </c>
      <c r="W74" s="110">
        <v>0</v>
      </c>
      <c r="X74" s="112">
        <v>1</v>
      </c>
      <c r="Y74" s="112">
        <v>0</v>
      </c>
      <c r="Z74" s="112">
        <v>0</v>
      </c>
      <c r="AC74" s="111">
        <v>0</v>
      </c>
      <c r="AD74" s="110">
        <v>0</v>
      </c>
    </row>
    <row r="75" spans="1:30">
      <c r="A75" s="113" t="s">
        <v>1490</v>
      </c>
      <c r="B75" s="113" t="s">
        <v>1566</v>
      </c>
      <c r="C75" s="113" t="s">
        <v>1504</v>
      </c>
      <c r="D75" s="113" t="s">
        <v>1566</v>
      </c>
      <c r="M75" s="113" t="s">
        <v>1556</v>
      </c>
      <c r="N75" s="113" t="s">
        <v>1599</v>
      </c>
      <c r="O75" s="109">
        <v>44835</v>
      </c>
      <c r="P75" s="109">
        <v>44849</v>
      </c>
      <c r="Q75" s="109">
        <v>44829</v>
      </c>
      <c r="R75" s="109">
        <v>44835</v>
      </c>
      <c r="S75" s="110">
        <v>40</v>
      </c>
      <c r="T75" s="110">
        <v>16</v>
      </c>
      <c r="U75" s="110">
        <v>0</v>
      </c>
      <c r="V75" s="111">
        <v>0</v>
      </c>
      <c r="W75" s="110">
        <v>0</v>
      </c>
      <c r="X75" s="112">
        <v>1</v>
      </c>
      <c r="Y75" s="112">
        <v>0</v>
      </c>
      <c r="Z75" s="112">
        <v>0</v>
      </c>
      <c r="AC75" s="111">
        <v>0</v>
      </c>
      <c r="AD75" s="110">
        <v>0</v>
      </c>
    </row>
    <row r="76" spans="1:30">
      <c r="A76" s="113" t="s">
        <v>1490</v>
      </c>
      <c r="B76" s="113" t="s">
        <v>1566</v>
      </c>
      <c r="C76" s="113" t="s">
        <v>1504</v>
      </c>
      <c r="D76" s="113" t="s">
        <v>1566</v>
      </c>
      <c r="M76" s="113" t="s">
        <v>1556</v>
      </c>
      <c r="N76" s="113" t="s">
        <v>1599</v>
      </c>
      <c r="O76" s="109">
        <v>44835</v>
      </c>
      <c r="P76" s="109">
        <v>44849</v>
      </c>
      <c r="Q76" s="109">
        <v>44836</v>
      </c>
      <c r="R76" s="109">
        <v>44842</v>
      </c>
      <c r="S76" s="110">
        <v>41</v>
      </c>
      <c r="T76" s="110">
        <v>17</v>
      </c>
      <c r="U76" s="110">
        <v>4</v>
      </c>
      <c r="V76" s="111">
        <v>0</v>
      </c>
      <c r="W76" s="110">
        <v>0</v>
      </c>
      <c r="X76" s="112">
        <v>1</v>
      </c>
      <c r="Y76" s="112">
        <v>0</v>
      </c>
      <c r="Z76" s="112">
        <v>0</v>
      </c>
      <c r="AC76" s="111">
        <v>0</v>
      </c>
      <c r="AD76" s="110">
        <v>0</v>
      </c>
    </row>
    <row r="77" spans="1:30">
      <c r="A77" s="113" t="s">
        <v>1490</v>
      </c>
      <c r="B77" s="113" t="s">
        <v>1566</v>
      </c>
      <c r="C77" s="113" t="s">
        <v>1504</v>
      </c>
      <c r="D77" s="113" t="s">
        <v>1566</v>
      </c>
      <c r="M77" s="113" t="s">
        <v>1556</v>
      </c>
      <c r="N77" s="113" t="s">
        <v>1599</v>
      </c>
      <c r="O77" s="109">
        <v>44835</v>
      </c>
      <c r="P77" s="109">
        <v>44849</v>
      </c>
      <c r="Q77" s="109">
        <v>44843</v>
      </c>
      <c r="R77" s="109">
        <v>44849</v>
      </c>
      <c r="S77" s="110">
        <v>42</v>
      </c>
      <c r="T77" s="110">
        <v>18</v>
      </c>
      <c r="U77" s="110">
        <v>4</v>
      </c>
      <c r="V77" s="111">
        <v>0</v>
      </c>
      <c r="W77" s="110">
        <v>0</v>
      </c>
      <c r="X77" s="112">
        <v>1</v>
      </c>
      <c r="Y77" s="112">
        <v>0</v>
      </c>
      <c r="Z77" s="112">
        <v>0</v>
      </c>
      <c r="AC77" s="111">
        <v>0</v>
      </c>
      <c r="AD77" s="110">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2.75"/>
  <cols>
    <col min="1" max="1" width="6.25" style="72" customWidth="1"/>
    <col min="2" max="2" width="33.25" style="72" bestFit="1" customWidth="1"/>
    <col min="3" max="3" width="20.25" style="70" customWidth="1"/>
    <col min="4" max="4" width="23.125" style="70" customWidth="1"/>
    <col min="5" max="5" width="10" style="70" customWidth="1"/>
    <col min="6" max="6" width="15.25" style="70" customWidth="1"/>
    <col min="7" max="7" width="21.25" style="70" bestFit="1" customWidth="1"/>
    <col min="8" max="8" width="40.375" style="72" customWidth="1"/>
    <col min="9" max="9" width="23.625" style="72" bestFit="1" customWidth="1"/>
    <col min="10" max="10" width="9.5" style="72" bestFit="1" customWidth="1"/>
    <col min="11" max="11" width="22.5" style="72" bestFit="1" customWidth="1"/>
    <col min="12" max="12" width="60.75" style="72" bestFit="1" customWidth="1"/>
    <col min="13" max="13" width="25.125" style="72" bestFit="1" customWidth="1"/>
    <col min="14" max="14" width="4.75" style="72" bestFit="1" customWidth="1"/>
    <col min="15" max="15" width="23" style="72" bestFit="1" customWidth="1"/>
    <col min="16" max="16" width="8" style="72" bestFit="1" customWidth="1"/>
    <col min="17" max="17" width="28.375" style="72" bestFit="1" customWidth="1"/>
    <col min="18" max="18" width="6" style="72" bestFit="1" customWidth="1"/>
    <col min="19" max="19" width="27.75" style="72" bestFit="1" customWidth="1"/>
    <col min="20" max="20" width="4.75" style="72" bestFit="1" customWidth="1"/>
    <col min="21" max="21" width="24.375" style="72" bestFit="1" customWidth="1"/>
    <col min="22" max="22" width="4.25" style="72" bestFit="1" customWidth="1"/>
    <col min="23" max="23" width="28.875" style="72" bestFit="1" customWidth="1"/>
    <col min="24" max="24" width="8" style="72" bestFit="1" customWidth="1"/>
    <col min="25" max="25" width="22.625" style="72" bestFit="1" customWidth="1"/>
    <col min="26" max="26" width="4.875" style="72" bestFit="1" customWidth="1"/>
    <col min="27" max="27" width="24.375" style="72" hidden="1" customWidth="1"/>
    <col min="28" max="28" width="7.375" style="72" hidden="1" customWidth="1"/>
    <col min="29" max="29" width="19.75" style="72" bestFit="1" customWidth="1"/>
    <col min="30" max="30" width="4.25" style="72" bestFit="1" customWidth="1"/>
    <col min="31" max="31" width="15.375" style="72" bestFit="1" customWidth="1"/>
    <col min="32" max="32" width="39.625" style="72" bestFit="1" customWidth="1"/>
    <col min="33" max="33" width="35.75" style="72" bestFit="1" customWidth="1"/>
    <col min="34" max="34" width="4.875" style="72" bestFit="1" customWidth="1"/>
    <col min="35" max="35" width="24.25" style="72" bestFit="1" customWidth="1"/>
    <col min="36" max="36" width="8.75" style="72" bestFit="1" customWidth="1"/>
    <col min="37" max="37" width="26" style="72" bestFit="1" customWidth="1"/>
    <col min="38" max="38" width="4.625" style="72" bestFit="1" customWidth="1"/>
    <col min="39" max="39" width="35.625" style="72" bestFit="1" customWidth="1"/>
    <col min="40" max="40" width="33.375" style="72" bestFit="1" customWidth="1"/>
    <col min="41" max="41" width="22.625" style="72" bestFit="1" customWidth="1"/>
    <col min="42" max="42" width="5.25" style="72" bestFit="1" customWidth="1"/>
    <col min="43" max="43" width="16.625" style="72" bestFit="1" customWidth="1"/>
    <col min="44" max="44" width="93.375" style="72" bestFit="1" customWidth="1"/>
    <col min="45" max="45" width="21" style="72" bestFit="1" customWidth="1"/>
    <col min="46" max="46" width="5.5" style="72" bestFit="1" customWidth="1"/>
    <col min="47" max="47" width="14.875" style="72" bestFit="1" customWidth="1"/>
    <col min="48" max="48" width="28.625" style="72" bestFit="1" customWidth="1"/>
    <col min="49" max="49" width="22.625" style="72" bestFit="1" customWidth="1"/>
    <col min="50" max="50" width="4.875" style="72" bestFit="1" customWidth="1"/>
    <col min="51" max="51" width="15.625" style="72" bestFit="1" customWidth="1"/>
    <col min="52" max="53" width="13.125" style="72" bestFit="1" customWidth="1"/>
    <col min="54" max="55" width="14.875" style="72" bestFit="1" customWidth="1"/>
    <col min="56" max="57" width="22.625" style="72" bestFit="1" customWidth="1"/>
    <col min="58" max="59" width="15.625" style="72" bestFit="1" customWidth="1"/>
    <col min="60" max="61" width="13.125" style="72" bestFit="1" customWidth="1"/>
    <col min="62" max="63" width="14.875" style="72" bestFit="1" customWidth="1"/>
    <col min="64" max="65" width="22.625" style="72" bestFit="1" customWidth="1"/>
    <col min="66" max="66" width="10" style="72"/>
    <col min="67" max="67" width="33.75" style="72" bestFit="1" customWidth="1"/>
    <col min="68" max="16384" width="10" style="72"/>
  </cols>
  <sheetData>
    <row r="1" spans="1:8" s="70" customFormat="1">
      <c r="A1" s="69" t="s">
        <v>665</v>
      </c>
      <c r="B1" s="69" t="s">
        <v>662</v>
      </c>
      <c r="C1" s="69" t="s">
        <v>663</v>
      </c>
      <c r="D1" s="69" t="s">
        <v>664</v>
      </c>
      <c r="E1" s="69" t="s">
        <v>3</v>
      </c>
      <c r="F1" s="69" t="s">
        <v>4</v>
      </c>
      <c r="G1" s="69" t="s">
        <v>5</v>
      </c>
      <c r="H1" s="69" t="s">
        <v>666</v>
      </c>
    </row>
    <row r="2" spans="1:8">
      <c r="A2" s="180" t="s">
        <v>661</v>
      </c>
      <c r="B2" s="181" t="s">
        <v>6</v>
      </c>
      <c r="C2" s="182" t="s">
        <v>7</v>
      </c>
      <c r="D2" s="182"/>
      <c r="E2" s="182"/>
      <c r="F2" s="182"/>
      <c r="G2" s="182"/>
      <c r="H2" s="182" t="s">
        <v>8</v>
      </c>
    </row>
    <row r="3" spans="1:8">
      <c r="A3" s="180" t="s">
        <v>661</v>
      </c>
      <c r="B3" s="181" t="s">
        <v>338</v>
      </c>
      <c r="C3" s="182" t="s">
        <v>7</v>
      </c>
      <c r="D3" s="182"/>
      <c r="E3" s="182"/>
      <c r="F3" s="182"/>
      <c r="G3" s="182"/>
      <c r="H3" s="182" t="s">
        <v>8</v>
      </c>
    </row>
    <row r="4" spans="1:8">
      <c r="A4" s="180" t="s">
        <v>661</v>
      </c>
      <c r="B4" s="181" t="s">
        <v>9</v>
      </c>
      <c r="C4" s="198" t="s">
        <v>339</v>
      </c>
      <c r="D4" s="182"/>
      <c r="E4" s="182"/>
      <c r="F4" s="182"/>
      <c r="G4" s="182"/>
      <c r="H4" s="182" t="s">
        <v>8</v>
      </c>
    </row>
    <row r="5" spans="1:8">
      <c r="A5" s="180" t="s">
        <v>661</v>
      </c>
      <c r="B5" s="181" t="s">
        <v>10</v>
      </c>
      <c r="C5" s="182" t="s">
        <v>11</v>
      </c>
      <c r="D5" s="182"/>
      <c r="E5" s="182"/>
      <c r="F5" s="182"/>
      <c r="G5" s="182"/>
      <c r="H5" s="182" t="s">
        <v>8</v>
      </c>
    </row>
    <row r="6" spans="1:8" ht="13.5">
      <c r="A6" s="180" t="s">
        <v>661</v>
      </c>
      <c r="B6" s="181" t="s">
        <v>12</v>
      </c>
      <c r="C6" s="199" t="s">
        <v>794</v>
      </c>
      <c r="D6" s="182"/>
      <c r="E6" s="182"/>
      <c r="F6" s="182"/>
      <c r="G6" s="182"/>
      <c r="H6" s="182" t="s">
        <v>8</v>
      </c>
    </row>
    <row r="7" spans="1:8">
      <c r="A7" s="180" t="s">
        <v>661</v>
      </c>
      <c r="B7" s="181" t="s">
        <v>13</v>
      </c>
      <c r="C7" s="181" t="s">
        <v>7</v>
      </c>
      <c r="D7" s="182"/>
      <c r="E7" s="182"/>
      <c r="F7" s="182"/>
      <c r="G7" s="182"/>
      <c r="H7" s="182" t="s">
        <v>8</v>
      </c>
    </row>
    <row r="8" spans="1:8">
      <c r="A8" s="201" t="s">
        <v>661</v>
      </c>
      <c r="B8" s="202" t="s">
        <v>14</v>
      </c>
      <c r="C8" s="203" t="s">
        <v>739</v>
      </c>
      <c r="D8" s="204" t="s">
        <v>1361</v>
      </c>
      <c r="E8" s="204">
        <v>82</v>
      </c>
      <c r="F8" s="204"/>
      <c r="G8" s="201"/>
      <c r="H8" s="204" t="s">
        <v>749</v>
      </c>
    </row>
    <row r="9" spans="1:8">
      <c r="A9" s="180" t="s">
        <v>661</v>
      </c>
      <c r="B9" s="181" t="s">
        <v>15</v>
      </c>
      <c r="C9" s="200">
        <v>44717</v>
      </c>
      <c r="D9" s="182"/>
      <c r="E9" s="182"/>
      <c r="F9" s="182"/>
      <c r="G9" s="182"/>
      <c r="H9" s="182" t="s">
        <v>8</v>
      </c>
    </row>
    <row r="10" spans="1:8" s="71" customFormat="1">
      <c r="A10" s="181" t="s">
        <v>661</v>
      </c>
      <c r="B10" s="181" t="s">
        <v>16</v>
      </c>
      <c r="C10" s="182" t="s">
        <v>17</v>
      </c>
      <c r="D10" s="182"/>
      <c r="E10" s="182"/>
      <c r="F10" s="182"/>
      <c r="G10" s="182"/>
      <c r="H10" s="182" t="s">
        <v>8</v>
      </c>
    </row>
    <row r="11" spans="1:8">
      <c r="A11" s="72" t="s">
        <v>789</v>
      </c>
      <c r="B11" s="72" t="s">
        <v>764</v>
      </c>
      <c r="C11" s="70">
        <v>1</v>
      </c>
      <c r="G11" s="74">
        <v>44722.660925925928</v>
      </c>
    </row>
    <row r="12" spans="1:8">
      <c r="A12" s="72" t="s">
        <v>789</v>
      </c>
      <c r="B12" s="72" t="s">
        <v>763</v>
      </c>
      <c r="C12" s="70">
        <v>1</v>
      </c>
    </row>
    <row r="13" spans="1:8">
      <c r="A13" s="72" t="s">
        <v>789</v>
      </c>
      <c r="B13" s="72" t="s">
        <v>703</v>
      </c>
      <c r="C13" s="70">
        <v>1</v>
      </c>
      <c r="G13" s="74">
        <v>44722.660925925928</v>
      </c>
    </row>
    <row r="14" spans="1:8">
      <c r="A14" s="72" t="s">
        <v>789</v>
      </c>
      <c r="B14" s="72" t="s">
        <v>704</v>
      </c>
      <c r="C14" s="70">
        <v>0</v>
      </c>
      <c r="G14" s="74">
        <v>44722.660925925928</v>
      </c>
    </row>
    <row r="15" spans="1:8">
      <c r="A15" s="72" t="s">
        <v>789</v>
      </c>
      <c r="B15" s="72" t="s">
        <v>702</v>
      </c>
      <c r="C15" s="70">
        <v>1</v>
      </c>
      <c r="G15" s="74">
        <v>44722.660925925928</v>
      </c>
    </row>
    <row r="16" spans="1:8">
      <c r="A16" s="72" t="s">
        <v>789</v>
      </c>
      <c r="B16" s="72" t="s">
        <v>751</v>
      </c>
      <c r="C16" s="70">
        <v>1</v>
      </c>
      <c r="G16" s="74">
        <v>44722.660925925928</v>
      </c>
    </row>
    <row r="17" spans="1:7">
      <c r="A17" s="72" t="s">
        <v>789</v>
      </c>
      <c r="B17" s="72" t="s">
        <v>758</v>
      </c>
      <c r="C17" s="70">
        <v>1</v>
      </c>
      <c r="G17" s="74">
        <v>44722.660925925928</v>
      </c>
    </row>
    <row r="18" spans="1:7">
      <c r="A18" s="72" t="s">
        <v>789</v>
      </c>
      <c r="B18" s="72" t="s">
        <v>759</v>
      </c>
      <c r="C18" s="70">
        <v>1</v>
      </c>
      <c r="G18" s="74">
        <v>44722.660925925928</v>
      </c>
    </row>
    <row r="19" spans="1:7">
      <c r="A19" s="72" t="s">
        <v>789</v>
      </c>
      <c r="B19" s="72" t="s">
        <v>757</v>
      </c>
      <c r="C19" s="73" t="s">
        <v>1600</v>
      </c>
      <c r="G19" s="74">
        <v>44722.660925925928</v>
      </c>
    </row>
    <row r="20" spans="1:7">
      <c r="A20" s="72" t="s">
        <v>789</v>
      </c>
      <c r="B20" s="72" t="s">
        <v>705</v>
      </c>
      <c r="C20" s="70">
        <v>0</v>
      </c>
      <c r="G20" s="74">
        <v>44722.660925925928</v>
      </c>
    </row>
    <row r="21" spans="1:7">
      <c r="A21" s="72" t="s">
        <v>789</v>
      </c>
      <c r="B21" s="72" t="s">
        <v>756</v>
      </c>
      <c r="C21" s="70">
        <v>1</v>
      </c>
      <c r="G21" s="74">
        <v>44722.660925925928</v>
      </c>
    </row>
    <row r="22" spans="1:7">
      <c r="A22" s="72" t="s">
        <v>789</v>
      </c>
      <c r="B22" s="72" t="s">
        <v>760</v>
      </c>
      <c r="C22" s="70">
        <v>1</v>
      </c>
      <c r="G22" s="74">
        <v>44722.660925925928</v>
      </c>
    </row>
    <row r="23" spans="1:7">
      <c r="A23" s="72" t="s">
        <v>789</v>
      </c>
      <c r="B23" s="72" t="s">
        <v>707</v>
      </c>
      <c r="C23" s="70">
        <v>1</v>
      </c>
      <c r="G23" s="74">
        <v>44722.660925925928</v>
      </c>
    </row>
    <row r="24" spans="1:7">
      <c r="A24" s="72" t="s">
        <v>789</v>
      </c>
      <c r="B24" s="72" t="s">
        <v>753</v>
      </c>
      <c r="C24" s="73">
        <v>44926</v>
      </c>
      <c r="G24" s="74">
        <v>44726.695081018515</v>
      </c>
    </row>
    <row r="25" spans="1:7">
      <c r="A25" s="72" t="s">
        <v>789</v>
      </c>
      <c r="B25" s="72" t="s">
        <v>750</v>
      </c>
      <c r="C25" s="70" t="s">
        <v>1505</v>
      </c>
      <c r="G25" s="74">
        <v>44722.660925925928</v>
      </c>
    </row>
    <row r="26" spans="1:7">
      <c r="A26" s="72" t="s">
        <v>789</v>
      </c>
      <c r="B26" s="72" t="s">
        <v>752</v>
      </c>
      <c r="C26" s="73">
        <v>44727</v>
      </c>
      <c r="G26" s="74">
        <v>44726.695081018515</v>
      </c>
    </row>
    <row r="27" spans="1:7">
      <c r="A27" s="72" t="s">
        <v>789</v>
      </c>
      <c r="B27" s="72" t="s">
        <v>754</v>
      </c>
      <c r="C27" s="70" t="s">
        <v>1362</v>
      </c>
      <c r="G27" s="74">
        <v>44726.358738425923</v>
      </c>
    </row>
    <row r="28" spans="1:7">
      <c r="A28" s="72" t="s">
        <v>789</v>
      </c>
      <c r="B28" s="72" t="s">
        <v>755</v>
      </c>
      <c r="C28" s="70">
        <v>1</v>
      </c>
      <c r="G28" s="74">
        <v>44722.660925925928</v>
      </c>
    </row>
    <row r="29" spans="1:7">
      <c r="A29" s="72" t="s">
        <v>789</v>
      </c>
      <c r="B29" s="72" t="s">
        <v>761</v>
      </c>
      <c r="C29" s="70">
        <v>20</v>
      </c>
      <c r="G29" s="74">
        <v>44722.660925925928</v>
      </c>
    </row>
    <row r="30" spans="1:7">
      <c r="A30" s="72" t="s">
        <v>789</v>
      </c>
      <c r="B30" s="72" t="s">
        <v>762</v>
      </c>
      <c r="C30" s="70">
        <v>10</v>
      </c>
      <c r="G30" s="74">
        <v>44722.660925925928</v>
      </c>
    </row>
    <row r="31" spans="1:7">
      <c r="A31" s="72" t="s">
        <v>1368</v>
      </c>
      <c r="B31" s="72" t="s">
        <v>1369</v>
      </c>
      <c r="C31" s="70">
        <v>-4105</v>
      </c>
      <c r="F31" s="74"/>
      <c r="G31" s="74">
        <v>44726.695081018515</v>
      </c>
    </row>
    <row r="32" spans="1:7">
      <c r="A32" s="72" t="s">
        <v>790</v>
      </c>
      <c r="B32" s="72" t="s">
        <v>772</v>
      </c>
      <c r="C32" s="70">
        <v>1</v>
      </c>
      <c r="G32" s="74">
        <v>44722.660925925928</v>
      </c>
    </row>
    <row r="33" spans="1:7">
      <c r="A33" s="72" t="s">
        <v>790</v>
      </c>
      <c r="B33" s="72" t="s">
        <v>775</v>
      </c>
      <c r="C33" s="70">
        <v>0</v>
      </c>
    </row>
    <row r="34" spans="1:7">
      <c r="A34" s="72" t="s">
        <v>790</v>
      </c>
      <c r="B34" s="72" t="s">
        <v>708</v>
      </c>
      <c r="C34" s="70">
        <v>1</v>
      </c>
      <c r="G34" s="74">
        <v>44722.660925925928</v>
      </c>
    </row>
    <row r="35" spans="1:7">
      <c r="A35" s="72" t="s">
        <v>790</v>
      </c>
      <c r="B35" s="72" t="s">
        <v>710</v>
      </c>
      <c r="C35" s="70">
        <v>1</v>
      </c>
      <c r="G35" s="74">
        <v>44722.660925925928</v>
      </c>
    </row>
    <row r="36" spans="1:7">
      <c r="A36" s="72" t="s">
        <v>790</v>
      </c>
      <c r="B36" s="72" t="s">
        <v>709</v>
      </c>
      <c r="C36" s="70">
        <v>1</v>
      </c>
      <c r="G36" s="74">
        <v>44722.660925925928</v>
      </c>
    </row>
    <row r="37" spans="1:7">
      <c r="A37" s="72" t="s">
        <v>790</v>
      </c>
      <c r="B37" s="72" t="s">
        <v>766</v>
      </c>
      <c r="C37" s="70">
        <v>0</v>
      </c>
      <c r="G37" s="74">
        <v>44722.660925925928</v>
      </c>
    </row>
    <row r="38" spans="1:7">
      <c r="A38" s="72" t="s">
        <v>790</v>
      </c>
      <c r="B38" s="72" t="s">
        <v>769</v>
      </c>
      <c r="C38" s="70">
        <v>1</v>
      </c>
      <c r="G38" s="74">
        <v>44722.660925925928</v>
      </c>
    </row>
    <row r="39" spans="1:7">
      <c r="A39" s="72" t="s">
        <v>790</v>
      </c>
      <c r="B39" s="72" t="s">
        <v>780</v>
      </c>
      <c r="C39" s="70">
        <v>2</v>
      </c>
      <c r="G39" s="74">
        <v>44722.660925925928</v>
      </c>
    </row>
    <row r="40" spans="1:7">
      <c r="A40" s="72" t="s">
        <v>790</v>
      </c>
      <c r="B40" s="72" t="s">
        <v>770</v>
      </c>
      <c r="C40" s="70">
        <v>0.7</v>
      </c>
    </row>
    <row r="41" spans="1:7">
      <c r="A41" s="72" t="s">
        <v>790</v>
      </c>
      <c r="B41" s="72" t="s">
        <v>779</v>
      </c>
      <c r="C41" s="70">
        <v>1</v>
      </c>
      <c r="G41" s="74">
        <v>44722.660925925928</v>
      </c>
    </row>
    <row r="42" spans="1:7">
      <c r="A42" s="72" t="s">
        <v>790</v>
      </c>
      <c r="B42" s="72" t="s">
        <v>773</v>
      </c>
      <c r="C42" s="70">
        <v>1</v>
      </c>
      <c r="G42" s="74">
        <v>44722.660925925928</v>
      </c>
    </row>
    <row r="43" spans="1:7">
      <c r="A43" s="72" t="s">
        <v>790</v>
      </c>
      <c r="B43" s="72" t="s">
        <v>783</v>
      </c>
      <c r="C43" s="70">
        <v>-4131</v>
      </c>
      <c r="G43" s="74">
        <v>44722.660925925928</v>
      </c>
    </row>
    <row r="44" spans="1:7">
      <c r="A44" s="72" t="s">
        <v>790</v>
      </c>
      <c r="B44" s="72" t="s">
        <v>774</v>
      </c>
      <c r="C44" s="70">
        <v>7</v>
      </c>
      <c r="G44" s="74">
        <v>44722.660925925928</v>
      </c>
    </row>
    <row r="45" spans="1:7">
      <c r="A45" s="72" t="s">
        <v>790</v>
      </c>
      <c r="B45" s="72" t="s">
        <v>776</v>
      </c>
      <c r="C45" s="70">
        <v>0</v>
      </c>
      <c r="G45" s="74">
        <v>44722.660925925928</v>
      </c>
    </row>
    <row r="46" spans="1:7">
      <c r="A46" s="72" t="s">
        <v>790</v>
      </c>
      <c r="B46" s="72" t="s">
        <v>777</v>
      </c>
      <c r="C46" s="70">
        <v>1</v>
      </c>
      <c r="G46" s="74">
        <v>44722.660925925928</v>
      </c>
    </row>
    <row r="47" spans="1:7">
      <c r="A47" s="72" t="s">
        <v>790</v>
      </c>
      <c r="B47" s="72" t="s">
        <v>778</v>
      </c>
      <c r="C47" s="70">
        <v>1</v>
      </c>
      <c r="G47" s="74">
        <v>44722.660925925928</v>
      </c>
    </row>
    <row r="48" spans="1:7">
      <c r="A48" s="72" t="s">
        <v>790</v>
      </c>
      <c r="B48" s="72" t="s">
        <v>767</v>
      </c>
      <c r="C48" s="70">
        <v>1</v>
      </c>
    </row>
    <row r="49" spans="1:7">
      <c r="A49" s="72" t="s">
        <v>790</v>
      </c>
      <c r="B49" s="72" t="s">
        <v>768</v>
      </c>
      <c r="C49" s="70">
        <v>0</v>
      </c>
    </row>
    <row r="50" spans="1:7">
      <c r="A50" s="72" t="s">
        <v>790</v>
      </c>
      <c r="B50" s="72" t="s">
        <v>771</v>
      </c>
      <c r="C50" s="70">
        <v>2</v>
      </c>
      <c r="G50" s="74">
        <v>44722.660925925928</v>
      </c>
    </row>
    <row r="51" spans="1:7">
      <c r="A51" s="72" t="s">
        <v>790</v>
      </c>
      <c r="B51" s="72" t="s">
        <v>782</v>
      </c>
      <c r="C51" s="70" t="s">
        <v>765</v>
      </c>
    </row>
    <row r="52" spans="1:7">
      <c r="A52" s="72" t="s">
        <v>790</v>
      </c>
      <c r="B52" s="72" t="s">
        <v>706</v>
      </c>
      <c r="C52" s="70">
        <v>100</v>
      </c>
      <c r="G52" s="74">
        <v>44722.660925925928</v>
      </c>
    </row>
    <row r="53" spans="1:7">
      <c r="A53" s="72" t="s">
        <v>790</v>
      </c>
      <c r="B53" s="72" t="s">
        <v>781</v>
      </c>
      <c r="C53" s="70">
        <v>9</v>
      </c>
    </row>
    <row r="54" spans="1:7">
      <c r="A54" s="72" t="s">
        <v>791</v>
      </c>
      <c r="B54" s="72" t="s">
        <v>669</v>
      </c>
      <c r="C54" s="70">
        <v>1</v>
      </c>
      <c r="G54" s="74">
        <v>44722.660925925928</v>
      </c>
    </row>
    <row r="55" spans="1:7">
      <c r="A55" s="72" t="s">
        <v>791</v>
      </c>
      <c r="B55" s="72" t="s">
        <v>784</v>
      </c>
      <c r="C55" s="70" t="s">
        <v>1387</v>
      </c>
      <c r="G55" s="74">
        <v>44722.660925925928</v>
      </c>
    </row>
    <row r="56" spans="1:7">
      <c r="A56" s="72" t="s">
        <v>791</v>
      </c>
      <c r="B56" s="72" t="s">
        <v>668</v>
      </c>
      <c r="C56" s="70" t="s">
        <v>711</v>
      </c>
      <c r="G56" s="74">
        <v>44717.947500000002</v>
      </c>
    </row>
    <row r="57" spans="1:7">
      <c r="A57" s="72" t="s">
        <v>791</v>
      </c>
      <c r="B57" s="72" t="s">
        <v>667</v>
      </c>
      <c r="C57" s="70" t="s">
        <v>711</v>
      </c>
      <c r="G57" s="74">
        <v>44722.660925925928</v>
      </c>
    </row>
    <row r="58" spans="1:7">
      <c r="A58" s="72" t="s">
        <v>737</v>
      </c>
      <c r="B58" s="72" t="s">
        <v>787</v>
      </c>
      <c r="C58" s="70">
        <v>1</v>
      </c>
      <c r="G58" s="74">
        <v>44719.165729166663</v>
      </c>
    </row>
    <row r="59" spans="1:7">
      <c r="A59" s="72" t="s">
        <v>737</v>
      </c>
      <c r="B59" s="72" t="s">
        <v>786</v>
      </c>
      <c r="C59" s="70">
        <v>0</v>
      </c>
      <c r="G59" s="74">
        <v>44722.660925925928</v>
      </c>
    </row>
    <row r="60" spans="1:7">
      <c r="A60" s="72" t="s">
        <v>737</v>
      </c>
      <c r="B60" s="72" t="s">
        <v>785</v>
      </c>
      <c r="C60" s="70">
        <v>82</v>
      </c>
      <c r="G60" s="74">
        <v>44722.443252314813</v>
      </c>
    </row>
    <row r="61" spans="1:7">
      <c r="A61" s="72" t="s">
        <v>737</v>
      </c>
      <c r="B61" s="72" t="s">
        <v>788</v>
      </c>
      <c r="C61" s="70" t="s">
        <v>620</v>
      </c>
      <c r="G61" s="74">
        <v>44722.660925925928</v>
      </c>
    </row>
    <row r="62" spans="1:7">
      <c r="A62" s="72" t="s">
        <v>792</v>
      </c>
      <c r="B62" s="72" t="s">
        <v>696</v>
      </c>
      <c r="C62" s="70" t="b">
        <v>0</v>
      </c>
      <c r="G62" s="74">
        <v>44722.660925925928</v>
      </c>
    </row>
    <row r="63" spans="1:7">
      <c r="A63" s="72" t="s">
        <v>792</v>
      </c>
      <c r="B63" s="72" t="s">
        <v>697</v>
      </c>
      <c r="C63" s="70" t="b">
        <v>0</v>
      </c>
      <c r="G63" s="74">
        <v>44722.660925925928</v>
      </c>
    </row>
    <row r="64" spans="1:7">
      <c r="A64" s="72" t="s">
        <v>792</v>
      </c>
      <c r="B64" s="72" t="s">
        <v>698</v>
      </c>
      <c r="C64" s="70" t="b">
        <v>1</v>
      </c>
      <c r="G64" s="74">
        <v>44722.660925925928</v>
      </c>
    </row>
    <row r="65" spans="1:7">
      <c r="A65" s="72" t="s">
        <v>792</v>
      </c>
      <c r="B65" s="72" t="s">
        <v>680</v>
      </c>
      <c r="C65" s="70" t="b">
        <v>1</v>
      </c>
      <c r="G65" s="74">
        <v>44722.660925925928</v>
      </c>
    </row>
    <row r="66" spans="1:7">
      <c r="A66" s="72" t="s">
        <v>792</v>
      </c>
      <c r="B66" s="72" t="s">
        <v>681</v>
      </c>
      <c r="C66" s="70" t="b">
        <v>1</v>
      </c>
      <c r="G66" s="74">
        <v>44722.660925925928</v>
      </c>
    </row>
    <row r="67" spans="1:7">
      <c r="A67" s="72" t="s">
        <v>792</v>
      </c>
      <c r="B67" s="72" t="s">
        <v>682</v>
      </c>
      <c r="C67" s="70" t="b">
        <v>1</v>
      </c>
      <c r="G67" s="74">
        <v>44722.660925925928</v>
      </c>
    </row>
    <row r="68" spans="1:7">
      <c r="A68" s="72" t="s">
        <v>792</v>
      </c>
      <c r="B68" s="72" t="s">
        <v>683</v>
      </c>
      <c r="G68" s="74">
        <v>44722.660925925928</v>
      </c>
    </row>
    <row r="69" spans="1:7">
      <c r="A69" s="72" t="s">
        <v>792</v>
      </c>
      <c r="B69" s="72" t="s">
        <v>684</v>
      </c>
      <c r="G69" s="74">
        <v>44722.660925925928</v>
      </c>
    </row>
    <row r="70" spans="1:7">
      <c r="A70" s="72" t="s">
        <v>792</v>
      </c>
      <c r="B70" s="72" t="s">
        <v>699</v>
      </c>
      <c r="C70" s="70" t="s">
        <v>717</v>
      </c>
      <c r="G70" s="74">
        <v>44722.660925925928</v>
      </c>
    </row>
    <row r="71" spans="1:7">
      <c r="A71" s="72" t="s">
        <v>792</v>
      </c>
      <c r="B71" s="72" t="s">
        <v>701</v>
      </c>
      <c r="C71" s="70" t="s">
        <v>719</v>
      </c>
      <c r="G71" s="74">
        <v>44722.660925925928</v>
      </c>
    </row>
    <row r="72" spans="1:7">
      <c r="A72" s="72" t="s">
        <v>792</v>
      </c>
      <c r="B72" s="72" t="s">
        <v>700</v>
      </c>
      <c r="C72" s="70" t="s">
        <v>718</v>
      </c>
      <c r="G72" s="74">
        <v>44722.660925925928</v>
      </c>
    </row>
    <row r="73" spans="1:7">
      <c r="A73" s="72" t="s">
        <v>792</v>
      </c>
      <c r="B73" s="72" t="s">
        <v>686</v>
      </c>
      <c r="C73" s="70" t="s">
        <v>715</v>
      </c>
      <c r="G73" s="74">
        <v>44722.660925925928</v>
      </c>
    </row>
    <row r="74" spans="1:7">
      <c r="A74" s="72" t="s">
        <v>792</v>
      </c>
      <c r="B74" s="72" t="s">
        <v>689</v>
      </c>
      <c r="C74" s="70" t="s">
        <v>716</v>
      </c>
      <c r="G74" s="74">
        <v>44722.660925925928</v>
      </c>
    </row>
    <row r="75" spans="1:7">
      <c r="A75" s="72" t="s">
        <v>792</v>
      </c>
      <c r="B75" s="72" t="s">
        <v>688</v>
      </c>
      <c r="C75" s="70" t="s">
        <v>1370</v>
      </c>
      <c r="G75" s="74">
        <v>44722.660925925928</v>
      </c>
    </row>
    <row r="76" spans="1:7">
      <c r="A76" s="72" t="s">
        <v>792</v>
      </c>
      <c r="B76" s="72" t="s">
        <v>687</v>
      </c>
      <c r="G76" s="74">
        <v>44722.660925925928</v>
      </c>
    </row>
    <row r="77" spans="1:7">
      <c r="A77" s="72" t="s">
        <v>792</v>
      </c>
      <c r="B77" s="72" t="s">
        <v>685</v>
      </c>
      <c r="G77" s="74">
        <v>44722.660925925928</v>
      </c>
    </row>
    <row r="78" spans="1:7">
      <c r="A78" s="72" t="s">
        <v>792</v>
      </c>
      <c r="B78" s="72" t="s">
        <v>690</v>
      </c>
      <c r="C78" s="70" t="s">
        <v>1506</v>
      </c>
      <c r="G78" s="74">
        <v>44722.660925925928</v>
      </c>
    </row>
    <row r="79" spans="1:7">
      <c r="A79" s="72" t="s">
        <v>792</v>
      </c>
      <c r="B79" s="72" t="s">
        <v>695</v>
      </c>
      <c r="C79" s="70" t="s">
        <v>1508</v>
      </c>
      <c r="G79" s="74">
        <v>44722.660925925928</v>
      </c>
    </row>
    <row r="80" spans="1:7">
      <c r="A80" s="72" t="s">
        <v>792</v>
      </c>
      <c r="B80" s="72" t="s">
        <v>694</v>
      </c>
      <c r="C80" s="70" t="s">
        <v>1509</v>
      </c>
      <c r="G80" s="74">
        <v>44722.660925925928</v>
      </c>
    </row>
    <row r="81" spans="1:7">
      <c r="A81" s="72" t="s">
        <v>792</v>
      </c>
      <c r="B81" s="72" t="s">
        <v>675</v>
      </c>
      <c r="C81" s="70" t="s">
        <v>714</v>
      </c>
      <c r="G81" s="74">
        <v>44722.660925925928</v>
      </c>
    </row>
    <row r="82" spans="1:7">
      <c r="A82" s="72" t="s">
        <v>792</v>
      </c>
      <c r="B82" s="72" t="s">
        <v>679</v>
      </c>
      <c r="C82" s="70" t="s">
        <v>1390</v>
      </c>
      <c r="G82" s="74">
        <v>44722.660925925928</v>
      </c>
    </row>
    <row r="83" spans="1:7">
      <c r="A83" s="72" t="s">
        <v>792</v>
      </c>
      <c r="B83" s="72" t="s">
        <v>678</v>
      </c>
      <c r="C83" s="70" t="s">
        <v>1388</v>
      </c>
      <c r="G83" s="74">
        <v>44722.660925925928</v>
      </c>
    </row>
    <row r="84" spans="1:7">
      <c r="A84" s="72" t="s">
        <v>792</v>
      </c>
      <c r="B84" s="72" t="s">
        <v>677</v>
      </c>
      <c r="G84" s="74">
        <v>44722.660925925928</v>
      </c>
    </row>
    <row r="85" spans="1:7">
      <c r="A85" s="72" t="s">
        <v>792</v>
      </c>
      <c r="B85" s="72" t="s">
        <v>676</v>
      </c>
      <c r="G85" s="74">
        <v>44722.660925925928</v>
      </c>
    </row>
    <row r="86" spans="1:7">
      <c r="A86" s="72" t="s">
        <v>792</v>
      </c>
      <c r="B86" s="72" t="s">
        <v>691</v>
      </c>
      <c r="C86" s="70" t="s">
        <v>1507</v>
      </c>
      <c r="G86" s="74">
        <v>44722.660925925928</v>
      </c>
    </row>
    <row r="87" spans="1:7">
      <c r="A87" s="72" t="s">
        <v>792</v>
      </c>
      <c r="B87" s="72" t="s">
        <v>692</v>
      </c>
      <c r="C87" s="70" t="s">
        <v>1507</v>
      </c>
      <c r="G87" s="74">
        <v>44722.660925925928</v>
      </c>
    </row>
    <row r="88" spans="1:7">
      <c r="A88" s="72" t="s">
        <v>792</v>
      </c>
      <c r="B88" s="72" t="s">
        <v>693</v>
      </c>
      <c r="C88" s="70" t="s">
        <v>1507</v>
      </c>
      <c r="G88" s="74">
        <v>44722.660925925928</v>
      </c>
    </row>
    <row r="89" spans="1:7">
      <c r="A89" s="72" t="s">
        <v>792</v>
      </c>
      <c r="B89" s="72" t="s">
        <v>670</v>
      </c>
      <c r="C89" s="70" t="s">
        <v>712</v>
      </c>
      <c r="G89" s="74">
        <v>44722.660925925928</v>
      </c>
    </row>
    <row r="90" spans="1:7">
      <c r="A90" s="72" t="s">
        <v>792</v>
      </c>
      <c r="B90" s="72" t="s">
        <v>671</v>
      </c>
      <c r="C90" s="70" t="s">
        <v>713</v>
      </c>
      <c r="G90" s="74">
        <v>44722.660925925928</v>
      </c>
    </row>
    <row r="91" spans="1:7">
      <c r="A91" s="72" t="s">
        <v>792</v>
      </c>
      <c r="B91" s="72" t="s">
        <v>672</v>
      </c>
      <c r="C91" s="70" t="s">
        <v>1371</v>
      </c>
      <c r="G91" s="74">
        <v>44722.660925925928</v>
      </c>
    </row>
    <row r="92" spans="1:7">
      <c r="A92" s="72" t="s">
        <v>792</v>
      </c>
      <c r="B92" s="72" t="s">
        <v>673</v>
      </c>
      <c r="G92" s="74">
        <v>44722.660925925928</v>
      </c>
    </row>
    <row r="93" spans="1:7">
      <c r="A93" s="72" t="s">
        <v>792</v>
      </c>
      <c r="B93" s="72" t="s">
        <v>674</v>
      </c>
      <c r="G93" s="74">
        <v>44722.660925925928</v>
      </c>
    </row>
    <row r="94" spans="1:7">
      <c r="A94" s="72" t="s">
        <v>720</v>
      </c>
      <c r="B94" s="72" t="s">
        <v>725</v>
      </c>
      <c r="C94" s="70" t="b">
        <v>1</v>
      </c>
      <c r="F94" s="74"/>
      <c r="G94" s="74">
        <v>44717.850543981483</v>
      </c>
    </row>
    <row r="95" spans="1:7">
      <c r="A95" s="72" t="s">
        <v>720</v>
      </c>
      <c r="B95" s="72" t="s">
        <v>736</v>
      </c>
      <c r="C95" s="70" t="b">
        <v>1</v>
      </c>
      <c r="F95" s="74"/>
      <c r="G95" s="74">
        <v>44717.850543981483</v>
      </c>
    </row>
    <row r="96" spans="1:7">
      <c r="A96" s="72" t="s">
        <v>720</v>
      </c>
      <c r="B96" s="72" t="s">
        <v>735</v>
      </c>
      <c r="C96" s="70" t="b">
        <v>0</v>
      </c>
      <c r="F96" s="74"/>
      <c r="G96" s="74">
        <v>44717.850543981483</v>
      </c>
    </row>
    <row r="97" spans="1:7">
      <c r="A97" s="72" t="s">
        <v>720</v>
      </c>
      <c r="B97" s="72" t="s">
        <v>724</v>
      </c>
      <c r="C97" s="70" t="b">
        <v>0</v>
      </c>
      <c r="F97" s="74"/>
      <c r="G97" s="74">
        <v>44717.850543981483</v>
      </c>
    </row>
    <row r="98" spans="1:7">
      <c r="A98" s="72" t="s">
        <v>720</v>
      </c>
      <c r="B98" s="72" t="s">
        <v>734</v>
      </c>
      <c r="C98" s="70" t="b">
        <v>0</v>
      </c>
      <c r="F98" s="74"/>
      <c r="G98" s="74">
        <v>44717.850543981483</v>
      </c>
    </row>
    <row r="99" spans="1:7">
      <c r="A99" s="72" t="s">
        <v>720</v>
      </c>
      <c r="B99" s="72" t="s">
        <v>732</v>
      </c>
      <c r="C99" s="70" t="b">
        <v>1</v>
      </c>
      <c r="F99" s="74"/>
      <c r="G99" s="74">
        <v>44717.850543981483</v>
      </c>
    </row>
    <row r="100" spans="1:7">
      <c r="A100" s="72" t="s">
        <v>720</v>
      </c>
      <c r="B100" s="72" t="s">
        <v>733</v>
      </c>
      <c r="C100" s="70" t="b">
        <v>0</v>
      </c>
      <c r="F100" s="74"/>
      <c r="G100" s="74">
        <v>44717.850543981483</v>
      </c>
    </row>
    <row r="101" spans="1:7">
      <c r="A101" s="72" t="s">
        <v>720</v>
      </c>
      <c r="B101" s="72" t="s">
        <v>728</v>
      </c>
      <c r="C101" s="70" t="b">
        <v>0</v>
      </c>
      <c r="F101" s="74"/>
      <c r="G101" s="74">
        <v>44717.850543981483</v>
      </c>
    </row>
    <row r="102" spans="1:7">
      <c r="A102" s="72" t="s">
        <v>720</v>
      </c>
      <c r="B102" s="72" t="s">
        <v>723</v>
      </c>
      <c r="C102" s="70" t="b">
        <v>0</v>
      </c>
      <c r="F102" s="74"/>
      <c r="G102" s="74">
        <v>44717.850543981483</v>
      </c>
    </row>
    <row r="103" spans="1:7">
      <c r="A103" s="72" t="s">
        <v>720</v>
      </c>
      <c r="B103" s="72" t="s">
        <v>722</v>
      </c>
      <c r="C103" s="70" t="b">
        <v>0</v>
      </c>
      <c r="F103" s="74"/>
      <c r="G103" s="74">
        <v>44717.850543981483</v>
      </c>
    </row>
    <row r="104" spans="1:7">
      <c r="A104" s="72" t="s">
        <v>720</v>
      </c>
      <c r="B104" s="72" t="s">
        <v>721</v>
      </c>
      <c r="C104" s="70" t="b">
        <v>0</v>
      </c>
      <c r="F104" s="74"/>
      <c r="G104" s="74">
        <v>44717.850543981483</v>
      </c>
    </row>
    <row r="105" spans="1:7">
      <c r="A105" s="72" t="s">
        <v>720</v>
      </c>
      <c r="B105" s="72" t="s">
        <v>730</v>
      </c>
      <c r="C105" s="70">
        <v>0</v>
      </c>
      <c r="F105" s="74"/>
      <c r="G105" s="74">
        <v>44717.850543981483</v>
      </c>
    </row>
    <row r="106" spans="1:7">
      <c r="A106" s="72" t="s">
        <v>720</v>
      </c>
      <c r="B106" s="72" t="s">
        <v>729</v>
      </c>
      <c r="C106" s="70">
        <v>80</v>
      </c>
      <c r="F106" s="74"/>
      <c r="G106" s="74">
        <v>44717.850543981483</v>
      </c>
    </row>
    <row r="107" spans="1:7">
      <c r="A107" s="72" t="s">
        <v>720</v>
      </c>
      <c r="B107" s="72" t="s">
        <v>731</v>
      </c>
      <c r="F107" s="74"/>
      <c r="G107" s="74">
        <v>44717.850543981483</v>
      </c>
    </row>
    <row r="108" spans="1:7">
      <c r="A108" s="72" t="s">
        <v>720</v>
      </c>
      <c r="B108" s="72" t="s">
        <v>726</v>
      </c>
      <c r="C108" s="73">
        <v>44562</v>
      </c>
      <c r="F108" s="74"/>
      <c r="G108" s="74">
        <v>44717.850543981483</v>
      </c>
    </row>
    <row r="109" spans="1:7">
      <c r="A109" s="72" t="s">
        <v>720</v>
      </c>
      <c r="B109" s="72" t="s">
        <v>727</v>
      </c>
      <c r="C109" s="73">
        <v>44199</v>
      </c>
      <c r="F109" s="74"/>
      <c r="G109" s="74">
        <v>44717.850543981483</v>
      </c>
    </row>
  </sheetData>
  <sortState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박철규/Park Chulkyu</dc:creator>
  <cp:lastModifiedBy>박철규/Park Chulkyu</cp:lastModifiedBy>
  <cp:lastPrinted>2022-06-05T11:24:31Z</cp:lastPrinted>
  <dcterms:created xsi:type="dcterms:W3CDTF">2018-02-18T09:45:14Z</dcterms:created>
  <dcterms:modified xsi:type="dcterms:W3CDTF">2022-06-14T07:40:57Z</dcterms:modified>
</cp:coreProperties>
</file>