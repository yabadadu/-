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D:\Louis\2020\선광통합물류\프로젝트\10. WBS\"/>
    </mc:Choice>
  </mc:AlternateContent>
  <xr:revisionPtr revIDLastSave="0" documentId="13_ncr:1_{EEF6544A-9F77-436A-9838-7A9FECCFBD91}" xr6:coauthVersionLast="45" xr6:coauthVersionMax="45" xr10:uidLastSave="{00000000-0000-0000-0000-000000000000}"/>
  <bookViews>
    <workbookView xWindow="-108" yWindow="-108" windowWidth="22080" windowHeight="13176" tabRatio="453"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s>
  <functionGroups builtInGroupCount="19"/>
  <externalReferences>
    <externalReference r:id="rId9"/>
  </externalReferences>
  <definedNames>
    <definedName name="_xlnm._FilterDatabase" localSheetId="2" hidden="1">Schedule!$P$3:$AE$212</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Schedule!$D$1:$DC$212</definedName>
    <definedName name="_xlnm.Print_Titles" localSheetId="2">Schedule!$1:$4</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Calendar!$B$5:$B$292</definedName>
    <definedName name="TOTAL_WORKLOAD">Progress!$B$6</definedName>
    <definedName name="UD_CAL1">Calendar!$E$5:$E$292</definedName>
    <definedName name="UD_CAL2">Calendar!$H$5:$H$292</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M5" i="2" l="1"/>
  <c r="CI5" i="2"/>
  <c r="AH6" i="2"/>
  <c r="AF7" i="2"/>
  <c r="AH8" i="2"/>
  <c r="AG9" i="2"/>
  <c r="AH10" i="2"/>
  <c r="BL11" i="2"/>
  <c r="BL12" i="2"/>
  <c r="CG13" i="2"/>
  <c r="CH14" i="2"/>
  <c r="CG15" i="2"/>
  <c r="AI17" i="2"/>
  <c r="CR17" i="2"/>
  <c r="AI18" i="2"/>
  <c r="AM18" i="2"/>
  <c r="AH19" i="2"/>
  <c r="AM19" i="2"/>
  <c r="AJ20" i="2"/>
  <c r="AM20" i="2"/>
  <c r="AH21" i="2"/>
  <c r="AI22" i="2"/>
  <c r="AI23" i="2"/>
  <c r="AI24" i="2"/>
  <c r="AI25" i="2"/>
  <c r="AJ26" i="2"/>
  <c r="AJ27" i="2"/>
  <c r="AK28" i="2"/>
  <c r="AL29" i="2"/>
  <c r="AK30" i="2"/>
  <c r="AK31" i="2"/>
  <c r="AK32" i="2"/>
  <c r="AK33" i="2"/>
  <c r="AN34" i="2"/>
  <c r="AV34" i="2"/>
  <c r="AN35" i="2"/>
  <c r="AR35" i="2"/>
  <c r="AN36" i="2"/>
  <c r="AV36" i="2"/>
  <c r="AN37" i="2"/>
  <c r="AV37" i="2"/>
  <c r="AN38" i="2"/>
  <c r="AV38" i="2"/>
  <c r="AW39" i="2"/>
  <c r="CD39" i="2"/>
  <c r="AW40" i="2"/>
  <c r="BV40" i="2"/>
  <c r="AW41" i="2"/>
  <c r="BV41" i="2"/>
  <c r="AW42" i="2"/>
  <c r="BV42" i="2"/>
  <c r="AW43" i="2"/>
  <c r="BV43" i="2"/>
  <c r="AW44" i="2"/>
  <c r="BV44" i="2"/>
  <c r="AW45" i="2"/>
  <c r="BV45" i="2"/>
  <c r="BE46" i="2"/>
  <c r="BV46" i="2"/>
  <c r="BL47" i="2"/>
  <c r="BV47" i="2"/>
  <c r="BJ48" i="2"/>
  <c r="BV48" i="2"/>
  <c r="BT49" i="2"/>
  <c r="CD49" i="2"/>
  <c r="BW50" i="2"/>
  <c r="CD50" i="2"/>
  <c r="BT51" i="2"/>
  <c r="CA52" i="2"/>
  <c r="CR52" i="2"/>
  <c r="CA53" i="2"/>
  <c r="CD53" i="2"/>
  <c r="CA54" i="2"/>
  <c r="CD54" i="2"/>
  <c r="CE55" i="2"/>
  <c r="CE56" i="2"/>
  <c r="CE57" i="2"/>
  <c r="CE58" i="2"/>
  <c r="CF59" i="2"/>
  <c r="CF60" i="2"/>
  <c r="CR60" i="2"/>
  <c r="AJ62" i="2"/>
  <c r="CR62" i="2"/>
  <c r="AJ63" i="2"/>
  <c r="AM64" i="2"/>
  <c r="AT64" i="2"/>
  <c r="AM65" i="2"/>
  <c r="AN66" i="2"/>
  <c r="AO67" i="2"/>
  <c r="AP68" i="2"/>
  <c r="AQ69" i="2"/>
  <c r="AR70" i="2"/>
  <c r="AS71" i="2"/>
  <c r="AT72" i="2"/>
  <c r="AN73" i="2"/>
  <c r="CR73" i="2"/>
  <c r="AN74" i="2"/>
  <c r="AV74" i="2"/>
  <c r="AN75" i="2"/>
  <c r="AU75" i="2"/>
  <c r="AN76" i="2"/>
  <c r="AO77" i="2"/>
  <c r="AP78" i="2"/>
  <c r="AQ79" i="2"/>
  <c r="AR80" i="2"/>
  <c r="AS81" i="2"/>
  <c r="AT82" i="2"/>
  <c r="AU83" i="2"/>
  <c r="AV84" i="2"/>
  <c r="AV85" i="2"/>
  <c r="AV86" i="2"/>
  <c r="AS87" i="2"/>
  <c r="AS88" i="2"/>
  <c r="AW89" i="2"/>
  <c r="BX89" i="2"/>
  <c r="AW90" i="2"/>
  <c r="AW91" i="2"/>
  <c r="AX92" i="2"/>
  <c r="AY93" i="2"/>
  <c r="AY94" i="2"/>
  <c r="AX95" i="2"/>
  <c r="BX95" i="2"/>
  <c r="AX96" i="2"/>
  <c r="AX97" i="2"/>
  <c r="BA98" i="2"/>
  <c r="BV98" i="2"/>
  <c r="BR99" i="2"/>
  <c r="BX99" i="2"/>
  <c r="BY100" i="2"/>
  <c r="CE100" i="2"/>
  <c r="BY101" i="2"/>
  <c r="CE101" i="2"/>
  <c r="BY102" i="2"/>
  <c r="BZ103" i="2"/>
  <c r="CB104" i="2"/>
  <c r="CA105" i="2"/>
  <c r="CF105" i="2"/>
  <c r="CA106" i="2"/>
  <c r="CD106" i="2"/>
  <c r="CA107" i="2"/>
  <c r="CB108" i="2"/>
  <c r="CC109" i="2"/>
  <c r="CC110" i="2"/>
  <c r="CC111" i="2"/>
  <c r="CF112" i="2"/>
  <c r="CF113" i="2"/>
  <c r="CF114" i="2"/>
  <c r="CR114" i="2"/>
  <c r="CF115" i="2"/>
  <c r="CR115" i="2"/>
  <c r="AN116" i="2"/>
  <c r="CI116" i="2"/>
  <c r="AN117" i="2"/>
  <c r="AZ117" i="2"/>
  <c r="BA118" i="2"/>
  <c r="BV118" i="2"/>
  <c r="BW119" i="2"/>
  <c r="CI119" i="2"/>
  <c r="AK120" i="2"/>
  <c r="CE120" i="2"/>
  <c r="AL121" i="2"/>
  <c r="AR121" i="2"/>
  <c r="AK122" i="2"/>
  <c r="AL123" i="2"/>
  <c r="AM124" i="2"/>
  <c r="AN125" i="2"/>
  <c r="AO126" i="2"/>
  <c r="AP127" i="2"/>
  <c r="AQ128" i="2"/>
  <c r="AR129" i="2"/>
  <c r="BE130" i="2"/>
  <c r="CA130" i="2"/>
  <c r="BS131" i="2"/>
  <c r="CE131" i="2"/>
  <c r="CA132" i="2"/>
  <c r="CN132" i="2"/>
  <c r="CA133" i="2"/>
  <c r="CN133" i="2"/>
  <c r="CA134" i="2"/>
  <c r="CN134" i="2"/>
  <c r="AL135" i="2"/>
  <c r="CE135" i="2"/>
  <c r="AL136" i="2"/>
  <c r="BW137" i="2"/>
  <c r="CE137" i="2"/>
  <c r="AL139" i="2"/>
  <c r="CO139" i="2"/>
  <c r="BJ140" i="2"/>
  <c r="CO140" i="2"/>
  <c r="BM141" i="2"/>
  <c r="BP142" i="2"/>
  <c r="BJ143" i="2"/>
  <c r="BO144" i="2"/>
  <c r="BR145" i="2"/>
  <c r="BR146" i="2"/>
  <c r="BS147" i="2"/>
  <c r="BS148" i="2"/>
  <c r="BT149" i="2"/>
  <c r="BT150" i="2"/>
  <c r="BW151" i="2"/>
  <c r="CB151" i="2"/>
  <c r="CO152" i="2"/>
  <c r="AN153" i="2"/>
  <c r="CE153" i="2"/>
  <c r="AK154" i="2"/>
  <c r="AJ155" i="2"/>
  <c r="AJ156" i="2"/>
  <c r="AK157" i="2"/>
  <c r="BL158" i="2"/>
  <c r="BN159" i="2"/>
  <c r="BO160" i="2"/>
  <c r="BQ161" i="2"/>
  <c r="BR162" i="2"/>
  <c r="BQ163" i="2"/>
  <c r="BR164" i="2"/>
  <c r="BT165" i="2"/>
  <c r="BT166" i="2"/>
  <c r="BW167" i="2"/>
  <c r="CE167" i="2"/>
  <c r="BJ168" i="2"/>
  <c r="BN168" i="2"/>
  <c r="BJ169" i="2"/>
  <c r="BK170" i="2"/>
  <c r="BL171" i="2"/>
  <c r="BL172" i="2"/>
  <c r="BL173" i="2"/>
  <c r="BL174" i="2"/>
  <c r="BL175" i="2"/>
  <c r="BL176" i="2"/>
  <c r="BL177" i="2"/>
  <c r="BL178" i="2"/>
  <c r="BL179" i="2"/>
  <c r="BM180" i="2"/>
  <c r="BM181" i="2"/>
  <c r="BM182" i="2"/>
  <c r="BM183" i="2"/>
  <c r="BM184" i="2"/>
  <c r="BM185" i="2"/>
  <c r="BM186" i="2"/>
  <c r="BM187" i="2"/>
  <c r="BM188" i="2"/>
  <c r="BM189" i="2"/>
  <c r="BM190" i="2"/>
  <c r="BM191" i="2"/>
  <c r="BM192" i="2"/>
  <c r="BM193" i="2"/>
  <c r="BM194" i="2"/>
  <c r="BM195" i="2"/>
  <c r="BM196" i="2"/>
  <c r="BM197" i="2"/>
  <c r="BM198" i="2"/>
  <c r="BM199" i="2"/>
  <c r="BM200" i="2"/>
  <c r="BN201" i="2"/>
  <c r="BN202" i="2"/>
  <c r="BN203" i="2"/>
  <c r="BN204" i="2"/>
  <c r="BN205" i="2"/>
  <c r="BN206" i="2"/>
  <c r="BN207" i="2"/>
  <c r="BN208" i="2"/>
  <c r="BN209" i="2"/>
  <c r="BL210" i="2"/>
  <c r="BL211" i="2"/>
  <c r="BM212" i="2"/>
  <c r="L136" i="4" l="1"/>
  <c r="L135" i="4"/>
  <c r="L134" i="4"/>
  <c r="L132" i="4"/>
  <c r="L131" i="4"/>
  <c r="L129" i="4"/>
  <c r="L128" i="4"/>
  <c r="L127" i="4"/>
  <c r="L126" i="4"/>
  <c r="L125" i="4"/>
  <c r="L123" i="4"/>
  <c r="L121" i="4"/>
  <c r="L120" i="4"/>
  <c r="L119" i="4"/>
  <c r="L118" i="4"/>
  <c r="L116" i="4"/>
  <c r="L115" i="4"/>
  <c r="L114" i="4"/>
  <c r="L112" i="4"/>
  <c r="L111" i="4"/>
  <c r="L110" i="4"/>
  <c r="L109" i="4"/>
  <c r="L108" i="4"/>
  <c r="L107" i="4"/>
  <c r="L106" i="4"/>
  <c r="L104" i="4"/>
  <c r="L102" i="4"/>
  <c r="L100"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O137" i="4"/>
  <c r="I137" i="4"/>
  <c r="K137" i="4" s="1"/>
  <c r="H137" i="4"/>
  <c r="J137" i="4" s="1"/>
  <c r="G137" i="4"/>
  <c r="O133" i="4"/>
  <c r="I133" i="4"/>
  <c r="K133" i="4" s="1"/>
  <c r="H133" i="4"/>
  <c r="G133" i="4"/>
  <c r="O130" i="4"/>
  <c r="I130" i="4"/>
  <c r="K130" i="4" s="1"/>
  <c r="H130" i="4"/>
  <c r="J130" i="4" s="1"/>
  <c r="G130" i="4"/>
  <c r="O124" i="4"/>
  <c r="I124" i="4"/>
  <c r="H124" i="4"/>
  <c r="G124" i="4"/>
  <c r="O122" i="4"/>
  <c r="I122" i="4"/>
  <c r="K122" i="4" s="1"/>
  <c r="H122" i="4"/>
  <c r="J122" i="4" s="1"/>
  <c r="G122" i="4"/>
  <c r="O117" i="4"/>
  <c r="I117" i="4"/>
  <c r="K117" i="4" s="1"/>
  <c r="H117" i="4"/>
  <c r="G117" i="4"/>
  <c r="O113" i="4"/>
  <c r="I113" i="4"/>
  <c r="K113" i="4" s="1"/>
  <c r="H113" i="4"/>
  <c r="J113" i="4" s="1"/>
  <c r="G113" i="4"/>
  <c r="O105" i="4"/>
  <c r="I105" i="4"/>
  <c r="K105" i="4" s="1"/>
  <c r="H105" i="4"/>
  <c r="G105" i="4"/>
  <c r="O103" i="4"/>
  <c r="I103" i="4"/>
  <c r="K103" i="4" s="1"/>
  <c r="H103" i="4"/>
  <c r="J103" i="4" s="1"/>
  <c r="G103" i="4"/>
  <c r="O101" i="4"/>
  <c r="I101" i="4"/>
  <c r="K101" i="4" s="1"/>
  <c r="H101" i="4"/>
  <c r="G101" i="4"/>
  <c r="O99" i="4"/>
  <c r="O139" i="4" s="1"/>
  <c r="I99" i="4"/>
  <c r="I139" i="4" s="1"/>
  <c r="H99" i="4"/>
  <c r="H139" i="4" s="1"/>
  <c r="G99" i="4"/>
  <c r="G139" i="4" s="1"/>
  <c r="J139" i="4" l="1"/>
  <c r="L139" i="4" s="1"/>
  <c r="J99" i="4"/>
  <c r="K139" i="4"/>
  <c r="L103" i="4"/>
  <c r="K124" i="4"/>
  <c r="J101" i="4"/>
  <c r="L101" i="4" s="1"/>
  <c r="J105" i="4"/>
  <c r="J117" i="4"/>
  <c r="L117" i="4" s="1"/>
  <c r="J124" i="4"/>
  <c r="L124" i="4" s="1"/>
  <c r="J133" i="4"/>
  <c r="L122" i="4"/>
  <c r="L130" i="4"/>
  <c r="L137" i="4"/>
  <c r="L105" i="4"/>
  <c r="L133" i="4"/>
  <c r="L113" i="4"/>
  <c r="K99" i="4"/>
  <c r="C5" i="5"/>
  <c r="L99" i="4"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AE2" i="2" a="1"/>
  <c r="AE1" i="2" a="1"/>
  <c r="D1" i="2" a="1"/>
  <c r="D1" i="2" l="1"/>
  <c r="AE2" i="2"/>
  <c r="AE1" i="2"/>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<sst xmlns="http://schemas.openxmlformats.org/spreadsheetml/2006/main" count="8150" uniqueCount="1884">
  <si>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</si>
  <si>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</si>
  <si>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</si>
  <si>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</si>
  <si>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</si>
  <si>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</si>
  <si>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</si>
  <si>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</si>
  <si>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</si>
  <si>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</si>
  <si>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</si>
  <si>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</si>
  <si>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</si>
  <si>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</si>
  <si>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</si>
  <si>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</si>
  <si>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</si>
  <si>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</si>
  <si>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</si>
  <si>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</si>
  <si>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</si>
  <si>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</si>
  <si>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</si>
  <si>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</si>
  <si>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</si>
  <si>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</si>
  <si>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</si>
  <si>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</si>
  <si>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</si>
  <si>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</si>
  <si>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</si>
  <si>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</si>
  <si>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</si>
  <si>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</si>
  <si>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</si>
  <si>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</si>
  <si>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</si>
  <si>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</si>
  <si>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</si>
  <si>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</si>
  <si>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</si>
  <si>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</si>
  <si>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</si>
  <si>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</si>
  <si>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</si>
  <si>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</si>
  <si>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</si>
  <si>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</si>
  <si>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</si>
  <si>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</si>
  <si>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</si>
  <si>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</si>
  <si>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</si>
  <si>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</si>
  <si>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</si>
  <si>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</si>
  <si>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</si>
  <si>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</si>
  <si>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</si>
  <si>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</si>
  <si>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</si>
  <si>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</si>
  <si>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</si>
  <si>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</si>
  <si>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</si>
  <si>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</si>
  <si>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</si>
  <si>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</si>
  <si>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</si>
  <si>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</si>
  <si>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</si>
  <si>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</si>
  <si>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</si>
  <si>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</si>
  <si>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</si>
  <si>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</si>
  <si>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</si>
  <si>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</si>
  <si>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</si>
  <si>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</si>
  <si>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</si>
  <si>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</si>
  <si>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</si>
  <si>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</si>
  <si>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</si>
  <si>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</si>
  <si>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</si>
  <si>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</si>
  <si>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</si>
  <si>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</si>
  <si>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</si>
  <si>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</si>
  <si>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</si>
  <si>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</si>
  <si>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</si>
  <si>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</si>
  <si>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</si>
  <si>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</si>
  <si>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</si>
  <si>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</si>
  <si>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</si>
  <si>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</si>
  <si>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</si>
  <si>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</si>
  <si>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</si>
  <si>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</si>
  <si>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</si>
  <si>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</si>
  <si>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</si>
  <si>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</si>
  <si>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</si>
  <si>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</si>
  <si>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</si>
  <si>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</si>
  <si>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</si>
  <si>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</si>
  <si>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</si>
  <si>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</si>
  <si>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</si>
  <si>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</si>
  <si>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</si>
  <si>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</si>
  <si>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</si>
  <si>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</si>
  <si>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</si>
  <si>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</si>
  <si>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</si>
  <si>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</si>
  <si>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</si>
  <si>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</si>
  <si>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</si>
  <si>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</si>
  <si>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</si>
  <si>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</si>
  <si>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</si>
  <si>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</si>
  <si>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</si>
  <si>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</si>
  <si>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</si>
  <si>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</si>
  <si>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</si>
  <si>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</si>
  <si>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</si>
  <si>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</si>
  <si>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</si>
  <si>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</si>
  <si>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</si>
  <si>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</si>
  <si>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</si>
  <si>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</si>
  <si>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</si>
  <si>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</si>
  <si>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</si>
  <si>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</si>
  <si>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</si>
  <si>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</si>
  <si>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</si>
  <si>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</si>
  <si>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</si>
  <si>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</si>
  <si>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</si>
  <si>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</si>
  <si>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</si>
  <si>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</si>
  <si>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</si>
  <si>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</si>
  <si>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</si>
  <si>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</si>
  <si>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</si>
  <si>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</si>
  <si>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</si>
  <si>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</si>
  <si>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</si>
  <si>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</si>
  <si>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</si>
  <si>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</si>
  <si>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</si>
  <si>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</si>
  <si>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</si>
  <si>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</si>
  <si>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</si>
  <si>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</si>
  <si>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</si>
  <si>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</si>
  <si>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</si>
  <si>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</si>
  <si>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</si>
  <si>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</si>
  <si>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</si>
  <si>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</si>
  <si>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</si>
  <si>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</si>
  <si>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</si>
  <si>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</si>
  <si>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</si>
  <si>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</si>
  <si>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</si>
  <si>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</si>
  <si>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</si>
  <si>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</si>
  <si>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</si>
  <si>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</si>
  <si>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</si>
  <si>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</si>
  <si>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</si>
  <si>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</si>
  <si>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</si>
  <si>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</si>
  <si>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</si>
  <si>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</si>
  <si>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</si>
  <si>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</si>
  <si>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</si>
  <si>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</si>
  <si>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</si>
  <si>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</si>
  <si>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</si>
  <si>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</si>
  <si>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</si>
  <si>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</si>
  <si>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</si>
  <si>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</si>
  <si>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</si>
  <si>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</si>
  <si>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</si>
  <si>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</si>
  <si>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</si>
  <si>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</si>
  <si>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</si>
  <si>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</si>
  <si>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</si>
  <si>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</si>
  <si>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</si>
  <si>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</si>
  <si>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</si>
  <si>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</si>
  <si>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</si>
  <si>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</si>
  <si>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</si>
  <si>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</si>
  <si>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</si>
  <si>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</si>
  <si>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</si>
  <si>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</si>
  <si>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</si>
  <si>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</si>
  <si>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</si>
  <si>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</si>
  <si>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</si>
  <si>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</si>
  <si>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</si>
  <si>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</si>
  <si>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</si>
  <si>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</si>
  <si>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</si>
  <si>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</si>
  <si>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</si>
  <si>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</si>
  <si>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</si>
  <si>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</si>
  <si>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</si>
  <si>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</si>
  <si>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</si>
  <si>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</si>
  <si>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</si>
  <si>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</si>
  <si>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</si>
  <si>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</si>
  <si>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</si>
  <si>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</si>
  <si>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</si>
  <si>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</si>
  <si>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</si>
  <si>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</si>
  <si>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</si>
  <si>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</si>
  <si>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</si>
  <si>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</si>
  <si>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</si>
  <si>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</si>
  <si>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</si>
  <si>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</si>
  <si>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</si>
  <si>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</si>
  <si>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</si>
  <si>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</si>
  <si>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</si>
  <si>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</si>
  <si>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</si>
  <si>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</si>
  <si>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</si>
  <si>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</si>
  <si>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</si>
  <si>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</si>
  <si>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</si>
  <si>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</si>
  <si>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</si>
  <si>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</si>
  <si>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</si>
  <si>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</si>
  <si>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</si>
  <si>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</si>
  <si>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</si>
  <si>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</si>
  <si>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</si>
  <si>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</si>
  <si>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</si>
  <si>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</si>
  <si>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</si>
  <si>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</si>
  <si>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</si>
  <si>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</si>
  <si>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</si>
  <si>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</si>
  <si>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</si>
  <si>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</si>
  <si>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</si>
  <si>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</si>
  <si>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</si>
  <si>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</si>
  <si>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</si>
  <si>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</si>
  <si>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</si>
  <si>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</si>
  <si>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</si>
  <si>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</si>
  <si>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</si>
  <si>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</si>
  <si>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</si>
  <si>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</si>
  <si>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</si>
  <si>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</si>
  <si>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</si>
  <si>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</si>
  <si>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</si>
  <si>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</si>
  <si>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</si>
  <si>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</si>
  <si>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</si>
  <si>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</si>
  <si>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</si>
  <si>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</si>
  <si>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</si>
  <si>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</si>
  <si>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</si>
  <si>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</si>
  <si>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</si>
  <si>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</si>
  <si>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</si>
  <si>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</si>
  <si>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</si>
  <si>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</si>
  <si>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</si>
  <si>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</si>
  <si>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</si>
  <si>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</si>
  <si>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</si>
  <si>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</si>
  <si>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</si>
  <si>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</si>
  <si>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</si>
  <si>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</si>
  <si>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</si>
  <si>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</si>
  <si>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</si>
  <si>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</si>
  <si>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</si>
  <si>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</si>
  <si>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</si>
  <si>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</si>
  <si>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</si>
  <si>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</si>
  <si>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</si>
  <si>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</si>
  <si>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</si>
  <si>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</si>
  <si>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</si>
  <si>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</si>
  <si>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</si>
  <si>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</si>
  <si>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</si>
  <si>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</si>
  <si>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</si>
  <si>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</si>
  <si>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</si>
  <si>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</si>
  <si>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</si>
  <si>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</si>
  <si>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</si>
  <si>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</si>
  <si>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</si>
  <si>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</si>
  <si>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</si>
  <si>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</si>
  <si>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</si>
  <si>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</si>
  <si>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</si>
  <si>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</si>
  <si>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</si>
  <si>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</si>
  <si>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</si>
  <si>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</si>
  <si>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</si>
  <si>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</si>
  <si>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</si>
  <si>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</si>
  <si>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</si>
  <si>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</si>
  <si>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</si>
  <si>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</si>
  <si>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</si>
  <si>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</si>
  <si>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</si>
  <si>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</si>
  <si>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</si>
  <si>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</si>
  <si>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</si>
  <si>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</si>
  <si>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</si>
  <si>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</si>
  <si>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</si>
  <si>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</si>
  <si>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</si>
  <si>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</si>
  <si>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</si>
  <si>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</si>
  <si>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</si>
  <si>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</si>
  <si>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</si>
  <si>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</si>
  <si>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</si>
  <si>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</si>
  <si>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</si>
  <si>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</si>
  <si>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</si>
  <si>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</si>
  <si>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</si>
  <si>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</si>
  <si>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</si>
  <si>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</si>
  <si>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</si>
  <si>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</si>
  <si>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</si>
  <si>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</si>
  <si>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</si>
  <si>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</si>
  <si>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</si>
  <si>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</si>
  <si>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</si>
  <si>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</si>
  <si>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</si>
  <si>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</si>
  <si>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</si>
  <si>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</si>
  <si>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</si>
  <si>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</si>
  <si>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</si>
  <si>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</si>
  <si>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</si>
  <si>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</si>
  <si>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</si>
  <si>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</si>
  <si>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</si>
  <si>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</si>
  <si>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</si>
  <si>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</si>
  <si>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</si>
  <si>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</si>
  <si>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</si>
  <si>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</si>
  <si>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</si>
  <si>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</si>
  <si>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</si>
  <si>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</si>
  <si>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</si>
  <si>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</si>
  <si>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</si>
  <si>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</si>
  <si>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</si>
  <si>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</si>
  <si>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</si>
  <si>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</si>
  <si>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</si>
  <si>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</si>
  <si>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</si>
  <si>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</si>
  <si>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</si>
  <si>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</si>
  <si>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</si>
  <si>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</si>
  <si>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</si>
  <si>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</si>
  <si>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</si>
  <si>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</si>
  <si>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</si>
  <si>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</si>
  <si>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</si>
  <si>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</si>
  <si>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</si>
  <si>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</si>
  <si>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</si>
  <si>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</si>
  <si>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</si>
  <si>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</si>
  <si>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</si>
  <si>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</si>
  <si>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</si>
  <si>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</si>
  <si>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</si>
  <si>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</si>
  <si>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</si>
  <si>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</si>
  <si>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</si>
  <si>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</si>
  <si>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</si>
  <si>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</si>
  <si>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</si>
  <si>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</si>
  <si>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</si>
  <si>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</si>
  <si>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</si>
  <si>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</si>
  <si>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</si>
  <si>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</si>
  <si>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</si>
  <si>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</si>
  <si>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</si>
  <si>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</si>
  <si>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</si>
  <si>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</si>
  <si>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</si>
  <si>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</si>
  <si>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</si>
  <si>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</si>
  <si>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</si>
  <si>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</si>
  <si>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</si>
  <si>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</si>
  <si>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</si>
  <si>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</si>
  <si>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</si>
  <si>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</si>
  <si>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</si>
  <si>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</si>
  <si>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</si>
  <si>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</si>
  <si>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</si>
  <si>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</si>
  <si>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</si>
  <si>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</si>
  <si>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</si>
  <si>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</si>
  <si>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</si>
  <si>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</si>
  <si>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</si>
  <si>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</si>
  <si>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</si>
  <si>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</si>
  <si>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</si>
  <si>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</si>
  <si>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</si>
  <si>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</si>
  <si>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</si>
  <si>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</si>
  <si>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</si>
  <si>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</si>
  <si>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</si>
  <si>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</si>
  <si>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</si>
  <si>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</si>
  <si>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</si>
  <si>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</si>
  <si>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</si>
  <si>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</si>
  <si>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</si>
  <si>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</si>
  <si>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</si>
  <si>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</si>
  <si>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</si>
  <si>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</si>
  <si>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</si>
  <si>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</si>
  <si>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</si>
  <si>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</si>
  <si>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</si>
  <si>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</si>
  <si>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</si>
  <si>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</si>
  <si>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</si>
  <si>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</si>
  <si>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</si>
  <si>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</si>
  <si>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</si>
  <si>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</si>
  <si>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</si>
  <si>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</si>
  <si>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</si>
  <si>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</si>
  <si>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</si>
  <si>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</si>
  <si>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</si>
  <si>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</si>
  <si>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</si>
  <si>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</si>
  <si>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</si>
  <si>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</si>
  <si>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</si>
  <si>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</si>
  <si>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</si>
  <si>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</si>
  <si>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</si>
  <si>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</si>
  <si>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</si>
  <si>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</si>
  <si>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</si>
  <si>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</si>
  <si>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</si>
  <si>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</si>
  <si>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</si>
  <si>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</si>
  <si>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</si>
  <si>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</si>
  <si>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</si>
  <si>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</si>
  <si>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</si>
  <si>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</si>
  <si>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</si>
  <si>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</si>
  <si>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</si>
  <si>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</si>
  <si>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</si>
  <si>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</si>
  <si>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</si>
  <si>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</si>
  <si>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</si>
  <si>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</si>
  <si>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</si>
  <si>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</si>
  <si>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</si>
  <si>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</si>
  <si>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</si>
  <si>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</si>
  <si>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</si>
  <si>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</si>
  <si>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</si>
  <si>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</si>
  <si>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</si>
  <si>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</si>
  <si>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</si>
  <si>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</si>
  <si>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</si>
  <si>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</si>
  <si>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</si>
  <si>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</si>
  <si>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</si>
  <si>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</si>
  <si>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</si>
  <si>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</si>
  <si>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</si>
  <si>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</si>
  <si>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</si>
  <si>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</si>
  <si>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</si>
  <si>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</si>
  <si>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</si>
  <si>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</si>
  <si>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</si>
  <si>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</si>
  <si>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</si>
  <si>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</si>
  <si>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</si>
  <si>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</si>
  <si>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</si>
  <si>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</si>
  <si>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</si>
  <si>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</si>
  <si>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</si>
  <si>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</si>
  <si>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</si>
  <si>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</si>
  <si>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</si>
  <si>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</si>
  <si>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</si>
  <si>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</si>
  <si>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</si>
  <si>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</si>
  <si>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</si>
  <si>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</si>
  <si>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</si>
  <si>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</si>
  <si>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</si>
  <si>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</si>
  <si>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</si>
  <si>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</si>
  <si>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</si>
  <si>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</si>
  <si>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</si>
  <si>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</si>
  <si>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</si>
  <si>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</si>
  <si>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</si>
  <si>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</si>
  <si>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</si>
  <si>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</si>
  <si>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</si>
  <si>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</si>
  <si>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</si>
  <si>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</si>
  <si>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</si>
  <si>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</si>
  <si>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</si>
  <si>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</si>
  <si>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</si>
  <si>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</si>
  <si>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</si>
  <si>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</si>
  <si>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</si>
  <si>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</si>
  <si>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</si>
  <si>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</si>
  <si>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</si>
  <si>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</si>
  <si>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</si>
  <si>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</si>
  <si>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</si>
  <si>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</si>
  <si>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</si>
  <si>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</si>
  <si>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</si>
  <si>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</si>
  <si>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</si>
  <si>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</si>
  <si>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</si>
  <si>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</si>
  <si>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</si>
  <si>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</si>
  <si>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</si>
  <si>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</si>
  <si>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</si>
  <si>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</si>
  <si>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</si>
  <si>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</si>
  <si>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</si>
  <si>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</si>
  <si>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</si>
  <si>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</si>
  <si>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</si>
  <si>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</si>
  <si>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</si>
  <si>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</si>
  <si>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</si>
  <si>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</si>
  <si>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</si>
  <si>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</si>
  <si>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</si>
  <si>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</si>
  <si>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</si>
  <si>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</si>
  <si>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</si>
  <si>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</si>
  <si>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</si>
  <si>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</si>
  <si>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</si>
  <si>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</si>
  <si>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</si>
  <si>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</si>
  <si>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</si>
  <si>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</si>
  <si>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</si>
  <si>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</si>
  <si>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</si>
  <si>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</si>
  <si>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</si>
  <si>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</si>
  <si>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</si>
  <si>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</si>
  <si>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</si>
  <si>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</si>
  <si>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</si>
  <si>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</si>
  <si>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</si>
  <si>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</si>
  <si>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</si>
  <si>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</si>
  <si>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</si>
  <si>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</si>
  <si>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</si>
  <si>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</si>
  <si>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</si>
  <si>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</si>
  <si>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</si>
  <si>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</si>
  <si>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</si>
  <si>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</si>
  <si>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</si>
  <si>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</si>
  <si>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</si>
  <si>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</si>
  <si>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</si>
  <si>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</si>
  <si>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</si>
  <si>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</si>
  <si>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</si>
  <si>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</si>
  <si>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</si>
  <si>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</si>
  <si>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</si>
  <si>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</si>
  <si>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</si>
  <si>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</si>
  <si>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</si>
  <si>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</si>
  <si>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</si>
  <si>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</si>
  <si>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</si>
  <si>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</si>
  <si>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</si>
  <si>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</si>
  <si>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</si>
  <si>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</si>
  <si>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</si>
  <si>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</si>
  <si>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</si>
  <si>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</si>
  <si>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</si>
  <si>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</si>
  <si>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</si>
  <si>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</si>
  <si>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</si>
  <si>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</si>
  <si>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</si>
  <si>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</si>
  <si>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</si>
  <si>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</si>
  <si>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</si>
  <si>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</si>
  <si>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</si>
  <si>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</si>
  <si>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</si>
  <si>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</si>
  <si>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</si>
  <si>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</si>
  <si>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</si>
  <si>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</si>
  <si>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</si>
  <si>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</si>
  <si>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</si>
  <si>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</si>
  <si>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</si>
  <si>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</si>
  <si>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</si>
  <si>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</si>
  <si>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</si>
  <si>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</si>
  <si>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</si>
  <si>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</si>
  <si>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</si>
  <si>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</si>
  <si>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</si>
  <si>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</si>
  <si>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</si>
  <si>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</si>
  <si>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</si>
  <si>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</si>
  <si>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</si>
  <si>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</si>
  <si>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</si>
  <si>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</si>
  <si>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</si>
  <si>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</si>
  <si>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</si>
  <si>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</si>
  <si>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</si>
  <si>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</si>
  <si>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</si>
  <si>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</si>
  <si>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</si>
  <si>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</si>
  <si>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</si>
  <si>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</si>
  <si>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</si>
  <si>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</si>
  <si>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</si>
  <si>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</si>
  <si>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</si>
  <si>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</si>
  <si>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</si>
  <si>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</si>
  <si>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</si>
  <si>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</si>
  <si>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</si>
  <si>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</si>
  <si>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</si>
  <si>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</si>
  <si>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</si>
  <si>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</si>
  <si>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</si>
  <si>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</si>
  <si>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</si>
  <si>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</si>
  <si>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</si>
  <si>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</si>
  <si>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</si>
  <si>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</si>
  <si>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</si>
  <si>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</si>
  <si>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</si>
  <si>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</si>
  <si>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</si>
  <si>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</si>
  <si>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</si>
  <si>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</si>
  <si>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</si>
  <si>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</si>
  <si>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</si>
  <si>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</si>
  <si>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</si>
  <si>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</si>
  <si>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</si>
  <si>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</si>
  <si>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</si>
  <si>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</si>
  <si>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</si>
  <si>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</si>
  <si>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</si>
  <si>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</si>
  <si>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</si>
  <si>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</si>
  <si>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</si>
  <si>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</si>
  <si>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</si>
  <si>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</si>
  <si>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</si>
  <si>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</si>
  <si>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</si>
  <si>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</si>
  <si>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</si>
  <si>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</si>
  <si>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</si>
  <si>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</si>
  <si>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</si>
  <si>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</si>
  <si>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</si>
  <si>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</si>
  <si>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</si>
  <si>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</si>
  <si>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</si>
  <si>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</si>
  <si>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</si>
  <si>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</si>
  <si>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</si>
  <si>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</si>
  <si>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</si>
  <si>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</si>
  <si>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</si>
  <si>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</si>
  <si>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</si>
  <si>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</si>
  <si>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</si>
  <si>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</si>
  <si>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</si>
  <si>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</si>
  <si>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</si>
  <si>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</si>
  <si>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</si>
  <si>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</si>
  <si>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</si>
  <si>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</si>
  <si>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</si>
  <si>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</si>
  <si>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</si>
  <si>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</si>
  <si>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</si>
  <si>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</si>
  <si>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</si>
  <si>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</si>
  <si>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</si>
  <si>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</si>
  <si>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</si>
  <si>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</si>
  <si>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</si>
  <si>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</si>
  <si>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</si>
  <si>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</si>
  <si>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</si>
  <si>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</si>
  <si>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</si>
  <si>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</si>
  <si>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</si>
  <si>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</si>
  <si>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</si>
  <si>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</si>
  <si>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</si>
  <si>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</si>
  <si>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</si>
  <si>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</si>
  <si>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</si>
  <si>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</si>
  <si>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</si>
  <si>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</si>
  <si>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</si>
  <si>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</si>
  <si>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</si>
  <si>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</si>
  <si>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</si>
  <si>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</si>
  <si>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</si>
  <si>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</si>
  <si>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</si>
  <si>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</si>
  <si>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</si>
  <si>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</si>
  <si>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</si>
  <si>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</si>
  <si>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</si>
  <si>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</si>
  <si>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</si>
  <si>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</si>
  <si>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</si>
  <si>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</si>
  <si>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</si>
  <si>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</si>
  <si>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</si>
  <si>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</si>
  <si>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</si>
  <si>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</si>
  <si>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</si>
  <si>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</si>
  <si>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</si>
  <si>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</si>
  <si>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</si>
  <si>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</si>
  <si>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</si>
  <si>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</si>
  <si>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</si>
  <si>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</si>
  <si>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</si>
  <si>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</si>
  <si>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</si>
  <si>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</si>
  <si>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</si>
  <si>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</si>
  <si>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</si>
  <si>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</si>
  <si>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</si>
  <si>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</si>
  <si>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</si>
  <si>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</si>
  <si>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</si>
  <si>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</si>
  <si>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</si>
  <si>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</si>
  <si>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</si>
  <si>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</si>
  <si>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</si>
  <si>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</si>
  <si>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</si>
  <si>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</si>
  <si>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</si>
  <si>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</si>
  <si>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</si>
  <si>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</si>
  <si>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</si>
  <si>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</si>
  <si>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</si>
  <si>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</si>
  <si>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</si>
  <si>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</si>
  <si>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</si>
  <si>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</si>
  <si>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</si>
  <si>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</si>
  <si>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</si>
  <si>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</si>
  <si>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</si>
  <si>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</si>
  <si>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</si>
  <si>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</si>
  <si>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</si>
  <si>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</si>
  <si>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</si>
  <si>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</si>
  <si>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</si>
  <si>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</si>
  <si>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</si>
  <si>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</si>
  <si>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</si>
  <si>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</si>
  <si>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</si>
  <si>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</si>
  <si>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</si>
  <si>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</si>
  <si>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</si>
  <si>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</si>
  <si>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</si>
  <si>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</si>
  <si>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</si>
  <si>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</si>
  <si>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</si>
  <si>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</si>
  <si>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</si>
  <si>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</si>
  <si>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</si>
  <si>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</si>
  <si>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</si>
  <si>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1.3.2</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</si>
  <si>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</si>
  <si>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</si>
  <si>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</si>
  <si>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</si>
  <si>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</si>
  <si>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</si>
  <si>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</si>
  <si>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</si>
  <si>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</si>
  <si>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</si>
  <si>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</si>
  <si>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</si>
  <si>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</si>
  <si>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</si>
  <si>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</si>
  <si>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</si>
  <si>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</si>
  <si>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</si>
  <si>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</si>
  <si>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</si>
  <si>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</si>
  <si>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</si>
  <si>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</si>
  <si>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</si>
  <si>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</si>
  <si>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</si>
  <si>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</si>
  <si>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</si>
  <si>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</si>
  <si>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</si>
  <si>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</si>
  <si>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</si>
  <si>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</si>
  <si>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</si>
  <si>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</si>
  <si>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</si>
  <si>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</si>
  <si>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</si>
  <si>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</si>
  <si>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</si>
  <si>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</si>
  <si>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</si>
  <si>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</si>
  <si>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</si>
  <si>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</si>
  <si>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</si>
  <si>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</si>
  <si>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</si>
  <si>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</si>
  <si>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</si>
  <si>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</si>
  <si>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</si>
  <si>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</si>
  <si>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</si>
  <si>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</si>
  <si>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</si>
  <si>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</si>
  <si>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</si>
  <si>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</si>
  <si>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</si>
  <si>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</si>
  <si>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</si>
  <si>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</si>
  <si>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</si>
  <si>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</si>
  <si>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</si>
  <si>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</si>
  <si>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</si>
  <si>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</si>
  <si>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</si>
  <si>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</si>
  <si>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</si>
  <si>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</si>
  <si>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</si>
  <si>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</si>
  <si>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</si>
  <si>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</si>
  <si>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</si>
  <si>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</si>
  <si>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</si>
  <si>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</si>
  <si>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</si>
  <si>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</si>
  <si>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</si>
  <si>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</si>
  <si>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</si>
  <si>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</si>
  <si>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</si>
  <si>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</si>
  <si>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</si>
  <si>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</si>
  <si>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</si>
  <si>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</si>
  <si>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</si>
  <si>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</si>
  <si>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</si>
  <si>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</si>
  <si>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</si>
  <si>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</si>
  <si>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</si>
  <si>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</si>
  <si>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</si>
  <si>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</si>
  <si>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</si>
  <si>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</si>
  <si>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</si>
  <si>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</si>
  <si>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</si>
  <si>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</si>
  <si>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</si>
  <si>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</si>
  <si>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</si>
  <si>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</si>
  <si>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</si>
  <si>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</si>
  <si>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</si>
  <si>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</si>
  <si>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</si>
  <si>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</si>
  <si>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</si>
  <si>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</si>
  <si>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</si>
  <si>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</si>
  <si>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</si>
  <si>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</si>
  <si>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</si>
  <si>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</si>
  <si>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</si>
  <si>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</si>
  <si>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</si>
  <si>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</si>
  <si>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</si>
  <si>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</si>
  <si>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</si>
  <si>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</si>
  <si>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</si>
  <si>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</si>
  <si>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</si>
  <si>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</si>
  <si>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</si>
  <si>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</si>
  <si>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</si>
  <si>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</si>
  <si>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</si>
  <si>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</si>
  <si>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projectWeekNumber</t>
  </si>
  <si>
    <t>설계</t>
  </si>
  <si>
    <t>개발</t>
  </si>
  <si>
    <t>W1</t>
  </si>
  <si>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</si>
  <si>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</si>
  <si>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</si>
  <si>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</si>
  <si>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</si>
  <si>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</si>
  <si>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</si>
  <si>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</si>
  <si>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</si>
  <si>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</si>
  <si>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</si>
  <si>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</si>
  <si>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</si>
  <si>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</si>
  <si>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</si>
  <si>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</si>
  <si>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</si>
  <si>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</si>
  <si>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</si>
  <si>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</si>
  <si>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</si>
  <si>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</si>
  <si>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</si>
  <si>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</si>
  <si>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프로젝트 종료</t>
  </si>
  <si>
    <t>시스템 개발</t>
  </si>
  <si>
    <t>2.1.1</t>
  </si>
  <si>
    <t>요구사항정의</t>
  </si>
  <si>
    <t>2.1.2</t>
  </si>
  <si>
    <t>2.1.2.1</t>
  </si>
  <si>
    <t>2.1.2.2</t>
  </si>
  <si>
    <t>2.2.1</t>
  </si>
  <si>
    <t>UI 설계</t>
  </si>
  <si>
    <t>2.2.2</t>
  </si>
  <si>
    <t>시스템 설계</t>
  </si>
  <si>
    <t>2.2.2.1</t>
  </si>
  <si>
    <t>2.2.2.2</t>
  </si>
  <si>
    <t>데이터베이스설계</t>
  </si>
  <si>
    <t>프로그램설계</t>
  </si>
  <si>
    <t>2.3.1</t>
  </si>
  <si>
    <t>프로그램 개발</t>
  </si>
  <si>
    <t>2.3.1.1</t>
  </si>
  <si>
    <t>프로그램코딩 및 단위테스트</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</si>
  <si>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</si>
  <si>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</si>
  <si>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</si>
  <si>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</si>
  <si>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</si>
  <si>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</si>
  <si>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</si>
  <si>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</si>
  <si>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</si>
  <si>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</si>
  <si>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</si>
  <si>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</si>
  <si>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</si>
  <si>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</si>
  <si>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</si>
  <si>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</si>
  <si>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</si>
  <si>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</si>
  <si>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2.4.2.4</t>
  </si>
  <si>
    <t>시스템오픈</t>
  </si>
  <si>
    <t>W5</t>
  </si>
  <si>
    <t>W9</t>
  </si>
  <si>
    <t>W13</t>
  </si>
  <si>
    <t>W17</t>
  </si>
  <si>
    <t>W21</t>
  </si>
  <si>
    <t>2.1</t>
  </si>
  <si>
    <t>2.2</t>
  </si>
  <si>
    <t>2.3</t>
  </si>
  <si>
    <t>2.4</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</si>
  <si>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</si>
  <si>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</si>
  <si>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</si>
  <si>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</si>
  <si>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</si>
  <si>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</si>
  <si>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</si>
  <si>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</si>
  <si>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</si>
  <si>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</si>
  <si>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</si>
  <si>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</si>
  <si>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</si>
  <si>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</si>
  <si>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</si>
  <si>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</si>
  <si>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</si>
  <si>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</si>
  <si>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</si>
  <si>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</si>
  <si>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</si>
  <si>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</si>
  <si>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</si>
  <si>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</si>
  <si>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</si>
  <si>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</si>
  <si>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</si>
  <si>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</si>
  <si>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</si>
  <si>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</si>
  <si>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</si>
  <si>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</si>
  <si>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</si>
  <si>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</si>
  <si>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</si>
  <si>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</si>
  <si>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</si>
  <si>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</si>
  <si>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</si>
  <si>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</si>
  <si>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</si>
  <si>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</si>
  <si>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</si>
  <si>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</si>
  <si>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</si>
  <si>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</si>
  <si>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</si>
  <si>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</si>
  <si>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</si>
  <si>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</si>
  <si>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</si>
  <si>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</si>
  <si>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</si>
  <si>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</si>
  <si>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</si>
  <si>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</si>
  <si>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</si>
  <si>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</si>
  <si>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</si>
  <si>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</si>
  <si>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</si>
  <si>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</si>
  <si>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</si>
  <si>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</si>
  <si>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</si>
  <si>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</si>
  <si>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</si>
  <si>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</si>
  <si>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</si>
  <si>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</si>
  <si>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</si>
  <si>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</si>
  <si>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</si>
  <si>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</si>
  <si>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</si>
  <si>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</si>
  <si>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</si>
  <si>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</si>
  <si>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</si>
  <si>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</si>
  <si>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</si>
  <si>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</si>
  <si>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</si>
  <si>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</si>
  <si>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</si>
  <si>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</si>
  <si>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</si>
  <si>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</si>
  <si>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</si>
  <si>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</si>
  <si>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</si>
  <si>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</si>
  <si>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</si>
  <si>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</si>
  <si>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</si>
  <si>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</si>
  <si>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</si>
  <si>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</si>
  <si>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</si>
  <si>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</si>
  <si>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</si>
  <si>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</si>
  <si>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</si>
  <si>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</si>
  <si>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</si>
  <si>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</si>
  <si>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</si>
  <si>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</si>
  <si>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종료보고</t>
  </si>
  <si>
    <t>검수 및 종료</t>
  </si>
  <si>
    <t>10066176;10066176;26367;8421504;26367;8421504;16764108;16737792;65280;16737792;13311;65280;14540253;255</t>
    <phoneticPr fontId="2" type="noConversion"/>
  </si>
  <si>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</si>
  <si>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</si>
  <si>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</si>
  <si>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</si>
  <si>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</si>
  <si>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</si>
  <si>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</si>
  <si>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</si>
  <si>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</si>
  <si>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</si>
  <si>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</si>
  <si>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</si>
  <si>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</si>
  <si>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</si>
  <si>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</si>
  <si>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</si>
  <si>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</si>
  <si>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</si>
  <si>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</si>
  <si>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</si>
  <si>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</si>
  <si>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</si>
  <si>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</si>
  <si>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</si>
  <si>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</si>
  <si>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</si>
  <si>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</si>
  <si>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</si>
  <si>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</si>
  <si>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㈜선광 전산통합IT리뉴얼 구축</t>
    <phoneticPr fontId="2" type="noConversion"/>
  </si>
  <si>
    <t>프로젝트 진척율 - 일정변경 관리할때</t>
    <phoneticPr fontId="4" type="noConversion"/>
  </si>
  <si>
    <t>W25</t>
  </si>
  <si>
    <t>W29</t>
  </si>
  <si>
    <t>W33</t>
  </si>
  <si>
    <t>W37</t>
  </si>
  <si>
    <t>W41</t>
  </si>
  <si>
    <t>W45</t>
  </si>
  <si>
    <t>W49</t>
  </si>
  <si>
    <t>W53</t>
  </si>
  <si>
    <t>W57</t>
  </si>
  <si>
    <t>업무별 프로세스 분석</t>
  </si>
  <si>
    <t>본선작업</t>
  </si>
  <si>
    <t>2.1.2.3</t>
  </si>
  <si>
    <t>2.1.2.4</t>
  </si>
  <si>
    <t>2.1.2.5</t>
  </si>
  <si>
    <t>2.1.2.6</t>
  </si>
  <si>
    <t>2.1.2.7</t>
  </si>
  <si>
    <t>2.1.2.8</t>
  </si>
  <si>
    <t>2.1.2.9</t>
  </si>
  <si>
    <t>2.1.2.10</t>
  </si>
  <si>
    <t>2.1.2.11</t>
  </si>
  <si>
    <t>2.1.2.12</t>
  </si>
  <si>
    <t>2.1.2.13</t>
  </si>
  <si>
    <t>2.1.2.14</t>
  </si>
  <si>
    <t>정산</t>
  </si>
  <si>
    <t>장비정비</t>
  </si>
  <si>
    <t>EDI</t>
  </si>
  <si>
    <t>카페리</t>
  </si>
  <si>
    <t>북항 홈페이지</t>
  </si>
  <si>
    <t>모바일</t>
  </si>
  <si>
    <t>차량위치</t>
  </si>
  <si>
    <t>선박위치</t>
  </si>
  <si>
    <t>이재익차장</t>
  </si>
  <si>
    <t>김재훈차장</t>
  </si>
  <si>
    <t>황의천과장</t>
  </si>
  <si>
    <t>권서동부장</t>
  </si>
  <si>
    <t>본사지원</t>
  </si>
  <si>
    <t>사업수행계획서</t>
  </si>
  <si>
    <t>착수보고서</t>
  </si>
  <si>
    <t>검수확인서</t>
  </si>
  <si>
    <t>중간보고서</t>
  </si>
  <si>
    <t>2022년 설연휴</t>
    <phoneticPr fontId="2" type="noConversion"/>
  </si>
  <si>
    <t>2022년 설날</t>
    <phoneticPr fontId="2" type="noConversion"/>
  </si>
  <si>
    <t>2022년 삼일절</t>
    <phoneticPr fontId="2" type="noConversion"/>
  </si>
  <si>
    <t>2021
W1</t>
  </si>
  <si>
    <t>02/01
W5</t>
  </si>
  <si>
    <t>03/01
W9</t>
  </si>
  <si>
    <t>03/29
W13</t>
  </si>
  <si>
    <t>04/26
W17</t>
  </si>
  <si>
    <t>05/24
W21</t>
  </si>
  <si>
    <t>06/21
W25</t>
  </si>
  <si>
    <t>07/19
W29</t>
  </si>
  <si>
    <t>08/16
W33</t>
  </si>
  <si>
    <t>09/13
W37</t>
  </si>
  <si>
    <t>10/11
W41</t>
  </si>
  <si>
    <t>11/08
W45</t>
  </si>
  <si>
    <t>12/06
W49</t>
  </si>
  <si>
    <t>2022
W1</t>
  </si>
  <si>
    <t>2.4.3</t>
  </si>
  <si>
    <t>안정화 지원</t>
  </si>
  <si>
    <t>01/31
W5</t>
  </si>
  <si>
    <t>02/28
W9</t>
  </si>
  <si>
    <t>W61</t>
  </si>
  <si>
    <t>03/28
W13</t>
  </si>
  <si>
    <t>W65</t>
  </si>
  <si>
    <t>2.3.1.1.1</t>
  </si>
  <si>
    <t>2.3.1.1.2</t>
  </si>
  <si>
    <t>2.3.1.1.3</t>
  </si>
  <si>
    <t>2.3.1.1.4</t>
  </si>
  <si>
    <t>ERP Package</t>
  </si>
  <si>
    <t>그룹웨어 Package</t>
  </si>
  <si>
    <t>Infra</t>
  </si>
  <si>
    <t>네트워크</t>
  </si>
  <si>
    <t>서버</t>
  </si>
  <si>
    <t>LAN 공사</t>
  </si>
  <si>
    <t>전산실 공사</t>
  </si>
  <si>
    <t>5.4.1</t>
  </si>
  <si>
    <t>SNCT 분전반 설치</t>
  </si>
  <si>
    <t>5.4.2</t>
  </si>
  <si>
    <t>UPS 전원 설치(10K)</t>
  </si>
  <si>
    <t>네트워크 구성 실사</t>
  </si>
  <si>
    <t>환경 분석 및 설계(IP 및 구성 설계)</t>
  </si>
  <si>
    <t>네트워크 장비 Delivery</t>
  </si>
  <si>
    <t>SNCT 전산센터 장비 설치</t>
  </si>
  <si>
    <t>본사 장비 설치</t>
  </si>
  <si>
    <t>북항 장비 설치</t>
  </si>
  <si>
    <t>종합물류 장비 설치</t>
  </si>
  <si>
    <t>군산 장비 설치</t>
  </si>
  <si>
    <t>계열사 및 전산센터 연동 및 테스트</t>
  </si>
  <si>
    <t>모니터링 및 안정화 작업</t>
  </si>
  <si>
    <t>군산장비 남항에 이전 설치</t>
  </si>
  <si>
    <t>5.1</t>
  </si>
  <si>
    <t>5.1.1</t>
  </si>
  <si>
    <t>5.1.2</t>
  </si>
  <si>
    <t>5.1.3</t>
  </si>
  <si>
    <t>5.1.4</t>
  </si>
  <si>
    <t>5.1.5</t>
  </si>
  <si>
    <t>5.1.6</t>
  </si>
  <si>
    <t>5.1.7</t>
  </si>
  <si>
    <t>5.1.8</t>
  </si>
  <si>
    <t>5.1.9</t>
  </si>
  <si>
    <t>5.1.10</t>
  </si>
  <si>
    <t>5.1.11</t>
  </si>
  <si>
    <t>5.2</t>
  </si>
  <si>
    <t>5.3</t>
  </si>
  <si>
    <t>5.4</t>
  </si>
  <si>
    <t>현장실사</t>
  </si>
  <si>
    <t xml:space="preserve">통합배선 상세설계 </t>
  </si>
  <si>
    <t>본사 &amp; 남항</t>
  </si>
  <si>
    <t>통합배선공사</t>
  </si>
  <si>
    <t>통신배관공사</t>
  </si>
  <si>
    <t>네트워크 케이블 포설</t>
  </si>
  <si>
    <t>기구설치공사</t>
  </si>
  <si>
    <t>케이블성단</t>
  </si>
  <si>
    <t>무선AP설비공사</t>
  </si>
  <si>
    <t>Network LinkTest</t>
  </si>
  <si>
    <t>철거(기존 케이블 및 기구)</t>
  </si>
  <si>
    <t>북항</t>
  </si>
  <si>
    <t>종합물류</t>
  </si>
  <si>
    <t>기존 케이블 절체작업</t>
  </si>
  <si>
    <t>광케이블 절체작업</t>
  </si>
  <si>
    <t>기존 통신설비 이설작업</t>
  </si>
  <si>
    <t>군산</t>
  </si>
  <si>
    <t>5.3.1</t>
  </si>
  <si>
    <t>5.3.2</t>
  </si>
  <si>
    <t>5.3.3</t>
  </si>
  <si>
    <t>5.3.3.1</t>
  </si>
  <si>
    <t>5.3.3.1.1</t>
  </si>
  <si>
    <t>5.3.3.1.2</t>
  </si>
  <si>
    <t>5.3.3.1.3</t>
  </si>
  <si>
    <t>5.3.3.1.4</t>
  </si>
  <si>
    <t>5.3.3.1.5</t>
  </si>
  <si>
    <t>5.3.3.2</t>
  </si>
  <si>
    <t>5.3.3.3</t>
  </si>
  <si>
    <t>5.3.4</t>
  </si>
  <si>
    <t>5.3.4.1</t>
  </si>
  <si>
    <t>5.3.4.1.1</t>
  </si>
  <si>
    <t>5.3.4.1.2</t>
  </si>
  <si>
    <t>5.3.4.1.3</t>
  </si>
  <si>
    <t>5.3.4.1.4</t>
  </si>
  <si>
    <t>5.3.4.1.5</t>
  </si>
  <si>
    <t>5.3.4.2</t>
  </si>
  <si>
    <t>5.3.4.3</t>
  </si>
  <si>
    <t>5.3.5</t>
  </si>
  <si>
    <t>5.3.5.1</t>
  </si>
  <si>
    <t>5.3.5.1.1</t>
  </si>
  <si>
    <t>5.3.5.1.2</t>
  </si>
  <si>
    <t>5.3.5.2</t>
  </si>
  <si>
    <t>5.3.5.2.1</t>
  </si>
  <si>
    <t>5.3.5.2.2</t>
  </si>
  <si>
    <t>5.3.5.2.3</t>
  </si>
  <si>
    <t>5.3.5.2.4</t>
  </si>
  <si>
    <t>5.3.5.2.5</t>
  </si>
  <si>
    <t>5.3.5.3</t>
  </si>
  <si>
    <t>5.3.5.4</t>
  </si>
  <si>
    <t>5.3.6</t>
  </si>
  <si>
    <t>5.3.6.1</t>
  </si>
  <si>
    <t>5.3.6.1.1</t>
  </si>
  <si>
    <t>5.3.6.1.2</t>
  </si>
  <si>
    <t>5.3.6.1.3</t>
  </si>
  <si>
    <t>5.3.6.1.4</t>
  </si>
  <si>
    <t>5.3.6.1.5</t>
  </si>
  <si>
    <t>5.3.6.2</t>
  </si>
  <si>
    <t>5.3.6.3</t>
  </si>
  <si>
    <t>오경</t>
  </si>
  <si>
    <t>넷팜</t>
  </si>
  <si>
    <t>시스인프라</t>
  </si>
  <si>
    <t>서버 구성을 위한 실사</t>
  </si>
  <si>
    <t>환경 분석 및 설계</t>
  </si>
  <si>
    <t>서버 및 스토리지 장비 Delivery</t>
  </si>
  <si>
    <t>백업S/W 설치 및 구성</t>
  </si>
  <si>
    <t>HW 이상 유무 확인</t>
  </si>
  <si>
    <t>SLC 장비 OS 및 환경 구성</t>
  </si>
  <si>
    <t>SLC 장비 설치 VMware 구성</t>
  </si>
  <si>
    <t>통합 OS 및 환경 구성</t>
  </si>
  <si>
    <t>통합 VMware 구성</t>
  </si>
  <si>
    <t>5.2.1</t>
  </si>
  <si>
    <t>5.2.2</t>
  </si>
  <si>
    <t>5.2.3</t>
  </si>
  <si>
    <t>5.2.4</t>
  </si>
  <si>
    <t>5.2.5</t>
  </si>
  <si>
    <t>5.2.6</t>
  </si>
  <si>
    <t>5.2.7</t>
  </si>
  <si>
    <t>5.2.8</t>
  </si>
  <si>
    <t>5.2.9</t>
  </si>
  <si>
    <t>5.2.10</t>
  </si>
  <si>
    <t>회선신청(SNCT, SLC)</t>
  </si>
  <si>
    <t>군산출장</t>
  </si>
  <si>
    <t>본사</t>
  </si>
  <si>
    <t>남항 + 평택</t>
  </si>
  <si>
    <t>자동화 I/F (ISCOM)</t>
  </si>
  <si>
    <t>2.1.2.15</t>
  </si>
  <si>
    <t>2.1.2.16</t>
  </si>
  <si>
    <t>2.1.2.17</t>
  </si>
  <si>
    <t>2.1.2.18</t>
  </si>
  <si>
    <t>2.1.2.19</t>
  </si>
  <si>
    <t>5.1.12</t>
  </si>
  <si>
    <t>SILO(군산,본사)</t>
  </si>
  <si>
    <t>정선장(본사)</t>
  </si>
  <si>
    <t>운송(군산,남항,평택)</t>
  </si>
  <si>
    <t>물류운영(남항,평택)</t>
  </si>
  <si>
    <t>노임(총무)</t>
  </si>
  <si>
    <t>중간보고</t>
  </si>
  <si>
    <t>하역운영 시스템</t>
  </si>
  <si>
    <t>포털시스템</t>
  </si>
  <si>
    <t>오더관리 시스템</t>
  </si>
  <si>
    <t>물류운영 시스템</t>
  </si>
  <si>
    <t>운송시스템</t>
  </si>
  <si>
    <t>영업관리 시스템</t>
  </si>
  <si>
    <t>통합 정산관리 시스템</t>
  </si>
  <si>
    <t>2.3.1.1.5</t>
  </si>
  <si>
    <t>2.3.1.1.6</t>
  </si>
  <si>
    <t>2.3.1.1.7</t>
  </si>
  <si>
    <t>데이터 Migration</t>
  </si>
  <si>
    <t>Package 설치</t>
  </si>
  <si>
    <t>컨설팅</t>
  </si>
  <si>
    <t>컨설턴트[20%]</t>
  </si>
  <si>
    <t>재무프로세스정립</t>
  </si>
  <si>
    <t>내부회계컨설팅</t>
  </si>
  <si>
    <t>적용</t>
  </si>
  <si>
    <t>Customizing</t>
  </si>
  <si>
    <t>3.1</t>
  </si>
  <si>
    <t>3.2</t>
  </si>
  <si>
    <t>3.2.1</t>
  </si>
  <si>
    <t>3.2.2</t>
  </si>
  <si>
    <t>3.3</t>
  </si>
  <si>
    <t>3.3.1</t>
  </si>
  <si>
    <t>3.3.2</t>
  </si>
  <si>
    <t>3.4</t>
  </si>
  <si>
    <t>3.4.1</t>
  </si>
  <si>
    <t>3.4.2</t>
  </si>
  <si>
    <t>3.4.3</t>
  </si>
  <si>
    <t>3.5</t>
  </si>
  <si>
    <t>3.5.1</t>
  </si>
  <si>
    <t>3.5.2</t>
  </si>
  <si>
    <t>3.5.3</t>
  </si>
  <si>
    <t>3.6</t>
  </si>
  <si>
    <t>3.6.1</t>
  </si>
  <si>
    <t>3.6.2</t>
  </si>
  <si>
    <t>4.1</t>
  </si>
  <si>
    <t>4.2</t>
  </si>
  <si>
    <t>컨설턴트</t>
  </si>
  <si>
    <t>개발장비 OS설치 및 입고</t>
  </si>
  <si>
    <t>5.2.11</t>
  </si>
  <si>
    <t>윤강암팀장</t>
  </si>
  <si>
    <t>권서동부장,이재익차장</t>
  </si>
  <si>
    <t>본사지원[80%],고태욱대리[20%]</t>
  </si>
  <si>
    <t>프로세스 설계서 작성</t>
  </si>
  <si>
    <t>각 업무 담당자</t>
  </si>
  <si>
    <t>2.1.3</t>
  </si>
  <si>
    <t>담당</t>
  </si>
  <si>
    <t>고태욱대리</t>
  </si>
  <si>
    <t>PL</t>
  </si>
  <si>
    <t>담당별_x000D_
진행율</t>
  </si>
  <si>
    <t>작업</t>
  </si>
  <si>
    <t>자원배정비율</t>
  </si>
  <si>
    <t>총작업량(A)_x000D_
Man-day</t>
  </si>
  <si>
    <t>계획작업량(B)_x000D_
Man-day</t>
  </si>
  <si>
    <t>실적기성( C )_x000D_
Man-day</t>
  </si>
  <si>
    <t>실제 총작업량_x000D_
Man-day</t>
  </si>
  <si>
    <t>(담당자미지정) 요약</t>
  </si>
  <si>
    <t>PL 요약</t>
  </si>
  <si>
    <t>각 업무 담당자 요약</t>
  </si>
  <si>
    <t>고태욱대리 요약</t>
  </si>
  <si>
    <t>권서동부장 요약</t>
  </si>
  <si>
    <t>김재훈차장 요약</t>
  </si>
  <si>
    <t>본사지원 요약</t>
  </si>
  <si>
    <t>윤강암팀장 요약</t>
  </si>
  <si>
    <t>이재익차장 요약</t>
  </si>
  <si>
    <t>컨설턴트 요약</t>
  </si>
  <si>
    <t>황의천과장 요약</t>
  </si>
  <si>
    <t>총합계</t>
  </si>
  <si>
    <t>북항(계약, 본선, 운영,홈페이지)(10:00~)</t>
  </si>
  <si>
    <t>장비정비(SNCT</t>
  </si>
  <si>
    <t>물류운영부(남항 + 평택)(10:00~운송)</t>
  </si>
  <si>
    <t>신국제여객터미널(14:00~카페리I/F)</t>
  </si>
  <si>
    <t>총무(노임,장비,시설,자산)</t>
  </si>
  <si>
    <t>모바일(전산팀)</t>
  </si>
  <si>
    <t>차량위치(전산팀)</t>
  </si>
  <si>
    <t>선박위치(전산팀)</t>
  </si>
  <si>
    <t>군산(계약, 본선, 운영, 운송,자동화I/F)</t>
  </si>
  <si>
    <t>본사 SILO(10:00~운영,시설)(13:30~정선장,자동화I/F)</t>
  </si>
  <si>
    <t>SNCT(장비정비)</t>
  </si>
  <si>
    <t xml:space="preserve"> </t>
  </si>
  <si>
    <t>3.2.3</t>
  </si>
  <si>
    <t>3.2.4</t>
  </si>
  <si>
    <t>3.2.5</t>
  </si>
  <si>
    <t>3.2.6</t>
  </si>
  <si>
    <t>3.2.7</t>
  </si>
  <si>
    <t>3.2.8</t>
  </si>
  <si>
    <t>3.3.1.1</t>
  </si>
  <si>
    <t>요구사항 정의</t>
  </si>
  <si>
    <t>3.3.1.1.1</t>
  </si>
  <si>
    <t>계정설정</t>
  </si>
  <si>
    <t>3.3.1.1.2</t>
  </si>
  <si>
    <t>예산관리</t>
  </si>
  <si>
    <t>3.3.1.1.3</t>
  </si>
  <si>
    <t>3.3.1.1.4</t>
  </si>
  <si>
    <t>3.3.1.1.5</t>
  </si>
  <si>
    <t>3.3.1.1.6</t>
  </si>
  <si>
    <t>3.3.1.1.7</t>
  </si>
  <si>
    <t>3.3.1.1.8</t>
  </si>
  <si>
    <t>부가세관리</t>
  </si>
  <si>
    <t>3.3.1.2</t>
  </si>
  <si>
    <t>GAP분석 및 개발계획 수립</t>
  </si>
  <si>
    <t>3.3.1.2.1</t>
  </si>
  <si>
    <t>GAP분석 수행 및 해결방안 정의</t>
  </si>
  <si>
    <t>3.3.1.2.2</t>
  </si>
  <si>
    <t>개발계획 수립</t>
  </si>
  <si>
    <t>3.3.1.3</t>
  </si>
  <si>
    <t>To-be Process 설계</t>
  </si>
  <si>
    <t>3.3.1.3.1</t>
  </si>
  <si>
    <t>구축</t>
  </si>
  <si>
    <t>3.3.2.1</t>
  </si>
  <si>
    <t>To-be 기준정보 정의</t>
  </si>
  <si>
    <t>3.3.2.1.1</t>
  </si>
  <si>
    <t>MasterData 정의</t>
  </si>
  <si>
    <t>3.3.2.1.2</t>
  </si>
  <si>
    <t>기준정보 정의</t>
  </si>
  <si>
    <t>3.3.2.2</t>
  </si>
  <si>
    <t>기준정보 Setup</t>
  </si>
  <si>
    <t>3.3.2.2.1</t>
  </si>
  <si>
    <t>MasterData 및 기준정보 Setting</t>
  </si>
  <si>
    <t>3.3.2.3</t>
  </si>
  <si>
    <t>개발 상세설계 및 구현</t>
  </si>
  <si>
    <t>3.3.2.3.1</t>
  </si>
  <si>
    <t>기능 상세 설계</t>
  </si>
  <si>
    <t>3.3.2.3.2</t>
  </si>
  <si>
    <t>테이블 설계</t>
  </si>
  <si>
    <t>3.3.2.3.3</t>
  </si>
  <si>
    <t>3.3.2.3.4</t>
  </si>
  <si>
    <t>프로그램 단위테스트</t>
  </si>
  <si>
    <t>3.3.3</t>
  </si>
  <si>
    <t>테스트</t>
  </si>
  <si>
    <t>3.3.3.1</t>
  </si>
  <si>
    <t>통합테스트 수행</t>
  </si>
  <si>
    <t>3.3.3.1.1</t>
  </si>
  <si>
    <t>통합테스트 시나리오 및 케이스 정의</t>
  </si>
  <si>
    <t>3.3.3.1.2</t>
  </si>
  <si>
    <t>3.3.3.1.3</t>
  </si>
  <si>
    <t>통합테스트 결과보고</t>
  </si>
  <si>
    <t>3.3.4</t>
  </si>
  <si>
    <t>이행 및 종료</t>
  </si>
  <si>
    <t>3.3.4.1</t>
  </si>
  <si>
    <t>사용자교육</t>
  </si>
  <si>
    <t>3.3.4.1.1</t>
  </si>
  <si>
    <t>사용자 교육계획 수립</t>
  </si>
  <si>
    <t>3.3.4.1.2</t>
  </si>
  <si>
    <t>사용자 매뉴얼 작성</t>
  </si>
  <si>
    <t>3.3.4.1.3</t>
  </si>
  <si>
    <t>사용자교육 수행</t>
  </si>
  <si>
    <t>3.3.4.2</t>
  </si>
  <si>
    <t>시스템 오픈 준비</t>
  </si>
  <si>
    <t>3.3.4.2.1</t>
  </si>
  <si>
    <t>본가동 계획 및 오픈 시나리오 준비</t>
  </si>
  <si>
    <t>3.3.4.3</t>
  </si>
  <si>
    <t xml:space="preserve">시스템 오픈 </t>
  </si>
  <si>
    <t>3.3.4.3.1</t>
  </si>
  <si>
    <t>3.3.5</t>
  </si>
  <si>
    <t>안정화지원</t>
  </si>
  <si>
    <t>3.3.5.1</t>
  </si>
  <si>
    <t>안정화 지원 및 모니터링</t>
  </si>
  <si>
    <t>오임경과장(010-9176-9007)</t>
  </si>
  <si>
    <t>박은배수석(010-3288-7980)</t>
  </si>
  <si>
    <t>3.5.1.1</t>
  </si>
  <si>
    <t>3.5.1.2</t>
  </si>
  <si>
    <t>3.5.1.3</t>
  </si>
  <si>
    <t>3.5.1.4</t>
  </si>
  <si>
    <t>3.5.1.5</t>
  </si>
  <si>
    <t>3.5.1.6</t>
  </si>
  <si>
    <t>3.5.1.7</t>
  </si>
  <si>
    <t>3.5.1.8</t>
  </si>
  <si>
    <t>연말정산관리</t>
  </si>
  <si>
    <t>세무신고관리</t>
  </si>
  <si>
    <t>전표연동관리</t>
  </si>
  <si>
    <t>윤상필차장(010-5640-6382)</t>
  </si>
  <si>
    <t>개발환경구축</t>
  </si>
  <si>
    <t>ORACLE 설치</t>
  </si>
  <si>
    <t>물류 개발환경 설치</t>
  </si>
  <si>
    <t>5.2.1.1</t>
  </si>
  <si>
    <t>5.2.1.2</t>
  </si>
  <si>
    <t>5.2.1.3</t>
  </si>
  <si>
    <t>회계기준정보 시스템 세팅 및 교육</t>
  </si>
  <si>
    <t>재무관리 시스템 설정 및 교육</t>
  </si>
  <si>
    <t>배부관리</t>
  </si>
  <si>
    <t>은행연동 / 지급관리</t>
  </si>
  <si>
    <t>자금관리</t>
  </si>
  <si>
    <t>세무관리</t>
  </si>
  <si>
    <t>고정자산관리</t>
  </si>
  <si>
    <t>전표관리/관리조정</t>
  </si>
  <si>
    <t>손익관리/공통비배부</t>
  </si>
  <si>
    <t>지출 및 지불관리</t>
  </si>
  <si>
    <t>자금운용관리/금융상품관리</t>
  </si>
  <si>
    <t>고정자산관리/각종조회</t>
  </si>
  <si>
    <t>법무(보험)</t>
  </si>
  <si>
    <t>EDI 대상 List 정리</t>
  </si>
  <si>
    <t>FI(Financial,일반회계)</t>
  </si>
  <si>
    <t>CO(Controlling, 관리회계)</t>
  </si>
  <si>
    <t>ICS(Internal Control System, 내부통제시스템)</t>
  </si>
  <si>
    <t>HRM(Human Resource Management, 인사)</t>
  </si>
  <si>
    <t>EIS(Executive Information System, 경영정보시스템)</t>
  </si>
  <si>
    <t>시스템 관리,인사관리 시스템 개요</t>
  </si>
  <si>
    <t>조직정보설정, 근태관리, 연월차관리</t>
  </si>
  <si>
    <t>급여기초관리, 급여계산관리</t>
  </si>
  <si>
    <t>급여보고서출력, 퇴직금관리</t>
  </si>
  <si>
    <t>거주자 사업/기타소득, 비거주자 사업/기타소득, 이자/배당소득</t>
  </si>
  <si>
    <t>교육 및 요구사항 정의</t>
  </si>
  <si>
    <t>권서동부장,이재익차장,황의천과장</t>
  </si>
  <si>
    <t>박은배수석</t>
  </si>
  <si>
    <t>윤상필차장</t>
  </si>
  <si>
    <t>최민혁부장,김명석부장</t>
  </si>
  <si>
    <t>최민혁부장</t>
  </si>
  <si>
    <t>이재익차장,김재훈차장</t>
  </si>
  <si>
    <t>박재혁이사</t>
  </si>
  <si>
    <t>오현우과장</t>
  </si>
  <si>
    <t>김명석부장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</si>
</sst>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9">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b/>
      <sz val="10"/>
      <color theme="10"/>
      <name val="Calibri"/>
      <family val="2"/>
    </font>
    <font>
      <b/>
      <sz val="10"/>
      <color theme="10"/>
      <name val="Malgun Gothic"/>
      <family val="3"/>
      <charset val="129"/>
    </font>
    <font>
      <b/>
      <sz val="11"/>
      <name val="Calibri"/>
      <family val="2"/>
    </font>
    <font>
      <sz val="11"/>
      <color rgb="FFFF0000"/>
      <name val="Calibri"/>
      <family val="2"/>
    </font>
    <font>
      <sz val="9"/>
      <color theme="1"/>
      <name val="맑은 고딕"/>
      <family val="2"/>
      <scheme val="minor"/>
    </font>
    <font>
      <sz val="10"/>
      <name val="맑은 고딕"/>
      <family val="3"/>
      <charset val="129"/>
      <scheme val="minor"/>
    </font>
    <font>
      <sz val="9"/>
      <name val="맑은 고딕"/>
      <family val="3"/>
      <charset val="129"/>
    </font>
    <font>
      <sz val="10"/>
      <name val="Arial Narrow"/>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s>
  <cellStyleXfs count="9">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xf numFmtId="0" fontId="5" fillId="0" borderId="0"/>
    <xf numFmtId="0" fontId="58" fillId="0" borderId="0"/>
  </cellStyleXfs>
  <cellXfs count="299">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center"/>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50" fillId="17" borderId="0" xfId="2" applyFont="1" applyFill="1" applyBorder="1" applyAlignment="1">
      <alignment horizontal="left" vertical="center"/>
    </xf>
    <xf numFmtId="0" fontId="39" fillId="19" borderId="20" xfId="4" applyFont="1" applyFill="1" applyBorder="1" applyAlignment="1" applyProtection="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10" fontId="9" fillId="0" borderId="0" xfId="4" applyNumberFormat="1" applyFont="1" applyBorder="1"/>
    <xf numFmtId="14" fontId="23" fillId="0" borderId="26" xfId="4" applyNumberFormat="1" applyFont="1" applyFill="1" applyBorder="1" applyAlignment="1" applyProtection="1">
      <alignment horizontal="left" vertical="center"/>
      <protection locked="0"/>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14" fontId="9" fillId="0" borderId="0" xfId="4" applyNumberFormat="1" applyFont="1" applyBorder="1"/>
    <xf numFmtId="0" fontId="9" fillId="6" borderId="3" xfId="4" applyFont="1" applyFill="1" applyBorder="1" applyAlignment="1">
      <alignment horizontal="left" wrapText="1"/>
    </xf>
    <xf numFmtId="0" fontId="9" fillId="0" borderId="0" xfId="4" quotePrefix="1" applyFont="1" applyBorder="1"/>
    <xf numFmtId="0" fontId="3" fillId="0" borderId="0" xfId="2" quotePrefix="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9" fillId="22" borderId="0" xfId="4" applyFont="1" applyFill="1" applyBorder="1"/>
    <xf numFmtId="0" fontId="53" fillId="22" borderId="0" xfId="4" applyFont="1" applyFill="1" applyBorder="1"/>
    <xf numFmtId="10" fontId="54" fillId="0" borderId="0" xfId="4" applyNumberFormat="1" applyFont="1" applyBorder="1"/>
    <xf numFmtId="10" fontId="54" fillId="22" borderId="0" xfId="4" applyNumberFormat="1" applyFont="1" applyFill="1" applyBorder="1"/>
    <xf numFmtId="0" fontId="42" fillId="17" borderId="0" xfId="1" applyFont="1" applyFill="1" applyBorder="1" applyAlignment="1">
      <alignment horizontal="left" vertical="center"/>
    </xf>
    <xf numFmtId="14" fontId="43" fillId="17" borderId="0" xfId="1" applyNumberFormat="1" applyFont="1" applyFill="1" applyBorder="1" applyAlignment="1">
      <alignment vertical="center"/>
    </xf>
    <xf numFmtId="14" fontId="44" fillId="17" borderId="0" xfId="1" applyNumberFormat="1" applyFont="1" applyFill="1" applyBorder="1" applyAlignment="1">
      <alignment horizontal="left" vertical="center" wrapText="1"/>
    </xf>
    <xf numFmtId="178" fontId="45" fillId="17" borderId="0" xfId="1" applyNumberFormat="1" applyFont="1" applyFill="1" applyBorder="1" applyAlignment="1">
      <alignment horizontal="center" vertical="center"/>
    </xf>
    <xf numFmtId="178" fontId="41" fillId="17" borderId="0" xfId="1" applyNumberFormat="1" applyFont="1" applyFill="1" applyBorder="1" applyAlignment="1">
      <alignment horizontal="center" vertical="center"/>
    </xf>
    <xf numFmtId="178" fontId="43" fillId="17" borderId="0" xfId="1" applyNumberFormat="1" applyFont="1" applyFill="1" applyBorder="1" applyAlignment="1">
      <alignment horizontal="center" vertical="center"/>
    </xf>
    <xf numFmtId="14" fontId="43" fillId="17" borderId="0" xfId="1" applyNumberFormat="1" applyFont="1" applyFill="1" applyBorder="1" applyAlignment="1">
      <alignment horizontal="center" vertical="center"/>
    </xf>
    <xf numFmtId="1" fontId="43" fillId="17" borderId="0" xfId="1" applyNumberFormat="1" applyFont="1" applyFill="1" applyBorder="1" applyAlignment="1">
      <alignment horizontal="center" vertical="center"/>
    </xf>
    <xf numFmtId="0" fontId="45" fillId="17" borderId="0" xfId="2" applyFont="1" applyFill="1" applyBorder="1" applyAlignment="1">
      <alignment vertical="center" wrapText="1"/>
    </xf>
    <xf numFmtId="0" fontId="45" fillId="17" borderId="0" xfId="2" applyNumberFormat="1" applyFont="1" applyFill="1" applyBorder="1" applyAlignment="1">
      <alignment vertical="center"/>
    </xf>
    <xf numFmtId="0" fontId="45" fillId="17" borderId="0" xfId="2" applyFont="1" applyFill="1" applyBorder="1" applyAlignment="1">
      <alignment vertical="center"/>
    </xf>
    <xf numFmtId="0" fontId="47" fillId="17" borderId="0" xfId="2" applyNumberFormat="1" applyFont="1" applyFill="1" applyBorder="1" applyAlignment="1">
      <alignment vertical="center"/>
    </xf>
    <xf numFmtId="0" fontId="47" fillId="17" borderId="0" xfId="2" applyNumberFormat="1" applyFont="1" applyFill="1" applyBorder="1" applyAlignment="1">
      <alignment horizontal="right" vertical="center"/>
    </xf>
    <xf numFmtId="0" fontId="23" fillId="0" borderId="26" xfId="4" applyFont="1" applyFill="1" applyBorder="1" applyAlignment="1" applyProtection="1">
      <alignment vertical="center"/>
      <protection locked="0"/>
    </xf>
    <xf numFmtId="0" fontId="23" fillId="0" borderId="26" xfId="4" quotePrefix="1" applyFont="1" applyFill="1" applyBorder="1" applyAlignment="1" applyProtection="1">
      <alignment horizontal="right" vertical="center"/>
      <protection locked="0"/>
    </xf>
    <xf numFmtId="0" fontId="23" fillId="0" borderId="26" xfId="4" applyFont="1" applyFill="1" applyBorder="1" applyAlignment="1" applyProtection="1">
      <alignment horizontal="left" vertical="center"/>
      <protection locked="0"/>
    </xf>
    <xf numFmtId="14" fontId="23" fillId="0" borderId="26" xfId="4" applyNumberFormat="1" applyFont="1" applyFill="1" applyBorder="1" applyAlignment="1" applyProtection="1">
      <alignment horizontal="center" vertical="center"/>
      <protection locked="0"/>
    </xf>
    <xf numFmtId="0" fontId="23" fillId="0" borderId="26" xfId="4" applyNumberFormat="1" applyFont="1" applyFill="1" applyBorder="1" applyAlignment="1" applyProtection="1">
      <alignment horizontal="left" vertical="center"/>
      <protection locked="0"/>
    </xf>
    <xf numFmtId="178" fontId="23" fillId="0" borderId="26" xfId="4" applyNumberFormat="1" applyFont="1" applyFill="1" applyBorder="1" applyAlignment="1" applyProtection="1">
      <alignment horizontal="center" vertical="center"/>
      <protection locked="0"/>
    </xf>
    <xf numFmtId="177" fontId="23" fillId="0" borderId="26" xfId="4" applyNumberFormat="1" applyFont="1" applyFill="1" applyBorder="1" applyAlignment="1" applyProtection="1">
      <alignment horizontal="center" vertical="center"/>
      <protection locked="0"/>
    </xf>
    <xf numFmtId="1" fontId="23" fillId="0" borderId="26" xfId="4" applyNumberFormat="1" applyFont="1" applyFill="1" applyBorder="1" applyAlignment="1" applyProtection="1">
      <alignment horizontal="center" vertical="center"/>
      <protection locked="0"/>
    </xf>
    <xf numFmtId="10" fontId="23" fillId="0" borderId="26" xfId="6" applyNumberFormat="1" applyFont="1" applyFill="1" applyBorder="1" applyAlignment="1" applyProtection="1">
      <alignment horizontal="right" vertical="center" wrapText="1"/>
      <protection locked="0"/>
    </xf>
    <xf numFmtId="10" fontId="37" fillId="17" borderId="26" xfId="6" applyNumberFormat="1" applyFont="1" applyFill="1" applyBorder="1" applyAlignment="1" applyProtection="1">
      <alignment horizontal="right" vertical="center"/>
      <protection locked="0"/>
    </xf>
    <xf numFmtId="10" fontId="23" fillId="17" borderId="26" xfId="6" applyNumberFormat="1" applyFont="1" applyFill="1" applyBorder="1" applyAlignment="1" applyProtection="1">
      <alignment horizontal="right" vertical="center"/>
      <protection locked="0"/>
    </xf>
    <xf numFmtId="10" fontId="23" fillId="0" borderId="26" xfId="6" applyNumberFormat="1" applyFont="1" applyFill="1" applyBorder="1" applyAlignment="1" applyProtection="1">
      <alignment horizontal="right" vertical="center"/>
      <protection locked="0"/>
    </xf>
    <xf numFmtId="10" fontId="37" fillId="21" borderId="26" xfId="6" applyNumberFormat="1" applyFont="1" applyFill="1" applyBorder="1" applyAlignment="1" applyProtection="1">
      <alignment horizontal="right" vertical="center"/>
      <protection locked="0"/>
    </xf>
    <xf numFmtId="10" fontId="23" fillId="21" borderId="26" xfId="6" applyNumberFormat="1" applyFont="1" applyFill="1" applyBorder="1" applyAlignment="1" applyProtection="1">
      <alignment horizontal="right" vertical="center"/>
      <protection locked="0"/>
    </xf>
    <xf numFmtId="0" fontId="23" fillId="0" borderId="25" xfId="4" applyFont="1" applyFill="1" applyBorder="1" applyAlignment="1" applyProtection="1">
      <alignment vertical="center"/>
      <protection locked="0"/>
    </xf>
    <xf numFmtId="0" fontId="23" fillId="0" borderId="25" xfId="4" applyFont="1" applyFill="1" applyBorder="1" applyAlignment="1" applyProtection="1">
      <alignment horizontal="right" vertical="center"/>
      <protection locked="0"/>
    </xf>
    <xf numFmtId="0" fontId="23" fillId="0" borderId="25" xfId="4" applyFont="1" applyFill="1" applyBorder="1" applyAlignment="1" applyProtection="1">
      <alignment horizontal="left" vertical="center"/>
      <protection locked="0"/>
    </xf>
    <xf numFmtId="14" fontId="23" fillId="0" borderId="25" xfId="4" applyNumberFormat="1" applyFont="1" applyFill="1" applyBorder="1" applyAlignment="1" applyProtection="1">
      <alignment horizontal="center" vertical="center"/>
      <protection locked="0"/>
    </xf>
    <xf numFmtId="0" fontId="23" fillId="0" borderId="25" xfId="4" applyNumberFormat="1" applyFont="1" applyFill="1" applyBorder="1" applyAlignment="1" applyProtection="1">
      <alignment horizontal="left" vertical="center"/>
      <protection locked="0"/>
    </xf>
    <xf numFmtId="178" fontId="23" fillId="0" borderId="25" xfId="4" applyNumberFormat="1" applyFont="1" applyFill="1" applyBorder="1" applyAlignment="1" applyProtection="1">
      <alignment horizontal="center" vertical="center"/>
      <protection locked="0"/>
    </xf>
    <xf numFmtId="177" fontId="23" fillId="0" borderId="25" xfId="4" applyNumberFormat="1" applyFont="1" applyFill="1" applyBorder="1" applyAlignment="1" applyProtection="1">
      <alignment horizontal="center" vertical="center"/>
      <protection locked="0"/>
    </xf>
    <xf numFmtId="1" fontId="23" fillId="0" borderId="25" xfId="4" applyNumberFormat="1" applyFont="1" applyFill="1" applyBorder="1" applyAlignment="1" applyProtection="1">
      <alignment horizontal="center" vertical="center"/>
      <protection locked="0"/>
    </xf>
    <xf numFmtId="14" fontId="23" fillId="0" borderId="25" xfId="4" applyNumberFormat="1" applyFont="1" applyFill="1" applyBorder="1" applyAlignment="1" applyProtection="1">
      <alignment horizontal="left" vertical="center"/>
      <protection locked="0"/>
    </xf>
    <xf numFmtId="10" fontId="23" fillId="0" borderId="25" xfId="3" applyNumberFormat="1" applyFont="1" applyFill="1" applyBorder="1" applyAlignment="1" applyProtection="1">
      <alignment horizontal="right" vertical="center" wrapText="1"/>
      <protection locked="0"/>
    </xf>
    <xf numFmtId="10" fontId="23" fillId="0" borderId="25" xfId="3" applyNumberFormat="1" applyFont="1" applyFill="1" applyBorder="1" applyAlignment="1" applyProtection="1">
      <alignment horizontal="right" vertical="center"/>
      <protection locked="0"/>
    </xf>
    <xf numFmtId="0" fontId="23" fillId="0" borderId="5" xfId="4" applyFont="1" applyFill="1" applyBorder="1" applyAlignment="1" applyProtection="1">
      <alignment vertical="center"/>
      <protection locked="0"/>
    </xf>
    <xf numFmtId="0" fontId="23" fillId="0" borderId="5" xfId="4" applyFont="1" applyFill="1" applyBorder="1" applyAlignment="1" applyProtection="1">
      <alignment horizontal="right" vertical="center"/>
      <protection locked="0"/>
    </xf>
    <xf numFmtId="0" fontId="23" fillId="0" borderId="5" xfId="4" applyFont="1" applyFill="1" applyBorder="1" applyAlignment="1" applyProtection="1">
      <alignment horizontal="left" vertical="center"/>
      <protection locked="0"/>
    </xf>
    <xf numFmtId="14" fontId="23" fillId="0" borderId="5" xfId="4" applyNumberFormat="1" applyFont="1" applyFill="1" applyBorder="1" applyAlignment="1" applyProtection="1">
      <alignment horizontal="center" vertical="center"/>
      <protection locked="0"/>
    </xf>
    <xf numFmtId="0" fontId="23" fillId="0" borderId="5" xfId="4" applyNumberFormat="1" applyFont="1" applyFill="1" applyBorder="1" applyAlignment="1" applyProtection="1">
      <alignment horizontal="left" vertical="center"/>
      <protection locked="0"/>
    </xf>
    <xf numFmtId="178" fontId="23" fillId="0" borderId="5" xfId="4" applyNumberFormat="1" applyFont="1" applyFill="1" applyBorder="1" applyAlignment="1" applyProtection="1">
      <alignment horizontal="center" vertical="center"/>
      <protection locked="0"/>
    </xf>
    <xf numFmtId="177" fontId="23" fillId="0" borderId="5" xfId="4" applyNumberFormat="1" applyFont="1" applyFill="1" applyBorder="1" applyAlignment="1" applyProtection="1">
      <alignment horizontal="center" vertical="center"/>
      <protection locked="0"/>
    </xf>
    <xf numFmtId="1" fontId="23" fillId="0" borderId="5" xfId="4" applyNumberFormat="1" applyFont="1" applyFill="1" applyBorder="1" applyAlignment="1" applyProtection="1">
      <alignment horizontal="center" vertical="center"/>
      <protection locked="0"/>
    </xf>
    <xf numFmtId="14" fontId="23" fillId="0" borderId="5" xfId="4" applyNumberFormat="1" applyFont="1" applyFill="1" applyBorder="1" applyAlignment="1" applyProtection="1">
      <alignment horizontal="left" vertical="center"/>
      <protection locked="0"/>
    </xf>
    <xf numFmtId="10" fontId="23" fillId="0" borderId="5" xfId="3" applyNumberFormat="1" applyFont="1" applyFill="1" applyBorder="1" applyAlignment="1" applyProtection="1">
      <alignment horizontal="right" vertical="center" wrapText="1"/>
      <protection locked="0"/>
    </xf>
    <xf numFmtId="10" fontId="23" fillId="0" borderId="5" xfId="3" applyNumberFormat="1" applyFont="1" applyFill="1" applyBorder="1" applyAlignment="1" applyProtection="1">
      <alignment horizontal="right" vertical="center"/>
      <protection locked="0"/>
    </xf>
    <xf numFmtId="0" fontId="55" fillId="0" borderId="26" xfId="0" applyFont="1" applyBorder="1" applyAlignment="1">
      <alignment horizontal="left" vertical="center"/>
    </xf>
    <xf numFmtId="14" fontId="23" fillId="0" borderId="26" xfId="4" applyNumberFormat="1" applyFont="1" applyBorder="1" applyAlignment="1" applyProtection="1">
      <alignment horizontal="left" vertical="center"/>
      <protection locked="0"/>
    </xf>
    <xf numFmtId="0" fontId="23" fillId="0" borderId="26" xfId="4" applyFont="1" applyBorder="1" applyAlignment="1" applyProtection="1">
      <alignment vertical="center"/>
      <protection locked="0"/>
    </xf>
    <xf numFmtId="0" fontId="23" fillId="0" borderId="26" xfId="4" quotePrefix="1" applyFont="1" applyBorder="1" applyAlignment="1" applyProtection="1">
      <alignment horizontal="right" vertical="center"/>
      <protection locked="0"/>
    </xf>
    <xf numFmtId="0" fontId="23" fillId="0" borderId="26" xfId="4" applyFont="1" applyBorder="1" applyAlignment="1" applyProtection="1">
      <alignment horizontal="left" vertical="center"/>
      <protection locked="0"/>
    </xf>
    <xf numFmtId="14" fontId="23" fillId="0" borderId="26" xfId="4" applyNumberFormat="1" applyFont="1" applyBorder="1" applyAlignment="1" applyProtection="1">
      <alignment horizontal="center" vertical="center"/>
      <protection locked="0"/>
    </xf>
    <xf numFmtId="178" fontId="23" fillId="0" borderId="26" xfId="4" applyNumberFormat="1" applyFont="1" applyBorder="1" applyAlignment="1" applyProtection="1">
      <alignment horizontal="center" vertical="center"/>
      <protection locked="0"/>
    </xf>
    <xf numFmtId="177" fontId="23" fillId="0" borderId="26" xfId="4" applyNumberFormat="1" applyFont="1" applyBorder="1" applyAlignment="1" applyProtection="1">
      <alignment horizontal="center" vertical="center"/>
      <protection locked="0"/>
    </xf>
    <xf numFmtId="1" fontId="23" fillId="0" borderId="26" xfId="4" applyNumberFormat="1" applyFont="1" applyBorder="1" applyAlignment="1" applyProtection="1">
      <alignment horizontal="center" vertical="center"/>
      <protection locked="0"/>
    </xf>
    <xf numFmtId="0" fontId="56" fillId="0" borderId="26" xfId="4" applyFont="1" applyBorder="1" applyAlignment="1" applyProtection="1">
      <alignment horizontal="left" vertical="center"/>
      <protection locked="0"/>
    </xf>
    <xf numFmtId="49" fontId="57" fillId="0" borderId="26" xfId="7" applyNumberFormat="1" applyFont="1" applyBorder="1" applyAlignment="1">
      <alignment horizontal="left" vertical="center"/>
    </xf>
    <xf numFmtId="49" fontId="57" fillId="0" borderId="26" xfId="8" applyNumberFormat="1" applyFont="1" applyBorder="1" applyAlignment="1">
      <alignment horizontal="left" vertical="center"/>
    </xf>
    <xf numFmtId="0" fontId="38"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8" xfId="2" applyFont="1" applyFill="1" applyBorder="1" applyAlignment="1">
      <alignment horizontal="right"/>
    </xf>
    <xf numFmtId="0" fontId="0" fillId="20"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1" fillId="20" borderId="30" xfId="2" applyFont="1" applyFill="1" applyBorder="1" applyAlignment="1">
      <alignment vertical="center"/>
    </xf>
    <xf numFmtId="0" fontId="0" fillId="20" borderId="30" xfId="0" applyFill="1" applyBorder="1" applyAlignment="1">
      <alignment vertical="center"/>
    </xf>
    <xf numFmtId="0" fontId="34" fillId="20" borderId="27" xfId="0" applyFont="1" applyFill="1" applyBorder="1" applyAlignment="1">
      <alignment horizontal="center" vertical="center"/>
    </xf>
    <xf numFmtId="0" fontId="34" fillId="20" borderId="28" xfId="0" applyFont="1" applyFill="1" applyBorder="1" applyAlignment="1">
      <alignment horizontal="center" vertical="center"/>
    </xf>
    <xf numFmtId="0" fontId="34" fillId="20" borderId="29" xfId="0" applyFont="1" applyFill="1" applyBorder="1" applyAlignment="1">
      <alignment horizontal="center" vertical="center"/>
    </xf>
    <xf numFmtId="0" fontId="34" fillId="20" borderId="30"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8" fillId="17" borderId="0" xfId="1" applyFont="1" applyFill="1" applyBorder="1" applyAlignment="1">
      <alignment horizontal="left"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9">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표준_detail plan" xfId="8" xr:uid="{8D23EBE3-8E65-4250-BB6F-8A6AD150DAB7}"/>
    <cellStyle name="표준_Team Workplan(Need to Update)" xfId="7" xr:uid="{871BBC4B-2290-4574-8017-335D6EEF1681}"/>
    <cellStyle name="하이퍼링크" xfId="2" builtinId="8"/>
  </cellStyles>
  <dxfs count="11">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796" name="5">
          <a:extLst>
            <a:ext uri="{FF2B5EF4-FFF2-40B4-BE49-F238E27FC236}">
              <a16:creationId xmlns:a16="http://schemas.microsoft.com/office/drawing/2014/main" id="{351DACC5-E504-4FE8-A96A-EEEF9C88F617}"/>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797" name="직선 화살표 연결선 3796">
          <a:extLst>
            <a:ext uri="{FF2B5EF4-FFF2-40B4-BE49-F238E27FC236}">
              <a16:creationId xmlns:a16="http://schemas.microsoft.com/office/drawing/2014/main" id="{1C54C6EF-038F-4DE0-8A46-EF9EDE706CBF}"/>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798" name="4">
          <a:extLst>
            <a:ext uri="{FF2B5EF4-FFF2-40B4-BE49-F238E27FC236}">
              <a16:creationId xmlns:a16="http://schemas.microsoft.com/office/drawing/2014/main" id="{8D58375E-3BC7-4332-BBA7-2F7E7836B4D7}"/>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799" name="직선 화살표 연결선 3798">
          <a:extLst>
            <a:ext uri="{FF2B5EF4-FFF2-40B4-BE49-F238E27FC236}">
              <a16:creationId xmlns:a16="http://schemas.microsoft.com/office/drawing/2014/main" id="{ECCE8E42-B14E-4F18-9FFB-58A71C0EF1F5}"/>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800" name="3">
          <a:extLst>
            <a:ext uri="{FF2B5EF4-FFF2-40B4-BE49-F238E27FC236}">
              <a16:creationId xmlns:a16="http://schemas.microsoft.com/office/drawing/2014/main" id="{434A3280-D607-40B7-B607-D044E32A903C}"/>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801" name="직선 화살표 연결선 3800">
          <a:extLst>
            <a:ext uri="{FF2B5EF4-FFF2-40B4-BE49-F238E27FC236}">
              <a16:creationId xmlns:a16="http://schemas.microsoft.com/office/drawing/2014/main" id="{263FA38A-A9FF-40BB-BB42-DFE3370DD7FC}"/>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802" name="2">
          <a:extLst>
            <a:ext uri="{FF2B5EF4-FFF2-40B4-BE49-F238E27FC236}">
              <a16:creationId xmlns:a16="http://schemas.microsoft.com/office/drawing/2014/main" id="{332D9824-F2C6-44BD-BF63-E919A47EECA7}"/>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803" name="직선 화살표 연결선 3802">
          <a:extLst>
            <a:ext uri="{FF2B5EF4-FFF2-40B4-BE49-F238E27FC236}">
              <a16:creationId xmlns:a16="http://schemas.microsoft.com/office/drawing/2014/main" id="{CC9FE62D-1BD6-44A7-B816-DFC24DC7FCD2}"/>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804" name="1">
          <a:extLst>
            <a:ext uri="{FF2B5EF4-FFF2-40B4-BE49-F238E27FC236}">
              <a16:creationId xmlns:a16="http://schemas.microsoft.com/office/drawing/2014/main" id="{1E8D7FA0-4FD0-43AB-AA4A-6A97D1023245}"/>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805" name="직선 화살표 연결선 3804">
          <a:extLst>
            <a:ext uri="{FF2B5EF4-FFF2-40B4-BE49-F238E27FC236}">
              <a16:creationId xmlns:a16="http://schemas.microsoft.com/office/drawing/2014/main" id="{7AAE335C-383F-4E0D-9BDB-7BABC8F21BA8}"/>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7073" name="5">
          <a:extLst>
            <a:ext uri="{FF2B5EF4-FFF2-40B4-BE49-F238E27FC236}">
              <a16:creationId xmlns:a16="http://schemas.microsoft.com/office/drawing/2014/main" id="{A2230503-C3AD-46C8-9F5B-25B63FA7FF79}"/>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7074" name="직선 화살표 연결선 27073">
          <a:extLst>
            <a:ext uri="{FF2B5EF4-FFF2-40B4-BE49-F238E27FC236}">
              <a16:creationId xmlns:a16="http://schemas.microsoft.com/office/drawing/2014/main" id="{59C676ED-DCBD-4F4D-865C-F4E428A2EC70}"/>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7075" name="4">
          <a:extLst>
            <a:ext uri="{FF2B5EF4-FFF2-40B4-BE49-F238E27FC236}">
              <a16:creationId xmlns:a16="http://schemas.microsoft.com/office/drawing/2014/main" id="{F15ECA7A-B609-4F0E-8B21-3A2FCBB5DDFE}"/>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7076" name="직선 화살표 연결선 27075">
          <a:extLst>
            <a:ext uri="{FF2B5EF4-FFF2-40B4-BE49-F238E27FC236}">
              <a16:creationId xmlns:a16="http://schemas.microsoft.com/office/drawing/2014/main" id="{9A4E4D1D-C2BF-4061-B4AB-123FE623A1D2}"/>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7077" name="3">
          <a:extLst>
            <a:ext uri="{FF2B5EF4-FFF2-40B4-BE49-F238E27FC236}">
              <a16:creationId xmlns:a16="http://schemas.microsoft.com/office/drawing/2014/main" id="{E674B953-E0E0-4AA1-907A-C87A5BAD477E}"/>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7078" name="직선 화살표 연결선 27077">
          <a:extLst>
            <a:ext uri="{FF2B5EF4-FFF2-40B4-BE49-F238E27FC236}">
              <a16:creationId xmlns:a16="http://schemas.microsoft.com/office/drawing/2014/main" id="{62308C41-99FC-4B31-B28F-384F2E140BC5}"/>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7079" name="2">
          <a:extLst>
            <a:ext uri="{FF2B5EF4-FFF2-40B4-BE49-F238E27FC236}">
              <a16:creationId xmlns:a16="http://schemas.microsoft.com/office/drawing/2014/main" id="{0E36D555-20D1-438F-8260-5034EF6D6D93}"/>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7080" name="직선 화살표 연결선 27079">
          <a:extLst>
            <a:ext uri="{FF2B5EF4-FFF2-40B4-BE49-F238E27FC236}">
              <a16:creationId xmlns:a16="http://schemas.microsoft.com/office/drawing/2014/main" id="{1CDABB73-CFA3-474C-B50E-92C93271E833}"/>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7081" name="1">
          <a:extLst>
            <a:ext uri="{FF2B5EF4-FFF2-40B4-BE49-F238E27FC236}">
              <a16:creationId xmlns:a16="http://schemas.microsoft.com/office/drawing/2014/main" id="{92268110-DBC0-4D50-B356-D59CD3FEA28C}"/>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7082" name="직선 화살표 연결선 27081">
          <a:extLst>
            <a:ext uri="{FF2B5EF4-FFF2-40B4-BE49-F238E27FC236}">
              <a16:creationId xmlns:a16="http://schemas.microsoft.com/office/drawing/2014/main" id="{3A1F85B1-916D-4A84-AA80-07508E546102}"/>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7269" name="5">
          <a:extLst>
            <a:ext uri="{FF2B5EF4-FFF2-40B4-BE49-F238E27FC236}">
              <a16:creationId xmlns:a16="http://schemas.microsoft.com/office/drawing/2014/main" id="{6061A80C-28D4-4A9C-95E8-3C160669A2EF}"/>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7270" name="직선 화살표 연결선 27269">
          <a:extLst>
            <a:ext uri="{FF2B5EF4-FFF2-40B4-BE49-F238E27FC236}">
              <a16:creationId xmlns:a16="http://schemas.microsoft.com/office/drawing/2014/main" id="{B83570B0-64FC-4846-B979-16D3F742D5C6}"/>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7271" name="4">
          <a:extLst>
            <a:ext uri="{FF2B5EF4-FFF2-40B4-BE49-F238E27FC236}">
              <a16:creationId xmlns:a16="http://schemas.microsoft.com/office/drawing/2014/main" id="{48CF7188-22CA-4099-80B6-751FE95232DF}"/>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7272" name="직선 화살표 연결선 27271">
          <a:extLst>
            <a:ext uri="{FF2B5EF4-FFF2-40B4-BE49-F238E27FC236}">
              <a16:creationId xmlns:a16="http://schemas.microsoft.com/office/drawing/2014/main" id="{2221584A-3463-47AE-83C2-F244A8E74A54}"/>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7273" name="3">
          <a:extLst>
            <a:ext uri="{FF2B5EF4-FFF2-40B4-BE49-F238E27FC236}">
              <a16:creationId xmlns:a16="http://schemas.microsoft.com/office/drawing/2014/main" id="{DAEC9FB4-A591-4E4F-8CEC-6F557EFDEE28}"/>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7274" name="직선 화살표 연결선 27273">
          <a:extLst>
            <a:ext uri="{FF2B5EF4-FFF2-40B4-BE49-F238E27FC236}">
              <a16:creationId xmlns:a16="http://schemas.microsoft.com/office/drawing/2014/main" id="{5D38AD8A-826F-4CBE-93FE-4ED871B5B6A5}"/>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7275" name="2">
          <a:extLst>
            <a:ext uri="{FF2B5EF4-FFF2-40B4-BE49-F238E27FC236}">
              <a16:creationId xmlns:a16="http://schemas.microsoft.com/office/drawing/2014/main" id="{E240701A-C85D-4A5B-984D-4B605012A2A1}"/>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7276" name="직선 화살표 연결선 27275">
          <a:extLst>
            <a:ext uri="{FF2B5EF4-FFF2-40B4-BE49-F238E27FC236}">
              <a16:creationId xmlns:a16="http://schemas.microsoft.com/office/drawing/2014/main" id="{3477CF45-5EF1-4B35-B712-29E5323C1152}"/>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7277" name="1">
          <a:extLst>
            <a:ext uri="{FF2B5EF4-FFF2-40B4-BE49-F238E27FC236}">
              <a16:creationId xmlns:a16="http://schemas.microsoft.com/office/drawing/2014/main" id="{E5681805-2F7A-485A-9CEB-957176B94862}"/>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7278" name="직선 화살표 연결선 27277">
          <a:extLst>
            <a:ext uri="{FF2B5EF4-FFF2-40B4-BE49-F238E27FC236}">
              <a16:creationId xmlns:a16="http://schemas.microsoft.com/office/drawing/2014/main" id="{E67A8E49-CA52-4585-9933-95B8A50CE512}"/>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7529" name="5">
          <a:extLst>
            <a:ext uri="{FF2B5EF4-FFF2-40B4-BE49-F238E27FC236}">
              <a16:creationId xmlns:a16="http://schemas.microsoft.com/office/drawing/2014/main" id="{E3D01873-4671-407F-918F-2A99366224DB}"/>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7530" name="직선 화살표 연결선 27529">
          <a:extLst>
            <a:ext uri="{FF2B5EF4-FFF2-40B4-BE49-F238E27FC236}">
              <a16:creationId xmlns:a16="http://schemas.microsoft.com/office/drawing/2014/main" id="{F9661C67-BE2D-46F7-9C50-FB959AB4CE3A}"/>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7531" name="4">
          <a:extLst>
            <a:ext uri="{FF2B5EF4-FFF2-40B4-BE49-F238E27FC236}">
              <a16:creationId xmlns:a16="http://schemas.microsoft.com/office/drawing/2014/main" id="{2DB6EB43-BC83-443A-9E45-707AB9FD3FC5}"/>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7532" name="직선 화살표 연결선 27531">
          <a:extLst>
            <a:ext uri="{FF2B5EF4-FFF2-40B4-BE49-F238E27FC236}">
              <a16:creationId xmlns:a16="http://schemas.microsoft.com/office/drawing/2014/main" id="{D8203597-E71A-4242-B8C0-83C6976EE858}"/>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7533" name="3">
          <a:extLst>
            <a:ext uri="{FF2B5EF4-FFF2-40B4-BE49-F238E27FC236}">
              <a16:creationId xmlns:a16="http://schemas.microsoft.com/office/drawing/2014/main" id="{B8387EF7-ADA3-44C7-AADA-FE8A14B12EFA}"/>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7534" name="직선 화살표 연결선 27533">
          <a:extLst>
            <a:ext uri="{FF2B5EF4-FFF2-40B4-BE49-F238E27FC236}">
              <a16:creationId xmlns:a16="http://schemas.microsoft.com/office/drawing/2014/main" id="{B4505F77-E610-4E84-8521-FB4DDF112693}"/>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7535" name="2">
          <a:extLst>
            <a:ext uri="{FF2B5EF4-FFF2-40B4-BE49-F238E27FC236}">
              <a16:creationId xmlns:a16="http://schemas.microsoft.com/office/drawing/2014/main" id="{712188D5-BDFC-48AD-B8AF-53E1534943B7}"/>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7536" name="직선 화살표 연결선 27535">
          <a:extLst>
            <a:ext uri="{FF2B5EF4-FFF2-40B4-BE49-F238E27FC236}">
              <a16:creationId xmlns:a16="http://schemas.microsoft.com/office/drawing/2014/main" id="{F540BD52-43C3-432D-8A32-A9EBB1054A8E}"/>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7537" name="1">
          <a:extLst>
            <a:ext uri="{FF2B5EF4-FFF2-40B4-BE49-F238E27FC236}">
              <a16:creationId xmlns:a16="http://schemas.microsoft.com/office/drawing/2014/main" id="{72408D94-C713-4F80-8703-9923E49C09C6}"/>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7538" name="직선 화살표 연결선 27537">
          <a:extLst>
            <a:ext uri="{FF2B5EF4-FFF2-40B4-BE49-F238E27FC236}">
              <a16:creationId xmlns:a16="http://schemas.microsoft.com/office/drawing/2014/main" id="{643DF68A-7BE8-46F9-9C18-964A7AABDF4F}"/>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8309" name="5">
          <a:extLst>
            <a:ext uri="{FF2B5EF4-FFF2-40B4-BE49-F238E27FC236}">
              <a16:creationId xmlns:a16="http://schemas.microsoft.com/office/drawing/2014/main" id="{A606839B-9C93-45D1-B25D-20A466DD5B79}"/>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8310" name="직선 화살표 연결선 28309">
          <a:extLst>
            <a:ext uri="{FF2B5EF4-FFF2-40B4-BE49-F238E27FC236}">
              <a16:creationId xmlns:a16="http://schemas.microsoft.com/office/drawing/2014/main" id="{B624F6A3-B5FC-429F-AF30-8F0390FA4FAC}"/>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8311" name="4">
          <a:extLst>
            <a:ext uri="{FF2B5EF4-FFF2-40B4-BE49-F238E27FC236}">
              <a16:creationId xmlns:a16="http://schemas.microsoft.com/office/drawing/2014/main" id="{6F0A91C1-81E2-42C9-A204-73115487D226}"/>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8312" name="직선 화살표 연결선 28311">
          <a:extLst>
            <a:ext uri="{FF2B5EF4-FFF2-40B4-BE49-F238E27FC236}">
              <a16:creationId xmlns:a16="http://schemas.microsoft.com/office/drawing/2014/main" id="{8327D21A-9C2B-4D10-AD83-7C52C87A4AA0}"/>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8313" name="3">
          <a:extLst>
            <a:ext uri="{FF2B5EF4-FFF2-40B4-BE49-F238E27FC236}">
              <a16:creationId xmlns:a16="http://schemas.microsoft.com/office/drawing/2014/main" id="{B20D0AE3-DA0D-4F41-9930-683ED17C92E7}"/>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8314" name="직선 화살표 연결선 28313">
          <a:extLst>
            <a:ext uri="{FF2B5EF4-FFF2-40B4-BE49-F238E27FC236}">
              <a16:creationId xmlns:a16="http://schemas.microsoft.com/office/drawing/2014/main" id="{B02C9C0C-ABB0-4A8A-BBB0-5262414FC1CB}"/>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8315" name="2">
          <a:extLst>
            <a:ext uri="{FF2B5EF4-FFF2-40B4-BE49-F238E27FC236}">
              <a16:creationId xmlns:a16="http://schemas.microsoft.com/office/drawing/2014/main" id="{8589C414-9F9E-4076-A7B8-9FBCB9904541}"/>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8316" name="직선 화살표 연결선 28315">
          <a:extLst>
            <a:ext uri="{FF2B5EF4-FFF2-40B4-BE49-F238E27FC236}">
              <a16:creationId xmlns:a16="http://schemas.microsoft.com/office/drawing/2014/main" id="{84CE3A60-EABA-4C3B-B133-4FD140301BA6}"/>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8317" name="1">
          <a:extLst>
            <a:ext uri="{FF2B5EF4-FFF2-40B4-BE49-F238E27FC236}">
              <a16:creationId xmlns:a16="http://schemas.microsoft.com/office/drawing/2014/main" id="{31156DBB-8473-4457-9B00-63D5F4A5B41C}"/>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8318" name="직선 화살표 연결선 28317">
          <a:extLst>
            <a:ext uri="{FF2B5EF4-FFF2-40B4-BE49-F238E27FC236}">
              <a16:creationId xmlns:a16="http://schemas.microsoft.com/office/drawing/2014/main" id="{7C69895E-3546-4FE6-800B-93976F16E52C}"/>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8773" name="5">
          <a:extLst>
            <a:ext uri="{FF2B5EF4-FFF2-40B4-BE49-F238E27FC236}">
              <a16:creationId xmlns:a16="http://schemas.microsoft.com/office/drawing/2014/main" id="{EA60CD06-2C62-4010-9132-19C87E75242F}"/>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8774" name="직선 화살표 연결선 28773">
          <a:extLst>
            <a:ext uri="{FF2B5EF4-FFF2-40B4-BE49-F238E27FC236}">
              <a16:creationId xmlns:a16="http://schemas.microsoft.com/office/drawing/2014/main" id="{CC480DFB-53DF-4B31-818B-AD758949FE4A}"/>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8775" name="4">
          <a:extLst>
            <a:ext uri="{FF2B5EF4-FFF2-40B4-BE49-F238E27FC236}">
              <a16:creationId xmlns:a16="http://schemas.microsoft.com/office/drawing/2014/main" id="{46C0A199-74E3-4635-97B6-D2C799998E41}"/>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8776" name="직선 화살표 연결선 28775">
          <a:extLst>
            <a:ext uri="{FF2B5EF4-FFF2-40B4-BE49-F238E27FC236}">
              <a16:creationId xmlns:a16="http://schemas.microsoft.com/office/drawing/2014/main" id="{6DB72B07-02B6-4F6D-B9EA-BC477D0A1D65}"/>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8777" name="3">
          <a:extLst>
            <a:ext uri="{FF2B5EF4-FFF2-40B4-BE49-F238E27FC236}">
              <a16:creationId xmlns:a16="http://schemas.microsoft.com/office/drawing/2014/main" id="{CDB053D4-E394-440A-AB55-892FC2E9E4AF}"/>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8778" name="직선 화살표 연결선 28777">
          <a:extLst>
            <a:ext uri="{FF2B5EF4-FFF2-40B4-BE49-F238E27FC236}">
              <a16:creationId xmlns:a16="http://schemas.microsoft.com/office/drawing/2014/main" id="{F675C19B-568D-4702-A4F3-693E4CFFF5BF}"/>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8779" name="2">
          <a:extLst>
            <a:ext uri="{FF2B5EF4-FFF2-40B4-BE49-F238E27FC236}">
              <a16:creationId xmlns:a16="http://schemas.microsoft.com/office/drawing/2014/main" id="{EE4FB81E-5A40-41EF-B7C5-448200E06EC4}"/>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8780" name="직선 화살표 연결선 28779">
          <a:extLst>
            <a:ext uri="{FF2B5EF4-FFF2-40B4-BE49-F238E27FC236}">
              <a16:creationId xmlns:a16="http://schemas.microsoft.com/office/drawing/2014/main" id="{71CE7468-1E68-46C7-B432-70731581C3A1}"/>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8781" name="1">
          <a:extLst>
            <a:ext uri="{FF2B5EF4-FFF2-40B4-BE49-F238E27FC236}">
              <a16:creationId xmlns:a16="http://schemas.microsoft.com/office/drawing/2014/main" id="{D7170213-251C-461A-9109-2C0F1478D274}"/>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8782" name="직선 화살표 연결선 28781">
          <a:extLst>
            <a:ext uri="{FF2B5EF4-FFF2-40B4-BE49-F238E27FC236}">
              <a16:creationId xmlns:a16="http://schemas.microsoft.com/office/drawing/2014/main" id="{3EBA81A6-3F30-4EAB-B20F-0AEDCC43436B}"/>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9075" name="5">
          <a:extLst>
            <a:ext uri="{FF2B5EF4-FFF2-40B4-BE49-F238E27FC236}">
              <a16:creationId xmlns:a16="http://schemas.microsoft.com/office/drawing/2014/main" id="{61533400-3106-40C5-A7AD-D0E697A0EB6D}"/>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9076" name="직선 화살표 연결선 29075">
          <a:extLst>
            <a:ext uri="{FF2B5EF4-FFF2-40B4-BE49-F238E27FC236}">
              <a16:creationId xmlns:a16="http://schemas.microsoft.com/office/drawing/2014/main" id="{08C2A5BC-C329-4884-9F66-525F7E0D660D}"/>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9077" name="4">
          <a:extLst>
            <a:ext uri="{FF2B5EF4-FFF2-40B4-BE49-F238E27FC236}">
              <a16:creationId xmlns:a16="http://schemas.microsoft.com/office/drawing/2014/main" id="{061D9744-3458-4F7C-BBE9-913CDB4522EF}"/>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9078" name="직선 화살표 연결선 29077">
          <a:extLst>
            <a:ext uri="{FF2B5EF4-FFF2-40B4-BE49-F238E27FC236}">
              <a16:creationId xmlns:a16="http://schemas.microsoft.com/office/drawing/2014/main" id="{7821B1D4-B511-44DF-AED4-E387BFB3DC5C}"/>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9079" name="3">
          <a:extLst>
            <a:ext uri="{FF2B5EF4-FFF2-40B4-BE49-F238E27FC236}">
              <a16:creationId xmlns:a16="http://schemas.microsoft.com/office/drawing/2014/main" id="{F67B1293-F6A0-47E9-8461-8CCF8FBEE592}"/>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9080" name="직선 화살표 연결선 29079">
          <a:extLst>
            <a:ext uri="{FF2B5EF4-FFF2-40B4-BE49-F238E27FC236}">
              <a16:creationId xmlns:a16="http://schemas.microsoft.com/office/drawing/2014/main" id="{3E82A316-E494-4ED0-A9DF-3CB0CE12ADE6}"/>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9081" name="2">
          <a:extLst>
            <a:ext uri="{FF2B5EF4-FFF2-40B4-BE49-F238E27FC236}">
              <a16:creationId xmlns:a16="http://schemas.microsoft.com/office/drawing/2014/main" id="{CA3B4ACC-01B7-4EC4-A850-AED08F2428A4}"/>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9082" name="직선 화살표 연결선 29081">
          <a:extLst>
            <a:ext uri="{FF2B5EF4-FFF2-40B4-BE49-F238E27FC236}">
              <a16:creationId xmlns:a16="http://schemas.microsoft.com/office/drawing/2014/main" id="{4B0A4E34-F4D3-44B4-9B50-BC8F3A85F91D}"/>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9083" name="1">
          <a:extLst>
            <a:ext uri="{FF2B5EF4-FFF2-40B4-BE49-F238E27FC236}">
              <a16:creationId xmlns:a16="http://schemas.microsoft.com/office/drawing/2014/main" id="{C3C4172C-99F5-4204-B84A-94B8E92BE334}"/>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9084" name="직선 화살표 연결선 29083">
          <a:extLst>
            <a:ext uri="{FF2B5EF4-FFF2-40B4-BE49-F238E27FC236}">
              <a16:creationId xmlns:a16="http://schemas.microsoft.com/office/drawing/2014/main" id="{C3677956-41FC-49FC-A286-457B0C3CC4F6}"/>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13971" name="5">
          <a:extLst>
            <a:ext uri="{FF2B5EF4-FFF2-40B4-BE49-F238E27FC236}">
              <a16:creationId xmlns:a16="http://schemas.microsoft.com/office/drawing/2014/main" id="{49CFE6D7-494E-40A1-A5E7-BC8D71448525}"/>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13972" name="직선 화살표 연결선 13971">
          <a:extLst>
            <a:ext uri="{FF2B5EF4-FFF2-40B4-BE49-F238E27FC236}">
              <a16:creationId xmlns:a16="http://schemas.microsoft.com/office/drawing/2014/main" id="{640B2A3A-2C45-478C-B752-F2CE6B1771D1}"/>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13973" name="4">
          <a:extLst>
            <a:ext uri="{FF2B5EF4-FFF2-40B4-BE49-F238E27FC236}">
              <a16:creationId xmlns:a16="http://schemas.microsoft.com/office/drawing/2014/main" id="{0A76813A-47B3-4608-9E76-7160DA37A293}"/>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13974" name="직선 화살표 연결선 13973">
          <a:extLst>
            <a:ext uri="{FF2B5EF4-FFF2-40B4-BE49-F238E27FC236}">
              <a16:creationId xmlns:a16="http://schemas.microsoft.com/office/drawing/2014/main" id="{4BB6C608-B037-4B97-8214-1929AF4BD501}"/>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13975" name="3">
          <a:extLst>
            <a:ext uri="{FF2B5EF4-FFF2-40B4-BE49-F238E27FC236}">
              <a16:creationId xmlns:a16="http://schemas.microsoft.com/office/drawing/2014/main" id="{F2B9A999-98CD-4E31-8681-977DEB3C1950}"/>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13976" name="직선 화살표 연결선 13975">
          <a:extLst>
            <a:ext uri="{FF2B5EF4-FFF2-40B4-BE49-F238E27FC236}">
              <a16:creationId xmlns:a16="http://schemas.microsoft.com/office/drawing/2014/main" id="{DF187E50-D0FB-42A4-BDED-854A37088F62}"/>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13977" name="2">
          <a:extLst>
            <a:ext uri="{FF2B5EF4-FFF2-40B4-BE49-F238E27FC236}">
              <a16:creationId xmlns:a16="http://schemas.microsoft.com/office/drawing/2014/main" id="{17054C10-1D5D-43D1-A16D-B392E0B69971}"/>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13978" name="직선 화살표 연결선 13977">
          <a:extLst>
            <a:ext uri="{FF2B5EF4-FFF2-40B4-BE49-F238E27FC236}">
              <a16:creationId xmlns:a16="http://schemas.microsoft.com/office/drawing/2014/main" id="{5757CCDF-F5AA-4BC2-8660-7B3C82D6035D}"/>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13979" name="1">
          <a:extLst>
            <a:ext uri="{FF2B5EF4-FFF2-40B4-BE49-F238E27FC236}">
              <a16:creationId xmlns:a16="http://schemas.microsoft.com/office/drawing/2014/main" id="{1973CF50-7A05-4121-86C8-67BF4A2A2299}"/>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13980" name="직선 화살표 연결선 13979">
          <a:extLst>
            <a:ext uri="{FF2B5EF4-FFF2-40B4-BE49-F238E27FC236}">
              <a16:creationId xmlns:a16="http://schemas.microsoft.com/office/drawing/2014/main" id="{5C82DCC4-024E-482F-8F44-D28751A0CE57}"/>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9181" name="5">
          <a:extLst>
            <a:ext uri="{FF2B5EF4-FFF2-40B4-BE49-F238E27FC236}">
              <a16:creationId xmlns:a16="http://schemas.microsoft.com/office/drawing/2014/main" id="{3DFE27ED-6F4F-4011-B8A8-EB309059E173}"/>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9182" name="직선 화살표 연결선 29181">
          <a:extLst>
            <a:ext uri="{FF2B5EF4-FFF2-40B4-BE49-F238E27FC236}">
              <a16:creationId xmlns:a16="http://schemas.microsoft.com/office/drawing/2014/main" id="{2F5A60F9-EAED-42BA-9127-E33CBCAA0942}"/>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9183" name="4">
          <a:extLst>
            <a:ext uri="{FF2B5EF4-FFF2-40B4-BE49-F238E27FC236}">
              <a16:creationId xmlns:a16="http://schemas.microsoft.com/office/drawing/2014/main" id="{4D3AD322-582F-4E04-89C4-C863B3BA4B25}"/>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9184" name="직선 화살표 연결선 29183">
          <a:extLst>
            <a:ext uri="{FF2B5EF4-FFF2-40B4-BE49-F238E27FC236}">
              <a16:creationId xmlns:a16="http://schemas.microsoft.com/office/drawing/2014/main" id="{041273BF-F98F-4B88-AF19-21895B66ED9A}"/>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9185" name="3">
          <a:extLst>
            <a:ext uri="{FF2B5EF4-FFF2-40B4-BE49-F238E27FC236}">
              <a16:creationId xmlns:a16="http://schemas.microsoft.com/office/drawing/2014/main" id="{FA6E756A-BDE6-45C0-B3C7-F35A83F7C2CA}"/>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9186" name="직선 화살표 연결선 29185">
          <a:extLst>
            <a:ext uri="{FF2B5EF4-FFF2-40B4-BE49-F238E27FC236}">
              <a16:creationId xmlns:a16="http://schemas.microsoft.com/office/drawing/2014/main" id="{FEA89D13-D3FE-42A4-B23B-28FD86F21AA3}"/>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9187" name="2">
          <a:extLst>
            <a:ext uri="{FF2B5EF4-FFF2-40B4-BE49-F238E27FC236}">
              <a16:creationId xmlns:a16="http://schemas.microsoft.com/office/drawing/2014/main" id="{F6BCBCA9-F392-4A12-953E-7F3A4AFEFD71}"/>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9188" name="직선 화살표 연결선 29187">
          <a:extLst>
            <a:ext uri="{FF2B5EF4-FFF2-40B4-BE49-F238E27FC236}">
              <a16:creationId xmlns:a16="http://schemas.microsoft.com/office/drawing/2014/main" id="{6994C25F-0E8F-4301-A1C6-5344D142A8AB}"/>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9189" name="1">
          <a:extLst>
            <a:ext uri="{FF2B5EF4-FFF2-40B4-BE49-F238E27FC236}">
              <a16:creationId xmlns:a16="http://schemas.microsoft.com/office/drawing/2014/main" id="{8CD05DF4-CEB4-4FD5-8CCB-079321CA6E5A}"/>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9190" name="직선 화살표 연결선 29189">
          <a:extLst>
            <a:ext uri="{FF2B5EF4-FFF2-40B4-BE49-F238E27FC236}">
              <a16:creationId xmlns:a16="http://schemas.microsoft.com/office/drawing/2014/main" id="{ACEB7C3C-E31D-406F-980F-40142B7FC8A1}"/>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9483" name="5">
          <a:extLst>
            <a:ext uri="{FF2B5EF4-FFF2-40B4-BE49-F238E27FC236}">
              <a16:creationId xmlns:a16="http://schemas.microsoft.com/office/drawing/2014/main" id="{C1897713-7EA4-496F-A038-F8C80C79A7ED}"/>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9484" name="직선 화살표 연결선 29483">
          <a:extLst>
            <a:ext uri="{FF2B5EF4-FFF2-40B4-BE49-F238E27FC236}">
              <a16:creationId xmlns:a16="http://schemas.microsoft.com/office/drawing/2014/main" id="{929F7AE9-462A-4D3D-B5B2-98DBA37FFC52}"/>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9485" name="4">
          <a:extLst>
            <a:ext uri="{FF2B5EF4-FFF2-40B4-BE49-F238E27FC236}">
              <a16:creationId xmlns:a16="http://schemas.microsoft.com/office/drawing/2014/main" id="{0D98DA3D-2F02-4FEF-B794-4DCBDC153FC1}"/>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9486" name="직선 화살표 연결선 29485">
          <a:extLst>
            <a:ext uri="{FF2B5EF4-FFF2-40B4-BE49-F238E27FC236}">
              <a16:creationId xmlns:a16="http://schemas.microsoft.com/office/drawing/2014/main" id="{6C221B48-9C2B-451E-AC4D-4AC35D1ED9BB}"/>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9487" name="3">
          <a:extLst>
            <a:ext uri="{FF2B5EF4-FFF2-40B4-BE49-F238E27FC236}">
              <a16:creationId xmlns:a16="http://schemas.microsoft.com/office/drawing/2014/main" id="{864EF516-4538-40F8-8402-4AB4DE0ACAB2}"/>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9488" name="직선 화살표 연결선 29487">
          <a:extLst>
            <a:ext uri="{FF2B5EF4-FFF2-40B4-BE49-F238E27FC236}">
              <a16:creationId xmlns:a16="http://schemas.microsoft.com/office/drawing/2014/main" id="{B637403C-9CF4-488C-928C-BB413C936F5B}"/>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9489" name="2">
          <a:extLst>
            <a:ext uri="{FF2B5EF4-FFF2-40B4-BE49-F238E27FC236}">
              <a16:creationId xmlns:a16="http://schemas.microsoft.com/office/drawing/2014/main" id="{6D2045C9-0985-47D5-810B-05B41E81FCFF}"/>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9490" name="직선 화살표 연결선 29489">
          <a:extLst>
            <a:ext uri="{FF2B5EF4-FFF2-40B4-BE49-F238E27FC236}">
              <a16:creationId xmlns:a16="http://schemas.microsoft.com/office/drawing/2014/main" id="{E0431DA0-E41E-47AF-B6E6-58D2A1706EC6}"/>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9491" name="1">
          <a:extLst>
            <a:ext uri="{FF2B5EF4-FFF2-40B4-BE49-F238E27FC236}">
              <a16:creationId xmlns:a16="http://schemas.microsoft.com/office/drawing/2014/main" id="{C4F7AD23-03E1-4FD8-9435-C55B53E2CE24}"/>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9492" name="직선 화살표 연결선 29491">
          <a:extLst>
            <a:ext uri="{FF2B5EF4-FFF2-40B4-BE49-F238E27FC236}">
              <a16:creationId xmlns:a16="http://schemas.microsoft.com/office/drawing/2014/main" id="{2AE8E50E-C498-4AB5-A0DB-FFAB2325A560}"/>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9785" name="5">
          <a:extLst>
            <a:ext uri="{FF2B5EF4-FFF2-40B4-BE49-F238E27FC236}">
              <a16:creationId xmlns:a16="http://schemas.microsoft.com/office/drawing/2014/main" id="{74E67550-FFA0-4E94-B02C-F85C2D6FF97C}"/>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9786" name="직선 화살표 연결선 29785">
          <a:extLst>
            <a:ext uri="{FF2B5EF4-FFF2-40B4-BE49-F238E27FC236}">
              <a16:creationId xmlns:a16="http://schemas.microsoft.com/office/drawing/2014/main" id="{58BF9255-F36A-4857-9AD7-25C5866FE2D1}"/>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9787" name="4">
          <a:extLst>
            <a:ext uri="{FF2B5EF4-FFF2-40B4-BE49-F238E27FC236}">
              <a16:creationId xmlns:a16="http://schemas.microsoft.com/office/drawing/2014/main" id="{20A888AE-5546-40DC-8CAC-E149C6461DE4}"/>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9788" name="직선 화살표 연결선 29787">
          <a:extLst>
            <a:ext uri="{FF2B5EF4-FFF2-40B4-BE49-F238E27FC236}">
              <a16:creationId xmlns:a16="http://schemas.microsoft.com/office/drawing/2014/main" id="{9FDBE818-892D-45E0-871B-12C17A7800DA}"/>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9789" name="3">
          <a:extLst>
            <a:ext uri="{FF2B5EF4-FFF2-40B4-BE49-F238E27FC236}">
              <a16:creationId xmlns:a16="http://schemas.microsoft.com/office/drawing/2014/main" id="{E1C6C518-792F-47F7-8796-C91C41078B02}"/>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9790" name="직선 화살표 연결선 29789">
          <a:extLst>
            <a:ext uri="{FF2B5EF4-FFF2-40B4-BE49-F238E27FC236}">
              <a16:creationId xmlns:a16="http://schemas.microsoft.com/office/drawing/2014/main" id="{C41CEB85-8B4C-4C5B-92E7-B25B5FE2BCA4}"/>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9791" name="2">
          <a:extLst>
            <a:ext uri="{FF2B5EF4-FFF2-40B4-BE49-F238E27FC236}">
              <a16:creationId xmlns:a16="http://schemas.microsoft.com/office/drawing/2014/main" id="{89D9DA6C-C041-4FA1-AACC-0FB23F638757}"/>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9792" name="직선 화살표 연결선 29791">
          <a:extLst>
            <a:ext uri="{FF2B5EF4-FFF2-40B4-BE49-F238E27FC236}">
              <a16:creationId xmlns:a16="http://schemas.microsoft.com/office/drawing/2014/main" id="{AC9CCE98-C10E-4ECF-BB6C-36B4F390675D}"/>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9793" name="1">
          <a:extLst>
            <a:ext uri="{FF2B5EF4-FFF2-40B4-BE49-F238E27FC236}">
              <a16:creationId xmlns:a16="http://schemas.microsoft.com/office/drawing/2014/main" id="{6653BB5C-E18B-4AB8-9CC7-357CF171B061}"/>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9794" name="직선 화살표 연결선 29793">
          <a:extLst>
            <a:ext uri="{FF2B5EF4-FFF2-40B4-BE49-F238E27FC236}">
              <a16:creationId xmlns:a16="http://schemas.microsoft.com/office/drawing/2014/main" id="{629733BA-8D51-4010-8B7C-8E09317D15C3}"/>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0087" name="5">
          <a:extLst>
            <a:ext uri="{FF2B5EF4-FFF2-40B4-BE49-F238E27FC236}">
              <a16:creationId xmlns:a16="http://schemas.microsoft.com/office/drawing/2014/main" id="{62F58C64-CA96-44B6-95F7-9B3F1F118F4D}"/>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0088" name="직선 화살표 연결선 30087">
          <a:extLst>
            <a:ext uri="{FF2B5EF4-FFF2-40B4-BE49-F238E27FC236}">
              <a16:creationId xmlns:a16="http://schemas.microsoft.com/office/drawing/2014/main" id="{7DF84E2C-590D-4386-87B4-BCB2E60A8C2F}"/>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0089" name="4">
          <a:extLst>
            <a:ext uri="{FF2B5EF4-FFF2-40B4-BE49-F238E27FC236}">
              <a16:creationId xmlns:a16="http://schemas.microsoft.com/office/drawing/2014/main" id="{465615F3-71C6-4E26-B0EA-5FF627CC631D}"/>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0090" name="직선 화살표 연결선 30089">
          <a:extLst>
            <a:ext uri="{FF2B5EF4-FFF2-40B4-BE49-F238E27FC236}">
              <a16:creationId xmlns:a16="http://schemas.microsoft.com/office/drawing/2014/main" id="{8C6618FB-B393-418A-92CA-C34A3DACCA36}"/>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0091" name="3">
          <a:extLst>
            <a:ext uri="{FF2B5EF4-FFF2-40B4-BE49-F238E27FC236}">
              <a16:creationId xmlns:a16="http://schemas.microsoft.com/office/drawing/2014/main" id="{119C5663-1A2C-4BA2-AB7E-15A41A732EF5}"/>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0092" name="직선 화살표 연결선 30091">
          <a:extLst>
            <a:ext uri="{FF2B5EF4-FFF2-40B4-BE49-F238E27FC236}">
              <a16:creationId xmlns:a16="http://schemas.microsoft.com/office/drawing/2014/main" id="{B1143CEE-66DB-458B-839D-0D6581C39EA5}"/>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0093" name="2">
          <a:extLst>
            <a:ext uri="{FF2B5EF4-FFF2-40B4-BE49-F238E27FC236}">
              <a16:creationId xmlns:a16="http://schemas.microsoft.com/office/drawing/2014/main" id="{A46D570C-3CD9-47A6-A39D-CD65B01B43AC}"/>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0094" name="직선 화살표 연결선 30093">
          <a:extLst>
            <a:ext uri="{FF2B5EF4-FFF2-40B4-BE49-F238E27FC236}">
              <a16:creationId xmlns:a16="http://schemas.microsoft.com/office/drawing/2014/main" id="{E57B24AB-8EFA-4C6A-BFF3-52A4FEF6A8F6}"/>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0095" name="1">
          <a:extLst>
            <a:ext uri="{FF2B5EF4-FFF2-40B4-BE49-F238E27FC236}">
              <a16:creationId xmlns:a16="http://schemas.microsoft.com/office/drawing/2014/main" id="{B8EA3DDA-6069-4E02-89DC-75D16C8ED691}"/>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0096" name="직선 화살표 연결선 30095">
          <a:extLst>
            <a:ext uri="{FF2B5EF4-FFF2-40B4-BE49-F238E27FC236}">
              <a16:creationId xmlns:a16="http://schemas.microsoft.com/office/drawing/2014/main" id="{41510000-9ABD-4D59-A243-DC4E2039AD1A}"/>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0394" name="5">
          <a:extLst>
            <a:ext uri="{FF2B5EF4-FFF2-40B4-BE49-F238E27FC236}">
              <a16:creationId xmlns:a16="http://schemas.microsoft.com/office/drawing/2014/main" id="{8C4D7D4B-D82C-4177-A0A9-CB28AB84380F}"/>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0395" name="직선 화살표 연결선 30394">
          <a:extLst>
            <a:ext uri="{FF2B5EF4-FFF2-40B4-BE49-F238E27FC236}">
              <a16:creationId xmlns:a16="http://schemas.microsoft.com/office/drawing/2014/main" id="{B144759A-1C56-4C91-BD09-C209D529DFDE}"/>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0396" name="4">
          <a:extLst>
            <a:ext uri="{FF2B5EF4-FFF2-40B4-BE49-F238E27FC236}">
              <a16:creationId xmlns:a16="http://schemas.microsoft.com/office/drawing/2014/main" id="{BA43AF2D-062C-49EF-BB73-9861CC123906}"/>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0397" name="직선 화살표 연결선 30396">
          <a:extLst>
            <a:ext uri="{FF2B5EF4-FFF2-40B4-BE49-F238E27FC236}">
              <a16:creationId xmlns:a16="http://schemas.microsoft.com/office/drawing/2014/main" id="{78199821-64DD-4D68-9EBA-927A8D420477}"/>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0398" name="3">
          <a:extLst>
            <a:ext uri="{FF2B5EF4-FFF2-40B4-BE49-F238E27FC236}">
              <a16:creationId xmlns:a16="http://schemas.microsoft.com/office/drawing/2014/main" id="{11E86B88-A283-4F95-A5D0-0879FF330C0E}"/>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0399" name="직선 화살표 연결선 30398">
          <a:extLst>
            <a:ext uri="{FF2B5EF4-FFF2-40B4-BE49-F238E27FC236}">
              <a16:creationId xmlns:a16="http://schemas.microsoft.com/office/drawing/2014/main" id="{360642E0-FC00-493C-B1A0-3C709FE8FF40}"/>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0400" name="2">
          <a:extLst>
            <a:ext uri="{FF2B5EF4-FFF2-40B4-BE49-F238E27FC236}">
              <a16:creationId xmlns:a16="http://schemas.microsoft.com/office/drawing/2014/main" id="{246627D3-B0CB-4626-97C8-8091E2EED0AA}"/>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0401" name="직선 화살표 연결선 30400">
          <a:extLst>
            <a:ext uri="{FF2B5EF4-FFF2-40B4-BE49-F238E27FC236}">
              <a16:creationId xmlns:a16="http://schemas.microsoft.com/office/drawing/2014/main" id="{1E23498A-6905-44D5-91C1-983BA27895BE}"/>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0402" name="1">
          <a:extLst>
            <a:ext uri="{FF2B5EF4-FFF2-40B4-BE49-F238E27FC236}">
              <a16:creationId xmlns:a16="http://schemas.microsoft.com/office/drawing/2014/main" id="{62F14139-A01F-43CC-8169-FB2C3661F385}"/>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0403" name="직선 화살표 연결선 30402">
          <a:extLst>
            <a:ext uri="{FF2B5EF4-FFF2-40B4-BE49-F238E27FC236}">
              <a16:creationId xmlns:a16="http://schemas.microsoft.com/office/drawing/2014/main" id="{5F134075-B78A-46E8-A85D-0A0E8CEEB671}"/>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0696" name="5">
          <a:extLst>
            <a:ext uri="{FF2B5EF4-FFF2-40B4-BE49-F238E27FC236}">
              <a16:creationId xmlns:a16="http://schemas.microsoft.com/office/drawing/2014/main" id="{31DA61C8-8B70-41B4-A8DF-775B98C70404}"/>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0697" name="직선 화살표 연결선 30696">
          <a:extLst>
            <a:ext uri="{FF2B5EF4-FFF2-40B4-BE49-F238E27FC236}">
              <a16:creationId xmlns:a16="http://schemas.microsoft.com/office/drawing/2014/main" id="{060B71AD-CDB0-430A-92A0-F1270B2DBF92}"/>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0698" name="4">
          <a:extLst>
            <a:ext uri="{FF2B5EF4-FFF2-40B4-BE49-F238E27FC236}">
              <a16:creationId xmlns:a16="http://schemas.microsoft.com/office/drawing/2014/main" id="{997CC207-5731-466E-A0BA-4F2179E9885B}"/>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0699" name="직선 화살표 연결선 30698">
          <a:extLst>
            <a:ext uri="{FF2B5EF4-FFF2-40B4-BE49-F238E27FC236}">
              <a16:creationId xmlns:a16="http://schemas.microsoft.com/office/drawing/2014/main" id="{B78B84C9-07CF-4341-8496-62B3E587CDB6}"/>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0700" name="3">
          <a:extLst>
            <a:ext uri="{FF2B5EF4-FFF2-40B4-BE49-F238E27FC236}">
              <a16:creationId xmlns:a16="http://schemas.microsoft.com/office/drawing/2014/main" id="{31C43596-4B7D-4B1D-A408-6F6BE5C90DEE}"/>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0701" name="직선 화살표 연결선 30700">
          <a:extLst>
            <a:ext uri="{FF2B5EF4-FFF2-40B4-BE49-F238E27FC236}">
              <a16:creationId xmlns:a16="http://schemas.microsoft.com/office/drawing/2014/main" id="{91AFAF82-66AC-4B5F-A8D1-34D56DCAB6BD}"/>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0702" name="2">
          <a:extLst>
            <a:ext uri="{FF2B5EF4-FFF2-40B4-BE49-F238E27FC236}">
              <a16:creationId xmlns:a16="http://schemas.microsoft.com/office/drawing/2014/main" id="{D9028593-26C4-48AB-9F5A-E5381F4F6B02}"/>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0703" name="직선 화살표 연결선 30702">
          <a:extLst>
            <a:ext uri="{FF2B5EF4-FFF2-40B4-BE49-F238E27FC236}">
              <a16:creationId xmlns:a16="http://schemas.microsoft.com/office/drawing/2014/main" id="{742F74B6-EC09-4DC4-8BDB-C013698A563D}"/>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0704" name="1">
          <a:extLst>
            <a:ext uri="{FF2B5EF4-FFF2-40B4-BE49-F238E27FC236}">
              <a16:creationId xmlns:a16="http://schemas.microsoft.com/office/drawing/2014/main" id="{C24A066E-5C8B-48E2-A7F7-FF0E485EFCEC}"/>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0705" name="직선 화살표 연결선 30704">
          <a:extLst>
            <a:ext uri="{FF2B5EF4-FFF2-40B4-BE49-F238E27FC236}">
              <a16:creationId xmlns:a16="http://schemas.microsoft.com/office/drawing/2014/main" id="{84BC7B5C-FB5C-49D2-8199-F78E53F18A0B}"/>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1003" name="5">
          <a:extLst>
            <a:ext uri="{FF2B5EF4-FFF2-40B4-BE49-F238E27FC236}">
              <a16:creationId xmlns:a16="http://schemas.microsoft.com/office/drawing/2014/main" id="{0B5E31D3-DDD8-41A6-93B3-8D94EF1E5A31}"/>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1004" name="직선 화살표 연결선 31003">
          <a:extLst>
            <a:ext uri="{FF2B5EF4-FFF2-40B4-BE49-F238E27FC236}">
              <a16:creationId xmlns:a16="http://schemas.microsoft.com/office/drawing/2014/main" id="{0FD46EF0-CE9B-4C59-A988-3F5318CFFA3C}"/>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1005" name="4">
          <a:extLst>
            <a:ext uri="{FF2B5EF4-FFF2-40B4-BE49-F238E27FC236}">
              <a16:creationId xmlns:a16="http://schemas.microsoft.com/office/drawing/2014/main" id="{F5F0C2DE-3636-4E4D-99E6-47DCB3ECB6DD}"/>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1006" name="직선 화살표 연결선 31005">
          <a:extLst>
            <a:ext uri="{FF2B5EF4-FFF2-40B4-BE49-F238E27FC236}">
              <a16:creationId xmlns:a16="http://schemas.microsoft.com/office/drawing/2014/main" id="{B7B327EB-D490-48B5-9AD8-4DA6B1FD542A}"/>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1007" name="3">
          <a:extLst>
            <a:ext uri="{FF2B5EF4-FFF2-40B4-BE49-F238E27FC236}">
              <a16:creationId xmlns:a16="http://schemas.microsoft.com/office/drawing/2014/main" id="{CF6CD722-C644-4E6B-A228-AD72EB1549A2}"/>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1008" name="직선 화살표 연결선 31007">
          <a:extLst>
            <a:ext uri="{FF2B5EF4-FFF2-40B4-BE49-F238E27FC236}">
              <a16:creationId xmlns:a16="http://schemas.microsoft.com/office/drawing/2014/main" id="{32633911-B8E0-4A3F-9F3F-42D7A7BBDD8A}"/>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1009" name="2">
          <a:extLst>
            <a:ext uri="{FF2B5EF4-FFF2-40B4-BE49-F238E27FC236}">
              <a16:creationId xmlns:a16="http://schemas.microsoft.com/office/drawing/2014/main" id="{3BE5D1B2-E102-4AB7-9A7A-2F2914601524}"/>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1010" name="직선 화살표 연결선 31009">
          <a:extLst>
            <a:ext uri="{FF2B5EF4-FFF2-40B4-BE49-F238E27FC236}">
              <a16:creationId xmlns:a16="http://schemas.microsoft.com/office/drawing/2014/main" id="{07FB052D-F803-45EF-959F-F7DE3A4DF8FB}"/>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1011" name="1">
          <a:extLst>
            <a:ext uri="{FF2B5EF4-FFF2-40B4-BE49-F238E27FC236}">
              <a16:creationId xmlns:a16="http://schemas.microsoft.com/office/drawing/2014/main" id="{F5AB4BF2-E00A-41DD-92EA-BF99291A9403}"/>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1012" name="직선 화살표 연결선 31011">
          <a:extLst>
            <a:ext uri="{FF2B5EF4-FFF2-40B4-BE49-F238E27FC236}">
              <a16:creationId xmlns:a16="http://schemas.microsoft.com/office/drawing/2014/main" id="{54FBE46F-526F-4BC0-8C83-56805D53D680}"/>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1307" name="5">
          <a:extLst>
            <a:ext uri="{FF2B5EF4-FFF2-40B4-BE49-F238E27FC236}">
              <a16:creationId xmlns:a16="http://schemas.microsoft.com/office/drawing/2014/main" id="{E7DA8B4B-1D0B-474C-AD61-C9D8C5B790B0}"/>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1308" name="직선 화살표 연결선 31307">
          <a:extLst>
            <a:ext uri="{FF2B5EF4-FFF2-40B4-BE49-F238E27FC236}">
              <a16:creationId xmlns:a16="http://schemas.microsoft.com/office/drawing/2014/main" id="{39CA50E7-71D5-4065-9357-F79A5D692545}"/>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1309" name="4">
          <a:extLst>
            <a:ext uri="{FF2B5EF4-FFF2-40B4-BE49-F238E27FC236}">
              <a16:creationId xmlns:a16="http://schemas.microsoft.com/office/drawing/2014/main" id="{31C24451-25F3-4CA0-A904-EA916F3C0627}"/>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1310" name="직선 화살표 연결선 31309">
          <a:extLst>
            <a:ext uri="{FF2B5EF4-FFF2-40B4-BE49-F238E27FC236}">
              <a16:creationId xmlns:a16="http://schemas.microsoft.com/office/drawing/2014/main" id="{DDD125EE-BAB0-444E-B789-F7387E52E8EA}"/>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1311" name="3">
          <a:extLst>
            <a:ext uri="{FF2B5EF4-FFF2-40B4-BE49-F238E27FC236}">
              <a16:creationId xmlns:a16="http://schemas.microsoft.com/office/drawing/2014/main" id="{4371FD78-A906-4DFF-A09C-E600A432DA53}"/>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1312" name="직선 화살표 연결선 31311">
          <a:extLst>
            <a:ext uri="{FF2B5EF4-FFF2-40B4-BE49-F238E27FC236}">
              <a16:creationId xmlns:a16="http://schemas.microsoft.com/office/drawing/2014/main" id="{6DC81A33-87C3-4731-A35A-DB8A158DF529}"/>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1313" name="2">
          <a:extLst>
            <a:ext uri="{FF2B5EF4-FFF2-40B4-BE49-F238E27FC236}">
              <a16:creationId xmlns:a16="http://schemas.microsoft.com/office/drawing/2014/main" id="{36A9E64F-7300-4548-B7EA-489BEB4D117B}"/>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1314" name="직선 화살표 연결선 31313">
          <a:extLst>
            <a:ext uri="{FF2B5EF4-FFF2-40B4-BE49-F238E27FC236}">
              <a16:creationId xmlns:a16="http://schemas.microsoft.com/office/drawing/2014/main" id="{45041584-4FCE-4F36-804B-8CD3AB5FC43C}"/>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1315" name="1">
          <a:extLst>
            <a:ext uri="{FF2B5EF4-FFF2-40B4-BE49-F238E27FC236}">
              <a16:creationId xmlns:a16="http://schemas.microsoft.com/office/drawing/2014/main" id="{ACF3AD12-6A3B-46C3-8D67-E7475B2A2126}"/>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1316" name="직선 화살표 연결선 31315">
          <a:extLst>
            <a:ext uri="{FF2B5EF4-FFF2-40B4-BE49-F238E27FC236}">
              <a16:creationId xmlns:a16="http://schemas.microsoft.com/office/drawing/2014/main" id="{72730F28-C53A-4645-BD60-E1152420F9DF}"/>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1618" name="5">
          <a:extLst>
            <a:ext uri="{FF2B5EF4-FFF2-40B4-BE49-F238E27FC236}">
              <a16:creationId xmlns:a16="http://schemas.microsoft.com/office/drawing/2014/main" id="{50B184EC-551B-46F6-8C1D-7C29ACB70E63}"/>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1619" name="직선 화살표 연결선 31618">
          <a:extLst>
            <a:ext uri="{FF2B5EF4-FFF2-40B4-BE49-F238E27FC236}">
              <a16:creationId xmlns:a16="http://schemas.microsoft.com/office/drawing/2014/main" id="{AEBE24CD-824A-4E2B-A0D9-B4F6A2237F16}"/>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1620" name="4">
          <a:extLst>
            <a:ext uri="{FF2B5EF4-FFF2-40B4-BE49-F238E27FC236}">
              <a16:creationId xmlns:a16="http://schemas.microsoft.com/office/drawing/2014/main" id="{04F38F86-E9EA-4879-8A03-6D68E4BB4A76}"/>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1621" name="직선 화살표 연결선 31620">
          <a:extLst>
            <a:ext uri="{FF2B5EF4-FFF2-40B4-BE49-F238E27FC236}">
              <a16:creationId xmlns:a16="http://schemas.microsoft.com/office/drawing/2014/main" id="{34AF8E7D-4CD0-40EC-9300-050124449412}"/>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1622" name="3">
          <a:extLst>
            <a:ext uri="{FF2B5EF4-FFF2-40B4-BE49-F238E27FC236}">
              <a16:creationId xmlns:a16="http://schemas.microsoft.com/office/drawing/2014/main" id="{04D2460D-7D8D-4B21-9A63-E5D53B7F936C}"/>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1623" name="직선 화살표 연결선 31622">
          <a:extLst>
            <a:ext uri="{FF2B5EF4-FFF2-40B4-BE49-F238E27FC236}">
              <a16:creationId xmlns:a16="http://schemas.microsoft.com/office/drawing/2014/main" id="{07A90237-FBEC-4F40-9C43-9267FD61685E}"/>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1624" name="2">
          <a:extLst>
            <a:ext uri="{FF2B5EF4-FFF2-40B4-BE49-F238E27FC236}">
              <a16:creationId xmlns:a16="http://schemas.microsoft.com/office/drawing/2014/main" id="{C2B4BEE7-CF38-48DB-8889-64E6DC2C91B9}"/>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1625" name="직선 화살표 연결선 31624">
          <a:extLst>
            <a:ext uri="{FF2B5EF4-FFF2-40B4-BE49-F238E27FC236}">
              <a16:creationId xmlns:a16="http://schemas.microsoft.com/office/drawing/2014/main" id="{F7852887-1724-4FB1-84B4-2FED2B583E4C}"/>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1626" name="1">
          <a:extLst>
            <a:ext uri="{FF2B5EF4-FFF2-40B4-BE49-F238E27FC236}">
              <a16:creationId xmlns:a16="http://schemas.microsoft.com/office/drawing/2014/main" id="{99BE605A-80A6-49EA-8387-A2F7F60A099A}"/>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1627" name="직선 화살표 연결선 31626">
          <a:extLst>
            <a:ext uri="{FF2B5EF4-FFF2-40B4-BE49-F238E27FC236}">
              <a16:creationId xmlns:a16="http://schemas.microsoft.com/office/drawing/2014/main" id="{6BAD65C0-7A43-4AF3-8E01-455DB2A870AA}"/>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1928" name="5">
          <a:extLst>
            <a:ext uri="{FF2B5EF4-FFF2-40B4-BE49-F238E27FC236}">
              <a16:creationId xmlns:a16="http://schemas.microsoft.com/office/drawing/2014/main" id="{938713F0-F5A3-455E-BC60-16818D072497}"/>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1929" name="직선 화살표 연결선 31928">
          <a:extLst>
            <a:ext uri="{FF2B5EF4-FFF2-40B4-BE49-F238E27FC236}">
              <a16:creationId xmlns:a16="http://schemas.microsoft.com/office/drawing/2014/main" id="{1DD729B9-5DDC-4F67-A7CC-F618BD9311D1}"/>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1930" name="4">
          <a:extLst>
            <a:ext uri="{FF2B5EF4-FFF2-40B4-BE49-F238E27FC236}">
              <a16:creationId xmlns:a16="http://schemas.microsoft.com/office/drawing/2014/main" id="{C72E5040-AD04-4956-AF58-570BE6AD0B5A}"/>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1931" name="직선 화살표 연결선 31930">
          <a:extLst>
            <a:ext uri="{FF2B5EF4-FFF2-40B4-BE49-F238E27FC236}">
              <a16:creationId xmlns:a16="http://schemas.microsoft.com/office/drawing/2014/main" id="{2777D08B-E375-42F4-98DC-7BF1B2A97BD5}"/>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1932" name="3">
          <a:extLst>
            <a:ext uri="{FF2B5EF4-FFF2-40B4-BE49-F238E27FC236}">
              <a16:creationId xmlns:a16="http://schemas.microsoft.com/office/drawing/2014/main" id="{44339E1E-6F8E-4E38-948D-DE294B0424A1}"/>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1933" name="직선 화살표 연결선 31932">
          <a:extLst>
            <a:ext uri="{FF2B5EF4-FFF2-40B4-BE49-F238E27FC236}">
              <a16:creationId xmlns:a16="http://schemas.microsoft.com/office/drawing/2014/main" id="{2F7838D2-0FD2-4FEF-8B11-A79A5D841159}"/>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1934" name="2">
          <a:extLst>
            <a:ext uri="{FF2B5EF4-FFF2-40B4-BE49-F238E27FC236}">
              <a16:creationId xmlns:a16="http://schemas.microsoft.com/office/drawing/2014/main" id="{0DB24ED7-9FF2-40B5-90CD-077B8118446B}"/>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1935" name="직선 화살표 연결선 31934">
          <a:extLst>
            <a:ext uri="{FF2B5EF4-FFF2-40B4-BE49-F238E27FC236}">
              <a16:creationId xmlns:a16="http://schemas.microsoft.com/office/drawing/2014/main" id="{53E87965-CA4E-45D6-B702-FCD1027D6F6A}"/>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1936" name="1">
          <a:extLst>
            <a:ext uri="{FF2B5EF4-FFF2-40B4-BE49-F238E27FC236}">
              <a16:creationId xmlns:a16="http://schemas.microsoft.com/office/drawing/2014/main" id="{AC997D36-5242-4451-BED6-39A9FBD94580}"/>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1937" name="직선 화살표 연결선 31936">
          <a:extLst>
            <a:ext uri="{FF2B5EF4-FFF2-40B4-BE49-F238E27FC236}">
              <a16:creationId xmlns:a16="http://schemas.microsoft.com/office/drawing/2014/main" id="{FC42A636-C96C-4B02-B277-1E90C6882E1A}"/>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2238" name="5">
          <a:extLst>
            <a:ext uri="{FF2B5EF4-FFF2-40B4-BE49-F238E27FC236}">
              <a16:creationId xmlns:a16="http://schemas.microsoft.com/office/drawing/2014/main" id="{A97C255C-2CB5-4AFF-AEE1-365E8A60289B}"/>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2239" name="직선 화살표 연결선 32238">
          <a:extLst>
            <a:ext uri="{FF2B5EF4-FFF2-40B4-BE49-F238E27FC236}">
              <a16:creationId xmlns:a16="http://schemas.microsoft.com/office/drawing/2014/main" id="{9EE66D10-66B1-450E-9982-4DAACDCE3153}"/>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2240" name="4">
          <a:extLst>
            <a:ext uri="{FF2B5EF4-FFF2-40B4-BE49-F238E27FC236}">
              <a16:creationId xmlns:a16="http://schemas.microsoft.com/office/drawing/2014/main" id="{CC485086-A0B7-4701-8D25-4B26B7C4E770}"/>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2241" name="직선 화살표 연결선 32240">
          <a:extLst>
            <a:ext uri="{FF2B5EF4-FFF2-40B4-BE49-F238E27FC236}">
              <a16:creationId xmlns:a16="http://schemas.microsoft.com/office/drawing/2014/main" id="{5EA70BA6-3943-4B68-AE5A-3168B66CF18B}"/>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2242" name="3">
          <a:extLst>
            <a:ext uri="{FF2B5EF4-FFF2-40B4-BE49-F238E27FC236}">
              <a16:creationId xmlns:a16="http://schemas.microsoft.com/office/drawing/2014/main" id="{E3388DBA-000E-4366-9EB9-223951B2A0CA}"/>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2243" name="직선 화살표 연결선 32242">
          <a:extLst>
            <a:ext uri="{FF2B5EF4-FFF2-40B4-BE49-F238E27FC236}">
              <a16:creationId xmlns:a16="http://schemas.microsoft.com/office/drawing/2014/main" id="{E31F7A29-9E7C-4B89-8FAA-239D57EA1F4C}"/>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2244" name="2">
          <a:extLst>
            <a:ext uri="{FF2B5EF4-FFF2-40B4-BE49-F238E27FC236}">
              <a16:creationId xmlns:a16="http://schemas.microsoft.com/office/drawing/2014/main" id="{48C7B85E-CC6C-492C-92EF-670EC8F020FD}"/>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2245" name="직선 화살표 연결선 32244">
          <a:extLst>
            <a:ext uri="{FF2B5EF4-FFF2-40B4-BE49-F238E27FC236}">
              <a16:creationId xmlns:a16="http://schemas.microsoft.com/office/drawing/2014/main" id="{5E8375B6-1D39-44B4-ACAB-85056CE53F34}"/>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2246" name="1">
          <a:extLst>
            <a:ext uri="{FF2B5EF4-FFF2-40B4-BE49-F238E27FC236}">
              <a16:creationId xmlns:a16="http://schemas.microsoft.com/office/drawing/2014/main" id="{C78E7DFF-EE64-4EA4-87FD-95BA5D227399}"/>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2247" name="직선 화살표 연결선 32246">
          <a:extLst>
            <a:ext uri="{FF2B5EF4-FFF2-40B4-BE49-F238E27FC236}">
              <a16:creationId xmlns:a16="http://schemas.microsoft.com/office/drawing/2014/main" id="{7B13D183-838A-4140-874D-BE3EE9C254C2}"/>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2548" name="5">
          <a:extLst>
            <a:ext uri="{FF2B5EF4-FFF2-40B4-BE49-F238E27FC236}">
              <a16:creationId xmlns:a16="http://schemas.microsoft.com/office/drawing/2014/main" id="{18488B50-4EB1-439E-BC45-C485A4CB6336}"/>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2549" name="직선 화살표 연결선 32548">
          <a:extLst>
            <a:ext uri="{FF2B5EF4-FFF2-40B4-BE49-F238E27FC236}">
              <a16:creationId xmlns:a16="http://schemas.microsoft.com/office/drawing/2014/main" id="{EFF23A88-05CB-49AC-A117-5C7EE74E955D}"/>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2550" name="4">
          <a:extLst>
            <a:ext uri="{FF2B5EF4-FFF2-40B4-BE49-F238E27FC236}">
              <a16:creationId xmlns:a16="http://schemas.microsoft.com/office/drawing/2014/main" id="{B9AA49DE-36AE-4F5F-9B89-E48DFAD5F5FC}"/>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2551" name="직선 화살표 연결선 32550">
          <a:extLst>
            <a:ext uri="{FF2B5EF4-FFF2-40B4-BE49-F238E27FC236}">
              <a16:creationId xmlns:a16="http://schemas.microsoft.com/office/drawing/2014/main" id="{4228BDB9-6886-458C-88CF-AA3ECCAE3E62}"/>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2552" name="3">
          <a:extLst>
            <a:ext uri="{FF2B5EF4-FFF2-40B4-BE49-F238E27FC236}">
              <a16:creationId xmlns:a16="http://schemas.microsoft.com/office/drawing/2014/main" id="{3000662E-99A9-4F9C-9369-DCA790C3F8C2}"/>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2553" name="직선 화살표 연결선 32552">
          <a:extLst>
            <a:ext uri="{FF2B5EF4-FFF2-40B4-BE49-F238E27FC236}">
              <a16:creationId xmlns:a16="http://schemas.microsoft.com/office/drawing/2014/main" id="{6DC2FF32-7ABB-4884-9698-437FC728300D}"/>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2554" name="2">
          <a:extLst>
            <a:ext uri="{FF2B5EF4-FFF2-40B4-BE49-F238E27FC236}">
              <a16:creationId xmlns:a16="http://schemas.microsoft.com/office/drawing/2014/main" id="{EC55DD19-A783-451C-873F-65947EA7D7B9}"/>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2555" name="직선 화살표 연결선 32554">
          <a:extLst>
            <a:ext uri="{FF2B5EF4-FFF2-40B4-BE49-F238E27FC236}">
              <a16:creationId xmlns:a16="http://schemas.microsoft.com/office/drawing/2014/main" id="{D0BF0DCE-FAA5-41DB-9F9C-1373DB5905BA}"/>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2556" name="1">
          <a:extLst>
            <a:ext uri="{FF2B5EF4-FFF2-40B4-BE49-F238E27FC236}">
              <a16:creationId xmlns:a16="http://schemas.microsoft.com/office/drawing/2014/main" id="{CC06D066-1794-4CF8-9904-B66CBDB54C16}"/>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2557" name="직선 화살표 연결선 32556">
          <a:extLst>
            <a:ext uri="{FF2B5EF4-FFF2-40B4-BE49-F238E27FC236}">
              <a16:creationId xmlns:a16="http://schemas.microsoft.com/office/drawing/2014/main" id="{7C8348D8-A75B-4C41-91BB-A86D6C42BB6C}"/>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0669" name="5">
          <a:extLst>
            <a:ext uri="{FF2B5EF4-FFF2-40B4-BE49-F238E27FC236}">
              <a16:creationId xmlns:a16="http://schemas.microsoft.com/office/drawing/2014/main" id="{FFA46855-0C7B-4523-8B1A-732D55169C7A}"/>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0670" name="직선 화살표 연결선 30669">
          <a:extLst>
            <a:ext uri="{FF2B5EF4-FFF2-40B4-BE49-F238E27FC236}">
              <a16:creationId xmlns:a16="http://schemas.microsoft.com/office/drawing/2014/main" id="{7ED1395C-BCD3-48D1-B366-94125C6172CE}"/>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0671" name="4">
          <a:extLst>
            <a:ext uri="{FF2B5EF4-FFF2-40B4-BE49-F238E27FC236}">
              <a16:creationId xmlns:a16="http://schemas.microsoft.com/office/drawing/2014/main" id="{ED3C78D7-4386-49ED-9C44-144D897CD164}"/>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0672" name="직선 화살표 연결선 30671">
          <a:extLst>
            <a:ext uri="{FF2B5EF4-FFF2-40B4-BE49-F238E27FC236}">
              <a16:creationId xmlns:a16="http://schemas.microsoft.com/office/drawing/2014/main" id="{D10DF227-ABA8-412D-A3B4-3C1CBEFE9CA8}"/>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0673" name="3">
          <a:extLst>
            <a:ext uri="{FF2B5EF4-FFF2-40B4-BE49-F238E27FC236}">
              <a16:creationId xmlns:a16="http://schemas.microsoft.com/office/drawing/2014/main" id="{5F9C2196-2E84-4A93-B827-B428A05A7C0D}"/>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0674" name="직선 화살표 연결선 30673">
          <a:extLst>
            <a:ext uri="{FF2B5EF4-FFF2-40B4-BE49-F238E27FC236}">
              <a16:creationId xmlns:a16="http://schemas.microsoft.com/office/drawing/2014/main" id="{09F540DB-4B94-427F-9C7C-A778D9598CAA}"/>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0675" name="2">
          <a:extLst>
            <a:ext uri="{FF2B5EF4-FFF2-40B4-BE49-F238E27FC236}">
              <a16:creationId xmlns:a16="http://schemas.microsoft.com/office/drawing/2014/main" id="{14614F77-5DA1-48F9-AD0D-1D589213D7A0}"/>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0676" name="직선 화살표 연결선 30675">
          <a:extLst>
            <a:ext uri="{FF2B5EF4-FFF2-40B4-BE49-F238E27FC236}">
              <a16:creationId xmlns:a16="http://schemas.microsoft.com/office/drawing/2014/main" id="{82C9AB33-171A-44CC-8392-A9A7F09C69AA}"/>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0677" name="1">
          <a:extLst>
            <a:ext uri="{FF2B5EF4-FFF2-40B4-BE49-F238E27FC236}">
              <a16:creationId xmlns:a16="http://schemas.microsoft.com/office/drawing/2014/main" id="{611D0D1E-2238-4C46-841B-5E9E495AF3AA}"/>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0678" name="직선 화살표 연결선 30677">
          <a:extLst>
            <a:ext uri="{FF2B5EF4-FFF2-40B4-BE49-F238E27FC236}">
              <a16:creationId xmlns:a16="http://schemas.microsoft.com/office/drawing/2014/main" id="{F06F458F-FDA2-415F-A21A-24FABC2C84AA}"/>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1352" name="5">
          <a:extLst>
            <a:ext uri="{FF2B5EF4-FFF2-40B4-BE49-F238E27FC236}">
              <a16:creationId xmlns:a16="http://schemas.microsoft.com/office/drawing/2014/main" id="{95426A99-5BB9-4A8C-99B2-47EDDF5057C3}"/>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1353" name="직선 화살표 연결선 31352">
          <a:extLst>
            <a:ext uri="{FF2B5EF4-FFF2-40B4-BE49-F238E27FC236}">
              <a16:creationId xmlns:a16="http://schemas.microsoft.com/office/drawing/2014/main" id="{3CD6AC60-9294-4B9D-A610-2E90512C7B27}"/>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1354" name="4">
          <a:extLst>
            <a:ext uri="{FF2B5EF4-FFF2-40B4-BE49-F238E27FC236}">
              <a16:creationId xmlns:a16="http://schemas.microsoft.com/office/drawing/2014/main" id="{B2ED5017-14CF-4FC9-902E-5F59C446279F}"/>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1355" name="직선 화살표 연결선 31354">
          <a:extLst>
            <a:ext uri="{FF2B5EF4-FFF2-40B4-BE49-F238E27FC236}">
              <a16:creationId xmlns:a16="http://schemas.microsoft.com/office/drawing/2014/main" id="{ACC5A592-DC45-47A3-AE28-2D81003582D1}"/>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1356" name="3">
          <a:extLst>
            <a:ext uri="{FF2B5EF4-FFF2-40B4-BE49-F238E27FC236}">
              <a16:creationId xmlns:a16="http://schemas.microsoft.com/office/drawing/2014/main" id="{667C60C3-5D15-44AE-86E8-5113399D5AC3}"/>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1357" name="직선 화살표 연결선 31356">
          <a:extLst>
            <a:ext uri="{FF2B5EF4-FFF2-40B4-BE49-F238E27FC236}">
              <a16:creationId xmlns:a16="http://schemas.microsoft.com/office/drawing/2014/main" id="{533351D1-AE7C-40F7-B481-88018FE9E12D}"/>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1358" name="2">
          <a:extLst>
            <a:ext uri="{FF2B5EF4-FFF2-40B4-BE49-F238E27FC236}">
              <a16:creationId xmlns:a16="http://schemas.microsoft.com/office/drawing/2014/main" id="{D6FC2C17-75A6-41A1-8F24-6470C0997C20}"/>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1359" name="직선 화살표 연결선 31358">
          <a:extLst>
            <a:ext uri="{FF2B5EF4-FFF2-40B4-BE49-F238E27FC236}">
              <a16:creationId xmlns:a16="http://schemas.microsoft.com/office/drawing/2014/main" id="{E6F35E12-6DBA-4F16-92C5-5DACB72CA8CA}"/>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8736" name="1">
          <a:extLst>
            <a:ext uri="{FF2B5EF4-FFF2-40B4-BE49-F238E27FC236}">
              <a16:creationId xmlns:a16="http://schemas.microsoft.com/office/drawing/2014/main" id="{7E5261FD-448D-4F60-B1F5-D73E772F05CE}"/>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8737" name="직선 화살표 연결선 28736">
          <a:extLst>
            <a:ext uri="{FF2B5EF4-FFF2-40B4-BE49-F238E27FC236}">
              <a16:creationId xmlns:a16="http://schemas.microsoft.com/office/drawing/2014/main" id="{FE7A1BCC-034E-4AE7-9FDA-251BC6B05313}"/>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9214" name="5">
          <a:extLst>
            <a:ext uri="{FF2B5EF4-FFF2-40B4-BE49-F238E27FC236}">
              <a16:creationId xmlns:a16="http://schemas.microsoft.com/office/drawing/2014/main" id="{2C5340B5-4771-4F84-AB09-D61F2883900F}"/>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9215" name="직선 화살표 연결선 29214">
          <a:extLst>
            <a:ext uri="{FF2B5EF4-FFF2-40B4-BE49-F238E27FC236}">
              <a16:creationId xmlns:a16="http://schemas.microsoft.com/office/drawing/2014/main" id="{A88BD6D3-0719-42D8-A6E9-737C1D0815CB}"/>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9216" name="4">
          <a:extLst>
            <a:ext uri="{FF2B5EF4-FFF2-40B4-BE49-F238E27FC236}">
              <a16:creationId xmlns:a16="http://schemas.microsoft.com/office/drawing/2014/main" id="{DDB17E6C-CA89-4272-8536-D0F48BD439B9}"/>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9217" name="직선 화살표 연결선 29216">
          <a:extLst>
            <a:ext uri="{FF2B5EF4-FFF2-40B4-BE49-F238E27FC236}">
              <a16:creationId xmlns:a16="http://schemas.microsoft.com/office/drawing/2014/main" id="{516DC8F2-2CD7-4C50-B639-1369609832C8}"/>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9218" name="3">
          <a:extLst>
            <a:ext uri="{FF2B5EF4-FFF2-40B4-BE49-F238E27FC236}">
              <a16:creationId xmlns:a16="http://schemas.microsoft.com/office/drawing/2014/main" id="{481190E5-D2A5-48BD-A29B-2F44DFE82D00}"/>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9219" name="직선 화살표 연결선 29218">
          <a:extLst>
            <a:ext uri="{FF2B5EF4-FFF2-40B4-BE49-F238E27FC236}">
              <a16:creationId xmlns:a16="http://schemas.microsoft.com/office/drawing/2014/main" id="{D5200CBF-8A5F-427C-838B-F014134AA0F7}"/>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9220" name="2">
          <a:extLst>
            <a:ext uri="{FF2B5EF4-FFF2-40B4-BE49-F238E27FC236}">
              <a16:creationId xmlns:a16="http://schemas.microsoft.com/office/drawing/2014/main" id="{0448D6AD-45B0-4BAC-A3A6-22C59EC790D0}"/>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9221" name="직선 화살표 연결선 29220">
          <a:extLst>
            <a:ext uri="{FF2B5EF4-FFF2-40B4-BE49-F238E27FC236}">
              <a16:creationId xmlns:a16="http://schemas.microsoft.com/office/drawing/2014/main" id="{66FB67A5-3DBE-470E-87C0-FC93BD397C0E}"/>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9222" name="1">
          <a:extLst>
            <a:ext uri="{FF2B5EF4-FFF2-40B4-BE49-F238E27FC236}">
              <a16:creationId xmlns:a16="http://schemas.microsoft.com/office/drawing/2014/main" id="{731DB043-08FE-4C5D-8B91-8F5FD4F20F0B}"/>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9223" name="직선 화살표 연결선 29222">
          <a:extLst>
            <a:ext uri="{FF2B5EF4-FFF2-40B4-BE49-F238E27FC236}">
              <a16:creationId xmlns:a16="http://schemas.microsoft.com/office/drawing/2014/main" id="{E5A281E5-76A0-4C06-B62C-993444CAF8B2}"/>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27119" name="5">
          <a:extLst>
            <a:ext uri="{FF2B5EF4-FFF2-40B4-BE49-F238E27FC236}">
              <a16:creationId xmlns:a16="http://schemas.microsoft.com/office/drawing/2014/main" id="{6E6E889E-1BB1-44D0-B745-FACC2DBD594B}"/>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27120" name="직선 화살표 연결선 27119">
          <a:extLst>
            <a:ext uri="{FF2B5EF4-FFF2-40B4-BE49-F238E27FC236}">
              <a16:creationId xmlns:a16="http://schemas.microsoft.com/office/drawing/2014/main" id="{2B36CE1D-B0A8-4D33-89A1-A1703CF6B168}"/>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27121" name="4">
          <a:extLst>
            <a:ext uri="{FF2B5EF4-FFF2-40B4-BE49-F238E27FC236}">
              <a16:creationId xmlns:a16="http://schemas.microsoft.com/office/drawing/2014/main" id="{066FA927-E8C3-40AF-8CB2-0FBDAA5B61D4}"/>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27122" name="직선 화살표 연결선 27121">
          <a:extLst>
            <a:ext uri="{FF2B5EF4-FFF2-40B4-BE49-F238E27FC236}">
              <a16:creationId xmlns:a16="http://schemas.microsoft.com/office/drawing/2014/main" id="{8223B641-1878-4EF0-AD8D-0C9D3D9D4FB1}"/>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27123" name="3">
          <a:extLst>
            <a:ext uri="{FF2B5EF4-FFF2-40B4-BE49-F238E27FC236}">
              <a16:creationId xmlns:a16="http://schemas.microsoft.com/office/drawing/2014/main" id="{25AE2ADC-BDCE-49BA-8CA3-306811EBEB63}"/>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27124" name="직선 화살표 연결선 27123">
          <a:extLst>
            <a:ext uri="{FF2B5EF4-FFF2-40B4-BE49-F238E27FC236}">
              <a16:creationId xmlns:a16="http://schemas.microsoft.com/office/drawing/2014/main" id="{78F65D35-0FA5-480F-99D2-0749ECBF3B2A}"/>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27125" name="2">
          <a:extLst>
            <a:ext uri="{FF2B5EF4-FFF2-40B4-BE49-F238E27FC236}">
              <a16:creationId xmlns:a16="http://schemas.microsoft.com/office/drawing/2014/main" id="{6C1F5BA7-86C6-4823-84CB-00C4F8650B1F}"/>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27126" name="직선 화살표 연결선 27125">
          <a:extLst>
            <a:ext uri="{FF2B5EF4-FFF2-40B4-BE49-F238E27FC236}">
              <a16:creationId xmlns:a16="http://schemas.microsoft.com/office/drawing/2014/main" id="{2AD303C6-6512-47C0-9C06-045C80440220}"/>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27127" name="1">
          <a:extLst>
            <a:ext uri="{FF2B5EF4-FFF2-40B4-BE49-F238E27FC236}">
              <a16:creationId xmlns:a16="http://schemas.microsoft.com/office/drawing/2014/main" id="{A034C246-E76D-4DDC-A790-BCFDAD6D87A4}"/>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27128" name="직선 화살표 연결선 27127">
          <a:extLst>
            <a:ext uri="{FF2B5EF4-FFF2-40B4-BE49-F238E27FC236}">
              <a16:creationId xmlns:a16="http://schemas.microsoft.com/office/drawing/2014/main" id="{F776BCBD-EB79-4A58-B5A3-43F078CC2BAF}"/>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2761" name="5">
          <a:extLst>
            <a:ext uri="{FF2B5EF4-FFF2-40B4-BE49-F238E27FC236}">
              <a16:creationId xmlns:a16="http://schemas.microsoft.com/office/drawing/2014/main" id="{3C4257D2-F49F-4AEB-8BF8-25DB9B7026A8}"/>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2762" name="직선 화살표 연결선 32761">
          <a:extLst>
            <a:ext uri="{FF2B5EF4-FFF2-40B4-BE49-F238E27FC236}">
              <a16:creationId xmlns:a16="http://schemas.microsoft.com/office/drawing/2014/main" id="{50B80042-983D-4AAB-9C0C-133812C1B179}"/>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2763" name="4">
          <a:extLst>
            <a:ext uri="{FF2B5EF4-FFF2-40B4-BE49-F238E27FC236}">
              <a16:creationId xmlns:a16="http://schemas.microsoft.com/office/drawing/2014/main" id="{795C359E-4CD6-4D4D-B163-685C0EB64CC5}"/>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2764" name="직선 화살표 연결선 32763">
          <a:extLst>
            <a:ext uri="{FF2B5EF4-FFF2-40B4-BE49-F238E27FC236}">
              <a16:creationId xmlns:a16="http://schemas.microsoft.com/office/drawing/2014/main" id="{B167F78F-3013-4D90-A1C9-8175AC67CD1F}"/>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2765" name="3">
          <a:extLst>
            <a:ext uri="{FF2B5EF4-FFF2-40B4-BE49-F238E27FC236}">
              <a16:creationId xmlns:a16="http://schemas.microsoft.com/office/drawing/2014/main" id="{52C5C88C-3A75-4EE8-9C18-712997FDBDB1}"/>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2766" name="직선 화살표 연결선 32765">
          <a:extLst>
            <a:ext uri="{FF2B5EF4-FFF2-40B4-BE49-F238E27FC236}">
              <a16:creationId xmlns:a16="http://schemas.microsoft.com/office/drawing/2014/main" id="{BFF5902A-F225-4092-921A-15D59CD3CC93}"/>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2767" name="2">
          <a:extLst>
            <a:ext uri="{FF2B5EF4-FFF2-40B4-BE49-F238E27FC236}">
              <a16:creationId xmlns:a16="http://schemas.microsoft.com/office/drawing/2014/main" id="{72E747CD-36C8-4A61-9690-64B3C3DC74EF}"/>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2768" name="직선 화살표 연결선 32767">
          <a:extLst>
            <a:ext uri="{FF2B5EF4-FFF2-40B4-BE49-F238E27FC236}">
              <a16:creationId xmlns:a16="http://schemas.microsoft.com/office/drawing/2014/main" id="{35BC8907-6441-4805-B443-017243839BE0}"/>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2769" name="1">
          <a:extLst>
            <a:ext uri="{FF2B5EF4-FFF2-40B4-BE49-F238E27FC236}">
              <a16:creationId xmlns:a16="http://schemas.microsoft.com/office/drawing/2014/main" id="{63841F8C-05BD-4DB6-AC14-E7D398D2B34E}"/>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2770" name="직선 화살표 연결선 32769">
          <a:extLst>
            <a:ext uri="{FF2B5EF4-FFF2-40B4-BE49-F238E27FC236}">
              <a16:creationId xmlns:a16="http://schemas.microsoft.com/office/drawing/2014/main" id="{4A455A36-5218-4979-965B-D3F8A137CE10}"/>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3071" name="5">
          <a:extLst>
            <a:ext uri="{FF2B5EF4-FFF2-40B4-BE49-F238E27FC236}">
              <a16:creationId xmlns:a16="http://schemas.microsoft.com/office/drawing/2014/main" id="{DD070A83-456F-4A16-A688-9C41979C9AFD}"/>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3072" name="직선 화살표 연결선 33071">
          <a:extLst>
            <a:ext uri="{FF2B5EF4-FFF2-40B4-BE49-F238E27FC236}">
              <a16:creationId xmlns:a16="http://schemas.microsoft.com/office/drawing/2014/main" id="{90312FC2-B1E2-42F8-A970-2878C128B57C}"/>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3073" name="4">
          <a:extLst>
            <a:ext uri="{FF2B5EF4-FFF2-40B4-BE49-F238E27FC236}">
              <a16:creationId xmlns:a16="http://schemas.microsoft.com/office/drawing/2014/main" id="{91CDD727-3D78-4310-9835-9974BB57E347}"/>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3074" name="직선 화살표 연결선 33073">
          <a:extLst>
            <a:ext uri="{FF2B5EF4-FFF2-40B4-BE49-F238E27FC236}">
              <a16:creationId xmlns:a16="http://schemas.microsoft.com/office/drawing/2014/main" id="{A93C6A60-CB25-4C0D-9A9C-0339BA5E548C}"/>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3075" name="3">
          <a:extLst>
            <a:ext uri="{FF2B5EF4-FFF2-40B4-BE49-F238E27FC236}">
              <a16:creationId xmlns:a16="http://schemas.microsoft.com/office/drawing/2014/main" id="{222E233E-E6E5-4107-887F-93F58786DEA1}"/>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3076" name="직선 화살표 연결선 33075">
          <a:extLst>
            <a:ext uri="{FF2B5EF4-FFF2-40B4-BE49-F238E27FC236}">
              <a16:creationId xmlns:a16="http://schemas.microsoft.com/office/drawing/2014/main" id="{1011C988-84DD-4B6E-8939-7588A7024BC9}"/>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3077" name="2">
          <a:extLst>
            <a:ext uri="{FF2B5EF4-FFF2-40B4-BE49-F238E27FC236}">
              <a16:creationId xmlns:a16="http://schemas.microsoft.com/office/drawing/2014/main" id="{96743FC2-9032-4F09-A74E-FC1BBC70170A}"/>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3078" name="직선 화살표 연결선 33077">
          <a:extLst>
            <a:ext uri="{FF2B5EF4-FFF2-40B4-BE49-F238E27FC236}">
              <a16:creationId xmlns:a16="http://schemas.microsoft.com/office/drawing/2014/main" id="{C9C7F10B-5D2A-4FA4-A30D-E5907501C5F4}"/>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3079" name="1">
          <a:extLst>
            <a:ext uri="{FF2B5EF4-FFF2-40B4-BE49-F238E27FC236}">
              <a16:creationId xmlns:a16="http://schemas.microsoft.com/office/drawing/2014/main" id="{328E0427-4A4C-4E25-8E99-BB3F33A20CCF}"/>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3080" name="직선 화살표 연결선 33079">
          <a:extLst>
            <a:ext uri="{FF2B5EF4-FFF2-40B4-BE49-F238E27FC236}">
              <a16:creationId xmlns:a16="http://schemas.microsoft.com/office/drawing/2014/main" id="{CA661445-7FAF-4238-A0D9-2FE14F29FB04}"/>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8</xdr:row>
      <xdr:rowOff>20955</xdr:rowOff>
    </xdr:from>
    <xdr:to>
      <xdr:col>31</xdr:col>
      <xdr:colOff>0</xdr:colOff>
      <xdr:row>8</xdr:row>
      <xdr:rowOff>135255</xdr:rowOff>
    </xdr:to>
    <xdr:sp macro="" textlink="">
      <xdr:nvSpPr>
        <xdr:cNvPr id="33381" name="5">
          <a:extLst>
            <a:ext uri="{FF2B5EF4-FFF2-40B4-BE49-F238E27FC236}">
              <a16:creationId xmlns:a16="http://schemas.microsoft.com/office/drawing/2014/main" id="{7385CFD8-E370-476B-A652-67EBBF6D0307}"/>
            </a:ext>
          </a:extLst>
        </xdr:cNvPr>
        <xdr:cNvSpPr/>
      </xdr:nvSpPr>
      <xdr:spPr>
        <a:xfrm>
          <a:off x="12291060" y="1383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8</xdr:row>
      <xdr:rowOff>78105</xdr:rowOff>
    </xdr:from>
    <xdr:to>
      <xdr:col>31</xdr:col>
      <xdr:colOff>0</xdr:colOff>
      <xdr:row>8</xdr:row>
      <xdr:rowOff>78105</xdr:rowOff>
    </xdr:to>
    <xdr:cxnSp macro="">
      <xdr:nvCxnSpPr>
        <xdr:cNvPr id="33382" name="직선 화살표 연결선 33381">
          <a:extLst>
            <a:ext uri="{FF2B5EF4-FFF2-40B4-BE49-F238E27FC236}">
              <a16:creationId xmlns:a16="http://schemas.microsoft.com/office/drawing/2014/main" id="{C373A59D-83F0-49F9-9914-DF5900587AC6}"/>
            </a:ext>
          </a:extLst>
        </xdr:cNvPr>
        <xdr:cNvCxnSpPr/>
      </xdr:nvCxnSpPr>
      <xdr:spPr>
        <a:xfrm>
          <a:off x="12291060" y="14401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7</xdr:row>
      <xdr:rowOff>20955</xdr:rowOff>
    </xdr:from>
    <xdr:to>
      <xdr:col>31</xdr:col>
      <xdr:colOff>0</xdr:colOff>
      <xdr:row>7</xdr:row>
      <xdr:rowOff>135255</xdr:rowOff>
    </xdr:to>
    <xdr:sp macro="" textlink="">
      <xdr:nvSpPr>
        <xdr:cNvPr id="33383" name="4">
          <a:extLst>
            <a:ext uri="{FF2B5EF4-FFF2-40B4-BE49-F238E27FC236}">
              <a16:creationId xmlns:a16="http://schemas.microsoft.com/office/drawing/2014/main" id="{BEC74F19-E8B7-44B9-B1FF-DE94F8B67C23}"/>
            </a:ext>
          </a:extLst>
        </xdr:cNvPr>
        <xdr:cNvSpPr/>
      </xdr:nvSpPr>
      <xdr:spPr>
        <a:xfrm>
          <a:off x="12291060" y="12306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7</xdr:row>
      <xdr:rowOff>78105</xdr:rowOff>
    </xdr:from>
    <xdr:to>
      <xdr:col>31</xdr:col>
      <xdr:colOff>0</xdr:colOff>
      <xdr:row>7</xdr:row>
      <xdr:rowOff>78105</xdr:rowOff>
    </xdr:to>
    <xdr:cxnSp macro="">
      <xdr:nvCxnSpPr>
        <xdr:cNvPr id="33384" name="직선 화살표 연결선 33383">
          <a:extLst>
            <a:ext uri="{FF2B5EF4-FFF2-40B4-BE49-F238E27FC236}">
              <a16:creationId xmlns:a16="http://schemas.microsoft.com/office/drawing/2014/main" id="{05905023-9052-4689-9984-9DD60BEC4F87}"/>
            </a:ext>
          </a:extLst>
        </xdr:cNvPr>
        <xdr:cNvCxnSpPr/>
      </xdr:nvCxnSpPr>
      <xdr:spPr>
        <a:xfrm>
          <a:off x="12291060" y="12877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6</xdr:row>
      <xdr:rowOff>20955</xdr:rowOff>
    </xdr:from>
    <xdr:to>
      <xdr:col>30</xdr:col>
      <xdr:colOff>521063</xdr:colOff>
      <xdr:row>6</xdr:row>
      <xdr:rowOff>135255</xdr:rowOff>
    </xdr:to>
    <xdr:sp macro="" textlink="">
      <xdr:nvSpPr>
        <xdr:cNvPr id="33385" name="3">
          <a:extLst>
            <a:ext uri="{FF2B5EF4-FFF2-40B4-BE49-F238E27FC236}">
              <a16:creationId xmlns:a16="http://schemas.microsoft.com/office/drawing/2014/main" id="{F48E3D3A-984B-46F8-9D06-B3A9869711B3}"/>
            </a:ext>
          </a:extLst>
        </xdr:cNvPr>
        <xdr:cNvSpPr/>
      </xdr:nvSpPr>
      <xdr:spPr>
        <a:xfrm>
          <a:off x="12291060" y="107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6</xdr:row>
      <xdr:rowOff>78105</xdr:rowOff>
    </xdr:from>
    <xdr:to>
      <xdr:col>30</xdr:col>
      <xdr:colOff>519793</xdr:colOff>
      <xdr:row>6</xdr:row>
      <xdr:rowOff>78105</xdr:rowOff>
    </xdr:to>
    <xdr:cxnSp macro="">
      <xdr:nvCxnSpPr>
        <xdr:cNvPr id="33386" name="직선 화살표 연결선 33385">
          <a:extLst>
            <a:ext uri="{FF2B5EF4-FFF2-40B4-BE49-F238E27FC236}">
              <a16:creationId xmlns:a16="http://schemas.microsoft.com/office/drawing/2014/main" id="{4C3EFDEB-BF3C-416F-AB76-FD82AD75C7AB}"/>
            </a:ext>
          </a:extLst>
        </xdr:cNvPr>
        <xdr:cNvCxnSpPr/>
      </xdr:nvCxnSpPr>
      <xdr:spPr>
        <a:xfrm>
          <a:off x="12291060"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5</xdr:row>
      <xdr:rowOff>20955</xdr:rowOff>
    </xdr:from>
    <xdr:to>
      <xdr:col>31</xdr:col>
      <xdr:colOff>0</xdr:colOff>
      <xdr:row>5</xdr:row>
      <xdr:rowOff>135255</xdr:rowOff>
    </xdr:to>
    <xdr:sp macro="" textlink="">
      <xdr:nvSpPr>
        <xdr:cNvPr id="33387" name="2">
          <a:extLst>
            <a:ext uri="{FF2B5EF4-FFF2-40B4-BE49-F238E27FC236}">
              <a16:creationId xmlns:a16="http://schemas.microsoft.com/office/drawing/2014/main" id="{D2CC406A-E7DB-4AAA-BC39-1FFD4818DD21}"/>
            </a:ext>
          </a:extLst>
        </xdr:cNvPr>
        <xdr:cNvSpPr/>
      </xdr:nvSpPr>
      <xdr:spPr>
        <a:xfrm>
          <a:off x="12291060" y="925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5</xdr:row>
      <xdr:rowOff>78105</xdr:rowOff>
    </xdr:from>
    <xdr:to>
      <xdr:col>31</xdr:col>
      <xdr:colOff>0</xdr:colOff>
      <xdr:row>5</xdr:row>
      <xdr:rowOff>78105</xdr:rowOff>
    </xdr:to>
    <xdr:cxnSp macro="">
      <xdr:nvCxnSpPr>
        <xdr:cNvPr id="33388" name="직선 화살표 연결선 33387">
          <a:extLst>
            <a:ext uri="{FF2B5EF4-FFF2-40B4-BE49-F238E27FC236}">
              <a16:creationId xmlns:a16="http://schemas.microsoft.com/office/drawing/2014/main" id="{63E03A35-7E27-4EBC-AA01-701B9F5AB544}"/>
            </a:ext>
          </a:extLst>
        </xdr:cNvPr>
        <xdr:cNvCxnSpPr/>
      </xdr:nvCxnSpPr>
      <xdr:spPr>
        <a:xfrm>
          <a:off x="12291060" y="982980"/>
          <a:ext cx="3760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499110</xdr:colOff>
      <xdr:row>4</xdr:row>
      <xdr:rowOff>20955</xdr:rowOff>
    </xdr:from>
    <xdr:to>
      <xdr:col>31</xdr:col>
      <xdr:colOff>0</xdr:colOff>
      <xdr:row>4</xdr:row>
      <xdr:rowOff>135255</xdr:rowOff>
    </xdr:to>
    <xdr:sp macro="" textlink="">
      <xdr:nvSpPr>
        <xdr:cNvPr id="33389" name="1">
          <a:extLst>
            <a:ext uri="{FF2B5EF4-FFF2-40B4-BE49-F238E27FC236}">
              <a16:creationId xmlns:a16="http://schemas.microsoft.com/office/drawing/2014/main" id="{95158A0B-7B0D-4875-B1E4-73C6B93662B9}"/>
            </a:ext>
          </a:extLst>
        </xdr:cNvPr>
        <xdr:cNvSpPr/>
      </xdr:nvSpPr>
      <xdr:spPr>
        <a:xfrm>
          <a:off x="12291060" y="773430"/>
          <a:ext cx="8067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499110</xdr:colOff>
      <xdr:row>4</xdr:row>
      <xdr:rowOff>78105</xdr:rowOff>
    </xdr:from>
    <xdr:to>
      <xdr:col>31</xdr:col>
      <xdr:colOff>0</xdr:colOff>
      <xdr:row>4</xdr:row>
      <xdr:rowOff>78105</xdr:rowOff>
    </xdr:to>
    <xdr:cxnSp macro="">
      <xdr:nvCxnSpPr>
        <xdr:cNvPr id="33390" name="직선 화살표 연결선 33389">
          <a:extLst>
            <a:ext uri="{FF2B5EF4-FFF2-40B4-BE49-F238E27FC236}">
              <a16:creationId xmlns:a16="http://schemas.microsoft.com/office/drawing/2014/main" id="{D886CE07-A67E-41DC-A8E5-97436BA03A6A}"/>
            </a:ext>
          </a:extLst>
        </xdr:cNvPr>
        <xdr:cNvCxnSpPr/>
      </xdr:nvCxnSpPr>
      <xdr:spPr>
        <a:xfrm>
          <a:off x="12291060" y="830580"/>
          <a:ext cx="5611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13964" name="5">
          <a:extLst>
            <a:ext uri="{FF2B5EF4-FFF2-40B4-BE49-F238E27FC236}">
              <a16:creationId xmlns:a16="http://schemas.microsoft.com/office/drawing/2014/main" id="{40626491-63D5-4509-83F2-1C939FF441E6}"/>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13965" name="직선 화살표 연결선 13964">
          <a:extLst>
            <a:ext uri="{FF2B5EF4-FFF2-40B4-BE49-F238E27FC236}">
              <a16:creationId xmlns:a16="http://schemas.microsoft.com/office/drawing/2014/main" id="{E3E0C0CC-FCCB-4869-AFB8-C31027080442}"/>
            </a:ext>
          </a:extLst>
        </xdr:cNvPr>
        <xdr:cNvCxnSpPr/>
      </xdr:nvCxnSpPr>
      <xdr:spPr>
        <a:xfrm>
          <a:off x="13952220" y="1783080"/>
          <a:ext cx="17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13966" name="4">
          <a:extLst>
            <a:ext uri="{FF2B5EF4-FFF2-40B4-BE49-F238E27FC236}">
              <a16:creationId xmlns:a16="http://schemas.microsoft.com/office/drawing/2014/main" id="{5DEEF3C9-918D-477D-A1F7-F0D85C1DE44D}"/>
            </a:ext>
          </a:extLst>
        </xdr:cNvPr>
        <xdr:cNvSpPr/>
      </xdr:nvSpPr>
      <xdr:spPr>
        <a:xfrm>
          <a:off x="13952220" y="1497330"/>
          <a:ext cx="5183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13967" name="직선 화살표 연결선 13966">
          <a:extLst>
            <a:ext uri="{FF2B5EF4-FFF2-40B4-BE49-F238E27FC236}">
              <a16:creationId xmlns:a16="http://schemas.microsoft.com/office/drawing/2014/main" id="{A7153539-FDF1-47A2-87C6-6DBC9F6071FF}"/>
            </a:ext>
          </a:extLst>
        </xdr:cNvPr>
        <xdr:cNvCxnSpPr/>
      </xdr:nvCxnSpPr>
      <xdr:spPr>
        <a:xfrm>
          <a:off x="13952220" y="155448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13968" name="3">
          <a:extLst>
            <a:ext uri="{FF2B5EF4-FFF2-40B4-BE49-F238E27FC236}">
              <a16:creationId xmlns:a16="http://schemas.microsoft.com/office/drawing/2014/main" id="{4FBA0D11-6079-4DA0-B28F-A0F0BE8AF866}"/>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13969" name="직선 화살표 연결선 13968">
          <a:extLst>
            <a:ext uri="{FF2B5EF4-FFF2-40B4-BE49-F238E27FC236}">
              <a16:creationId xmlns:a16="http://schemas.microsoft.com/office/drawing/2014/main" id="{4C2929A1-C2F8-4729-80BE-645FEDC78AE8}"/>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13970" name="2">
          <a:extLst>
            <a:ext uri="{FF2B5EF4-FFF2-40B4-BE49-F238E27FC236}">
              <a16:creationId xmlns:a16="http://schemas.microsoft.com/office/drawing/2014/main" id="{D98C8E59-716D-4BBC-BBD2-6447C17BFF73}"/>
            </a:ext>
          </a:extLst>
        </xdr:cNvPr>
        <xdr:cNvSpPr/>
      </xdr:nvSpPr>
      <xdr:spPr>
        <a:xfrm>
          <a:off x="13952220" y="1040130"/>
          <a:ext cx="5183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13981" name="직선 화살표 연결선 13980">
          <a:extLst>
            <a:ext uri="{FF2B5EF4-FFF2-40B4-BE49-F238E27FC236}">
              <a16:creationId xmlns:a16="http://schemas.microsoft.com/office/drawing/2014/main" id="{64AFE22F-6525-4DC9-8A61-517A320F7F2A}"/>
            </a:ext>
          </a:extLst>
        </xdr:cNvPr>
        <xdr:cNvCxnSpPr/>
      </xdr:nvCxnSpPr>
      <xdr:spPr>
        <a:xfrm>
          <a:off x="13952220" y="1097280"/>
          <a:ext cx="376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13982" name="1">
          <a:extLst>
            <a:ext uri="{FF2B5EF4-FFF2-40B4-BE49-F238E27FC236}">
              <a16:creationId xmlns:a16="http://schemas.microsoft.com/office/drawing/2014/main" id="{20C059C1-0073-45F1-995C-763D94910AA9}"/>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13983" name="직선 화살표 연결선 13982">
          <a:extLst>
            <a:ext uri="{FF2B5EF4-FFF2-40B4-BE49-F238E27FC236}">
              <a16:creationId xmlns:a16="http://schemas.microsoft.com/office/drawing/2014/main" id="{50D94473-81F2-4591-A3A0-4AF36088F37B}"/>
            </a:ext>
          </a:extLst>
        </xdr:cNvPr>
        <xdr:cNvCxnSpPr/>
      </xdr:nvCxnSpPr>
      <xdr:spPr>
        <a:xfrm>
          <a:off x="13952220" y="868680"/>
          <a:ext cx="56113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0081" name="5">
          <a:extLst>
            <a:ext uri="{FF2B5EF4-FFF2-40B4-BE49-F238E27FC236}">
              <a16:creationId xmlns:a16="http://schemas.microsoft.com/office/drawing/2014/main" id="{596823C6-A321-462C-8246-8ED67862B399}"/>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0082" name="직선 화살표 연결선 30081">
          <a:extLst>
            <a:ext uri="{FF2B5EF4-FFF2-40B4-BE49-F238E27FC236}">
              <a16:creationId xmlns:a16="http://schemas.microsoft.com/office/drawing/2014/main" id="{C7150E67-2983-4540-B7DF-0E07847AF624}"/>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0083" name="4">
          <a:extLst>
            <a:ext uri="{FF2B5EF4-FFF2-40B4-BE49-F238E27FC236}">
              <a16:creationId xmlns:a16="http://schemas.microsoft.com/office/drawing/2014/main" id="{9630077D-5571-4BC8-A5D5-196337890A2B}"/>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0084" name="직선 화살표 연결선 30083">
          <a:extLst>
            <a:ext uri="{FF2B5EF4-FFF2-40B4-BE49-F238E27FC236}">
              <a16:creationId xmlns:a16="http://schemas.microsoft.com/office/drawing/2014/main" id="{D3FDF9AA-B87E-42CF-9CBC-DEB545534A77}"/>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0085" name="3">
          <a:extLst>
            <a:ext uri="{FF2B5EF4-FFF2-40B4-BE49-F238E27FC236}">
              <a16:creationId xmlns:a16="http://schemas.microsoft.com/office/drawing/2014/main" id="{27ACC3E5-DCBA-46A1-8754-8E2EEDF956C9}"/>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0086" name="직선 화살표 연결선 30085">
          <a:extLst>
            <a:ext uri="{FF2B5EF4-FFF2-40B4-BE49-F238E27FC236}">
              <a16:creationId xmlns:a16="http://schemas.microsoft.com/office/drawing/2014/main" id="{A13AEEDE-3560-4BA4-8C67-FC36C77643A0}"/>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0097" name="2">
          <a:extLst>
            <a:ext uri="{FF2B5EF4-FFF2-40B4-BE49-F238E27FC236}">
              <a16:creationId xmlns:a16="http://schemas.microsoft.com/office/drawing/2014/main" id="{9AAB5174-9D2A-4A3D-9B1C-AC666A4516E3}"/>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0098" name="직선 화살표 연결선 30097">
          <a:extLst>
            <a:ext uri="{FF2B5EF4-FFF2-40B4-BE49-F238E27FC236}">
              <a16:creationId xmlns:a16="http://schemas.microsoft.com/office/drawing/2014/main" id="{7AC34674-034F-4BCF-891F-230F0064F378}"/>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0099" name="1">
          <a:extLst>
            <a:ext uri="{FF2B5EF4-FFF2-40B4-BE49-F238E27FC236}">
              <a16:creationId xmlns:a16="http://schemas.microsoft.com/office/drawing/2014/main" id="{C9529AA0-1979-462B-B2AD-322C89D0038F}"/>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0100" name="직선 화살표 연결선 30099">
          <a:extLst>
            <a:ext uri="{FF2B5EF4-FFF2-40B4-BE49-F238E27FC236}">
              <a16:creationId xmlns:a16="http://schemas.microsoft.com/office/drawing/2014/main" id="{ACFEBC51-30E7-4761-BF7B-6E037B699733}"/>
            </a:ext>
          </a:extLst>
        </xdr:cNvPr>
        <xdr:cNvCxnSpPr/>
      </xdr:nvCxnSpPr>
      <xdr:spPr>
        <a:xfrm>
          <a:off x="13952220" y="868680"/>
          <a:ext cx="7715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0462" name="5">
          <a:extLst>
            <a:ext uri="{FF2B5EF4-FFF2-40B4-BE49-F238E27FC236}">
              <a16:creationId xmlns:a16="http://schemas.microsoft.com/office/drawing/2014/main" id="{E10CBA9E-EBED-4BCE-B9EF-CA43DB8B038C}"/>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0463" name="직선 화살표 연결선 30462">
          <a:extLst>
            <a:ext uri="{FF2B5EF4-FFF2-40B4-BE49-F238E27FC236}">
              <a16:creationId xmlns:a16="http://schemas.microsoft.com/office/drawing/2014/main" id="{3DB7DB3E-1879-4BD6-B180-DFBDBF625CCE}"/>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13952" name="4">
          <a:extLst>
            <a:ext uri="{FF2B5EF4-FFF2-40B4-BE49-F238E27FC236}">
              <a16:creationId xmlns:a16="http://schemas.microsoft.com/office/drawing/2014/main" id="{B1A5A436-DF93-456B-85F4-ADE92F9C0420}"/>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13953" name="직선 화살표 연결선 13952">
          <a:extLst>
            <a:ext uri="{FF2B5EF4-FFF2-40B4-BE49-F238E27FC236}">
              <a16:creationId xmlns:a16="http://schemas.microsoft.com/office/drawing/2014/main" id="{EE6CD03A-5653-4FCC-91DA-201581223E4E}"/>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13954" name="3">
          <a:extLst>
            <a:ext uri="{FF2B5EF4-FFF2-40B4-BE49-F238E27FC236}">
              <a16:creationId xmlns:a16="http://schemas.microsoft.com/office/drawing/2014/main" id="{93DEF437-0777-479E-A9F2-94782AFA0AC8}"/>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13955" name="직선 화살표 연결선 13954">
          <a:extLst>
            <a:ext uri="{FF2B5EF4-FFF2-40B4-BE49-F238E27FC236}">
              <a16:creationId xmlns:a16="http://schemas.microsoft.com/office/drawing/2014/main" id="{4E402588-D681-4204-BEBC-2451A0CF5426}"/>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13956" name="2">
          <a:extLst>
            <a:ext uri="{FF2B5EF4-FFF2-40B4-BE49-F238E27FC236}">
              <a16:creationId xmlns:a16="http://schemas.microsoft.com/office/drawing/2014/main" id="{64E7C794-BDD8-4E4E-9509-619EEE24D7C1}"/>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13957" name="직선 화살표 연결선 13956">
          <a:extLst>
            <a:ext uri="{FF2B5EF4-FFF2-40B4-BE49-F238E27FC236}">
              <a16:creationId xmlns:a16="http://schemas.microsoft.com/office/drawing/2014/main" id="{2A7BB723-5614-403D-A89B-D6565387021C}"/>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13958" name="1">
          <a:extLst>
            <a:ext uri="{FF2B5EF4-FFF2-40B4-BE49-F238E27FC236}">
              <a16:creationId xmlns:a16="http://schemas.microsoft.com/office/drawing/2014/main" id="{990C3E5C-DC57-459C-9A91-7F7BA9170A97}"/>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13959" name="직선 화살표 연결선 13958">
          <a:extLst>
            <a:ext uri="{FF2B5EF4-FFF2-40B4-BE49-F238E27FC236}">
              <a16:creationId xmlns:a16="http://schemas.microsoft.com/office/drawing/2014/main" id="{AD002F1A-3E2C-41A9-92C6-698C4D6F0280}"/>
            </a:ext>
          </a:extLst>
        </xdr:cNvPr>
        <xdr:cNvCxnSpPr/>
      </xdr:nvCxnSpPr>
      <xdr:spPr>
        <a:xfrm>
          <a:off x="13952220" y="868680"/>
          <a:ext cx="7715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23021" name="5">
          <a:extLst>
            <a:ext uri="{FF2B5EF4-FFF2-40B4-BE49-F238E27FC236}">
              <a16:creationId xmlns:a16="http://schemas.microsoft.com/office/drawing/2014/main" id="{B40DD82F-503A-475A-91D5-AC695220F045}"/>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23022" name="직선 화살표 연결선 23021">
          <a:extLst>
            <a:ext uri="{FF2B5EF4-FFF2-40B4-BE49-F238E27FC236}">
              <a16:creationId xmlns:a16="http://schemas.microsoft.com/office/drawing/2014/main" id="{FA2FEE2E-5692-4C72-8D4F-1C8289C0078E}"/>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23023" name="4">
          <a:extLst>
            <a:ext uri="{FF2B5EF4-FFF2-40B4-BE49-F238E27FC236}">
              <a16:creationId xmlns:a16="http://schemas.microsoft.com/office/drawing/2014/main" id="{BC29EC1E-7E63-4C36-9ED7-B3EFE948E869}"/>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23024" name="직선 화살표 연결선 23023">
          <a:extLst>
            <a:ext uri="{FF2B5EF4-FFF2-40B4-BE49-F238E27FC236}">
              <a16:creationId xmlns:a16="http://schemas.microsoft.com/office/drawing/2014/main" id="{C2CCA8B2-3069-422A-82CB-F36BD14A23A7}"/>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23025" name="3">
          <a:extLst>
            <a:ext uri="{FF2B5EF4-FFF2-40B4-BE49-F238E27FC236}">
              <a16:creationId xmlns:a16="http://schemas.microsoft.com/office/drawing/2014/main" id="{D99346DF-FF7D-41B8-9610-48D85B1C5BF8}"/>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23026" name="직선 화살표 연결선 23025">
          <a:extLst>
            <a:ext uri="{FF2B5EF4-FFF2-40B4-BE49-F238E27FC236}">
              <a16:creationId xmlns:a16="http://schemas.microsoft.com/office/drawing/2014/main" id="{7F89A733-3E72-455E-A6E2-D6E1FA8A1C27}"/>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23027" name="2">
          <a:extLst>
            <a:ext uri="{FF2B5EF4-FFF2-40B4-BE49-F238E27FC236}">
              <a16:creationId xmlns:a16="http://schemas.microsoft.com/office/drawing/2014/main" id="{4894B885-3A97-4E3C-B8DB-80282B93EA5A}"/>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23028" name="직선 화살표 연결선 23027">
          <a:extLst>
            <a:ext uri="{FF2B5EF4-FFF2-40B4-BE49-F238E27FC236}">
              <a16:creationId xmlns:a16="http://schemas.microsoft.com/office/drawing/2014/main" id="{E7A25ACD-33C3-46C0-935A-04322A8EBF22}"/>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23029" name="1">
          <a:extLst>
            <a:ext uri="{FF2B5EF4-FFF2-40B4-BE49-F238E27FC236}">
              <a16:creationId xmlns:a16="http://schemas.microsoft.com/office/drawing/2014/main" id="{9F48EF78-3BA3-4EA6-9871-DEE8C21C476F}"/>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23030" name="직선 화살표 연결선 23029">
          <a:extLst>
            <a:ext uri="{FF2B5EF4-FFF2-40B4-BE49-F238E27FC236}">
              <a16:creationId xmlns:a16="http://schemas.microsoft.com/office/drawing/2014/main" id="{41D44EA1-23DD-4828-8579-C42BCD3698FF}"/>
            </a:ext>
          </a:extLst>
        </xdr:cNvPr>
        <xdr:cNvCxnSpPr/>
      </xdr:nvCxnSpPr>
      <xdr:spPr>
        <a:xfrm>
          <a:off x="13952220" y="868680"/>
          <a:ext cx="7715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29145" name="5">
          <a:extLst>
            <a:ext uri="{FF2B5EF4-FFF2-40B4-BE49-F238E27FC236}">
              <a16:creationId xmlns:a16="http://schemas.microsoft.com/office/drawing/2014/main" id="{81516D1C-1F1A-4E66-BF56-607258245372}"/>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29146" name="직선 화살표 연결선 29145">
          <a:extLst>
            <a:ext uri="{FF2B5EF4-FFF2-40B4-BE49-F238E27FC236}">
              <a16:creationId xmlns:a16="http://schemas.microsoft.com/office/drawing/2014/main" id="{759C99DE-BFC1-4B06-9570-C07E1B002C68}"/>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29147" name="4">
          <a:extLst>
            <a:ext uri="{FF2B5EF4-FFF2-40B4-BE49-F238E27FC236}">
              <a16:creationId xmlns:a16="http://schemas.microsoft.com/office/drawing/2014/main" id="{D99EB7A5-2325-4AB5-A3F3-403889165456}"/>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29148" name="직선 화살표 연결선 29147">
          <a:extLst>
            <a:ext uri="{FF2B5EF4-FFF2-40B4-BE49-F238E27FC236}">
              <a16:creationId xmlns:a16="http://schemas.microsoft.com/office/drawing/2014/main" id="{65323D87-23F9-413B-AB51-A7DC8DD797AF}"/>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29149" name="3">
          <a:extLst>
            <a:ext uri="{FF2B5EF4-FFF2-40B4-BE49-F238E27FC236}">
              <a16:creationId xmlns:a16="http://schemas.microsoft.com/office/drawing/2014/main" id="{08ABCCB8-2281-41C0-A178-70EEF16116D6}"/>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29150" name="직선 화살표 연결선 29149">
          <a:extLst>
            <a:ext uri="{FF2B5EF4-FFF2-40B4-BE49-F238E27FC236}">
              <a16:creationId xmlns:a16="http://schemas.microsoft.com/office/drawing/2014/main" id="{37D40A96-894F-4C36-8C43-1E4E411EB4F3}"/>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29151" name="2">
          <a:extLst>
            <a:ext uri="{FF2B5EF4-FFF2-40B4-BE49-F238E27FC236}">
              <a16:creationId xmlns:a16="http://schemas.microsoft.com/office/drawing/2014/main" id="{A89D6F0D-FB06-44FF-9970-1BC0A51C6B33}"/>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29152" name="직선 화살표 연결선 29151">
          <a:extLst>
            <a:ext uri="{FF2B5EF4-FFF2-40B4-BE49-F238E27FC236}">
              <a16:creationId xmlns:a16="http://schemas.microsoft.com/office/drawing/2014/main" id="{735EE86E-9A05-403B-AC33-6C629D5929FC}"/>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29153" name="1">
          <a:extLst>
            <a:ext uri="{FF2B5EF4-FFF2-40B4-BE49-F238E27FC236}">
              <a16:creationId xmlns:a16="http://schemas.microsoft.com/office/drawing/2014/main" id="{891DD7D1-9131-4B47-A2E8-A20FE8B0863D}"/>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29154" name="직선 화살표 연결선 29153">
          <a:extLst>
            <a:ext uri="{FF2B5EF4-FFF2-40B4-BE49-F238E27FC236}">
              <a16:creationId xmlns:a16="http://schemas.microsoft.com/office/drawing/2014/main" id="{4EEEBB1A-08D2-40C2-8DE7-2ECC37996B8A}"/>
            </a:ext>
          </a:extLst>
        </xdr:cNvPr>
        <xdr:cNvCxnSpPr/>
      </xdr:nvCxnSpPr>
      <xdr:spPr>
        <a:xfrm>
          <a:off x="13952220" y="868680"/>
          <a:ext cx="7715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2233" name="5">
          <a:extLst>
            <a:ext uri="{FF2B5EF4-FFF2-40B4-BE49-F238E27FC236}">
              <a16:creationId xmlns:a16="http://schemas.microsoft.com/office/drawing/2014/main" id="{0A7CC6D6-AC1E-4962-920B-F8E476B5972F}"/>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2234" name="직선 화살표 연결선 32233">
          <a:extLst>
            <a:ext uri="{FF2B5EF4-FFF2-40B4-BE49-F238E27FC236}">
              <a16:creationId xmlns:a16="http://schemas.microsoft.com/office/drawing/2014/main" id="{71882CA6-D3A5-41C1-A650-D84C29F513DD}"/>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2235" name="4">
          <a:extLst>
            <a:ext uri="{FF2B5EF4-FFF2-40B4-BE49-F238E27FC236}">
              <a16:creationId xmlns:a16="http://schemas.microsoft.com/office/drawing/2014/main" id="{9D08EE5F-E4DC-4EF3-B468-CEA971684A9B}"/>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2236" name="직선 화살표 연결선 32235">
          <a:extLst>
            <a:ext uri="{FF2B5EF4-FFF2-40B4-BE49-F238E27FC236}">
              <a16:creationId xmlns:a16="http://schemas.microsoft.com/office/drawing/2014/main" id="{CD3E9723-51D7-4B14-8411-6FC48E1FEAD4}"/>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2237" name="3">
          <a:extLst>
            <a:ext uri="{FF2B5EF4-FFF2-40B4-BE49-F238E27FC236}">
              <a16:creationId xmlns:a16="http://schemas.microsoft.com/office/drawing/2014/main" id="{33BC2BFE-32DA-4A5E-94FE-8CE9E4CAB63E}"/>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2248" name="직선 화살표 연결선 32247">
          <a:extLst>
            <a:ext uri="{FF2B5EF4-FFF2-40B4-BE49-F238E27FC236}">
              <a16:creationId xmlns:a16="http://schemas.microsoft.com/office/drawing/2014/main" id="{28577E31-F299-4260-999D-FECA4001352F}"/>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2249" name="2">
          <a:extLst>
            <a:ext uri="{FF2B5EF4-FFF2-40B4-BE49-F238E27FC236}">
              <a16:creationId xmlns:a16="http://schemas.microsoft.com/office/drawing/2014/main" id="{14CC28E5-D51D-46AD-91EC-879A009754AF}"/>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2250" name="직선 화살표 연결선 32249">
          <a:extLst>
            <a:ext uri="{FF2B5EF4-FFF2-40B4-BE49-F238E27FC236}">
              <a16:creationId xmlns:a16="http://schemas.microsoft.com/office/drawing/2014/main" id="{8F3276EE-A3EE-4A70-A4A0-7B26F791AE56}"/>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2251" name="1">
          <a:extLst>
            <a:ext uri="{FF2B5EF4-FFF2-40B4-BE49-F238E27FC236}">
              <a16:creationId xmlns:a16="http://schemas.microsoft.com/office/drawing/2014/main" id="{ACEB2696-2802-4353-B17A-0DBAFAC96BA8}"/>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2252" name="직선 화살표 연결선 32251">
          <a:extLst>
            <a:ext uri="{FF2B5EF4-FFF2-40B4-BE49-F238E27FC236}">
              <a16:creationId xmlns:a16="http://schemas.microsoft.com/office/drawing/2014/main" id="{2E0DF279-E95F-40B0-87E7-CCB3AFC8D12D}"/>
            </a:ext>
          </a:extLst>
        </xdr:cNvPr>
        <xdr:cNvCxnSpPr/>
      </xdr:nvCxnSpPr>
      <xdr:spPr>
        <a:xfrm>
          <a:off x="13952220" y="868680"/>
          <a:ext cx="7715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3617" name="5">
          <a:extLst>
            <a:ext uri="{FF2B5EF4-FFF2-40B4-BE49-F238E27FC236}">
              <a16:creationId xmlns:a16="http://schemas.microsoft.com/office/drawing/2014/main" id="{70E85754-36B8-4064-BB5B-F450746B3E1B}"/>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3618" name="직선 화살표 연결선 33617">
          <a:extLst>
            <a:ext uri="{FF2B5EF4-FFF2-40B4-BE49-F238E27FC236}">
              <a16:creationId xmlns:a16="http://schemas.microsoft.com/office/drawing/2014/main" id="{2AEB88D5-5104-4B3D-BE9E-3245CFD4AB87}"/>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3619" name="4">
          <a:extLst>
            <a:ext uri="{FF2B5EF4-FFF2-40B4-BE49-F238E27FC236}">
              <a16:creationId xmlns:a16="http://schemas.microsoft.com/office/drawing/2014/main" id="{21C76492-2764-4F53-81AB-B700EAF97EB4}"/>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3620" name="직선 화살표 연결선 33619">
          <a:extLst>
            <a:ext uri="{FF2B5EF4-FFF2-40B4-BE49-F238E27FC236}">
              <a16:creationId xmlns:a16="http://schemas.microsoft.com/office/drawing/2014/main" id="{C2CD20B0-C787-478B-895D-71516C54FC45}"/>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3621" name="3">
          <a:extLst>
            <a:ext uri="{FF2B5EF4-FFF2-40B4-BE49-F238E27FC236}">
              <a16:creationId xmlns:a16="http://schemas.microsoft.com/office/drawing/2014/main" id="{7D2CFD3F-89B5-4DC4-8348-447026649435}"/>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3622" name="직선 화살표 연결선 33621">
          <a:extLst>
            <a:ext uri="{FF2B5EF4-FFF2-40B4-BE49-F238E27FC236}">
              <a16:creationId xmlns:a16="http://schemas.microsoft.com/office/drawing/2014/main" id="{AACD8C54-9E27-4F1E-A562-C10C69405994}"/>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3623" name="2">
          <a:extLst>
            <a:ext uri="{FF2B5EF4-FFF2-40B4-BE49-F238E27FC236}">
              <a16:creationId xmlns:a16="http://schemas.microsoft.com/office/drawing/2014/main" id="{140220ED-86D1-4213-A4C1-4653519AD7B0}"/>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3624" name="직선 화살표 연결선 33623">
          <a:extLst>
            <a:ext uri="{FF2B5EF4-FFF2-40B4-BE49-F238E27FC236}">
              <a16:creationId xmlns:a16="http://schemas.microsoft.com/office/drawing/2014/main" id="{5769F404-5310-48C6-B520-6B1F5B7332A2}"/>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3625" name="1">
          <a:extLst>
            <a:ext uri="{FF2B5EF4-FFF2-40B4-BE49-F238E27FC236}">
              <a16:creationId xmlns:a16="http://schemas.microsoft.com/office/drawing/2014/main" id="{DC073B7C-DA0D-4D01-BBBD-9DFF3AE2776F}"/>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3626" name="직선 화살표 연결선 33625">
          <a:extLst>
            <a:ext uri="{FF2B5EF4-FFF2-40B4-BE49-F238E27FC236}">
              <a16:creationId xmlns:a16="http://schemas.microsoft.com/office/drawing/2014/main" id="{E03C1A00-CAAE-438F-9A31-CBC427A13AF5}"/>
            </a:ext>
          </a:extLst>
        </xdr:cNvPr>
        <xdr:cNvCxnSpPr/>
      </xdr:nvCxnSpPr>
      <xdr:spPr>
        <a:xfrm>
          <a:off x="13952220" y="868680"/>
          <a:ext cx="4669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3913" name="5">
          <a:extLst>
            <a:ext uri="{FF2B5EF4-FFF2-40B4-BE49-F238E27FC236}">
              <a16:creationId xmlns:a16="http://schemas.microsoft.com/office/drawing/2014/main" id="{E8F17A3E-A3CE-4370-A560-A7235578AAC1}"/>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3914" name="직선 화살표 연결선 33913">
          <a:extLst>
            <a:ext uri="{FF2B5EF4-FFF2-40B4-BE49-F238E27FC236}">
              <a16:creationId xmlns:a16="http://schemas.microsoft.com/office/drawing/2014/main" id="{12A8196A-5402-4CDF-9486-D7705895E9E7}"/>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3915" name="4">
          <a:extLst>
            <a:ext uri="{FF2B5EF4-FFF2-40B4-BE49-F238E27FC236}">
              <a16:creationId xmlns:a16="http://schemas.microsoft.com/office/drawing/2014/main" id="{C7DC1878-2768-46BC-B04D-D77FE1873DFD}"/>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3916" name="직선 화살표 연결선 33915">
          <a:extLst>
            <a:ext uri="{FF2B5EF4-FFF2-40B4-BE49-F238E27FC236}">
              <a16:creationId xmlns:a16="http://schemas.microsoft.com/office/drawing/2014/main" id="{3C43D700-C327-425A-89FC-60EB1C6D614E}"/>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3917" name="3">
          <a:extLst>
            <a:ext uri="{FF2B5EF4-FFF2-40B4-BE49-F238E27FC236}">
              <a16:creationId xmlns:a16="http://schemas.microsoft.com/office/drawing/2014/main" id="{40AC3E62-DE0B-4B26-BDF5-3752144B0C26}"/>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3918" name="직선 화살표 연결선 33917">
          <a:extLst>
            <a:ext uri="{FF2B5EF4-FFF2-40B4-BE49-F238E27FC236}">
              <a16:creationId xmlns:a16="http://schemas.microsoft.com/office/drawing/2014/main" id="{2C330623-2D62-4BFD-89DB-9D7B5DA37E0F}"/>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3919" name="2">
          <a:extLst>
            <a:ext uri="{FF2B5EF4-FFF2-40B4-BE49-F238E27FC236}">
              <a16:creationId xmlns:a16="http://schemas.microsoft.com/office/drawing/2014/main" id="{387DBB89-C219-4A03-9784-6009081604CF}"/>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3920" name="직선 화살표 연결선 33919">
          <a:extLst>
            <a:ext uri="{FF2B5EF4-FFF2-40B4-BE49-F238E27FC236}">
              <a16:creationId xmlns:a16="http://schemas.microsoft.com/office/drawing/2014/main" id="{D3E2BA69-B98B-409B-854F-D220586FF998}"/>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3921" name="1">
          <a:extLst>
            <a:ext uri="{FF2B5EF4-FFF2-40B4-BE49-F238E27FC236}">
              <a16:creationId xmlns:a16="http://schemas.microsoft.com/office/drawing/2014/main" id="{76AF5A60-E7DD-4648-A901-D9497713C2CF}"/>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3922" name="직선 화살표 연결선 33921">
          <a:extLst>
            <a:ext uri="{FF2B5EF4-FFF2-40B4-BE49-F238E27FC236}">
              <a16:creationId xmlns:a16="http://schemas.microsoft.com/office/drawing/2014/main" id="{F32CEC74-2189-4EFA-A864-40E09A603521}"/>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4209" name="5">
          <a:extLst>
            <a:ext uri="{FF2B5EF4-FFF2-40B4-BE49-F238E27FC236}">
              <a16:creationId xmlns:a16="http://schemas.microsoft.com/office/drawing/2014/main" id="{5C79BB32-A78A-4F69-9790-FB19B925E407}"/>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4210" name="직선 화살표 연결선 34209">
          <a:extLst>
            <a:ext uri="{FF2B5EF4-FFF2-40B4-BE49-F238E27FC236}">
              <a16:creationId xmlns:a16="http://schemas.microsoft.com/office/drawing/2014/main" id="{5A860E7C-5D32-4299-B4A9-C70E857014E2}"/>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4211" name="4">
          <a:extLst>
            <a:ext uri="{FF2B5EF4-FFF2-40B4-BE49-F238E27FC236}">
              <a16:creationId xmlns:a16="http://schemas.microsoft.com/office/drawing/2014/main" id="{79FC89C9-3651-416D-B651-9700AD4C001B}"/>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4212" name="직선 화살표 연결선 34211">
          <a:extLst>
            <a:ext uri="{FF2B5EF4-FFF2-40B4-BE49-F238E27FC236}">
              <a16:creationId xmlns:a16="http://schemas.microsoft.com/office/drawing/2014/main" id="{7092D2CC-260D-4A88-BEBF-DDFA21E66F22}"/>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4213" name="3">
          <a:extLst>
            <a:ext uri="{FF2B5EF4-FFF2-40B4-BE49-F238E27FC236}">
              <a16:creationId xmlns:a16="http://schemas.microsoft.com/office/drawing/2014/main" id="{160CDE72-6CF0-4DF6-A23E-82712D87286D}"/>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4214" name="직선 화살표 연결선 34213">
          <a:extLst>
            <a:ext uri="{FF2B5EF4-FFF2-40B4-BE49-F238E27FC236}">
              <a16:creationId xmlns:a16="http://schemas.microsoft.com/office/drawing/2014/main" id="{5C65701C-34A4-482A-AC05-681812405490}"/>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4215" name="2">
          <a:extLst>
            <a:ext uri="{FF2B5EF4-FFF2-40B4-BE49-F238E27FC236}">
              <a16:creationId xmlns:a16="http://schemas.microsoft.com/office/drawing/2014/main" id="{9B3C9BD9-A792-4DB9-B2DE-E13B60D691DA}"/>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4216" name="직선 화살표 연결선 34215">
          <a:extLst>
            <a:ext uri="{FF2B5EF4-FFF2-40B4-BE49-F238E27FC236}">
              <a16:creationId xmlns:a16="http://schemas.microsoft.com/office/drawing/2014/main" id="{883DF1DE-937A-429C-9FD3-E6109E5B3582}"/>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4217" name="1">
          <a:extLst>
            <a:ext uri="{FF2B5EF4-FFF2-40B4-BE49-F238E27FC236}">
              <a16:creationId xmlns:a16="http://schemas.microsoft.com/office/drawing/2014/main" id="{2EB37673-77F9-4229-B8DB-190B28BC73B0}"/>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4218" name="직선 화살표 연결선 34217">
          <a:extLst>
            <a:ext uri="{FF2B5EF4-FFF2-40B4-BE49-F238E27FC236}">
              <a16:creationId xmlns:a16="http://schemas.microsoft.com/office/drawing/2014/main" id="{A4313662-C35D-45B7-AA85-5041D12E8B8E}"/>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0679" name="5">
          <a:extLst>
            <a:ext uri="{FF2B5EF4-FFF2-40B4-BE49-F238E27FC236}">
              <a16:creationId xmlns:a16="http://schemas.microsoft.com/office/drawing/2014/main" id="{BEA47D0E-63FC-40DE-A99B-BEBF0261B73D}"/>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0680" name="직선 화살표 연결선 30679">
          <a:extLst>
            <a:ext uri="{FF2B5EF4-FFF2-40B4-BE49-F238E27FC236}">
              <a16:creationId xmlns:a16="http://schemas.microsoft.com/office/drawing/2014/main" id="{52513AA7-1733-4909-8863-A96760BFD4A2}"/>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0681" name="4">
          <a:extLst>
            <a:ext uri="{FF2B5EF4-FFF2-40B4-BE49-F238E27FC236}">
              <a16:creationId xmlns:a16="http://schemas.microsoft.com/office/drawing/2014/main" id="{D5104DCB-B4D9-4CCA-AB54-B4E6971CDE7D}"/>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0682" name="직선 화살표 연결선 30681">
          <a:extLst>
            <a:ext uri="{FF2B5EF4-FFF2-40B4-BE49-F238E27FC236}">
              <a16:creationId xmlns:a16="http://schemas.microsoft.com/office/drawing/2014/main" id="{9429FB9E-5AF4-45AB-831A-B97D251D331C}"/>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0683" name="3">
          <a:extLst>
            <a:ext uri="{FF2B5EF4-FFF2-40B4-BE49-F238E27FC236}">
              <a16:creationId xmlns:a16="http://schemas.microsoft.com/office/drawing/2014/main" id="{6B26AF18-1A79-49D4-836C-6B8117A8694D}"/>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0684" name="직선 화살표 연결선 30683">
          <a:extLst>
            <a:ext uri="{FF2B5EF4-FFF2-40B4-BE49-F238E27FC236}">
              <a16:creationId xmlns:a16="http://schemas.microsoft.com/office/drawing/2014/main" id="{A9387629-B948-4326-9DF5-4D79904E6206}"/>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0685" name="2">
          <a:extLst>
            <a:ext uri="{FF2B5EF4-FFF2-40B4-BE49-F238E27FC236}">
              <a16:creationId xmlns:a16="http://schemas.microsoft.com/office/drawing/2014/main" id="{2E4EB62A-7290-455B-97FE-DB814C0B1895}"/>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0686" name="직선 화살표 연결선 30685">
          <a:extLst>
            <a:ext uri="{FF2B5EF4-FFF2-40B4-BE49-F238E27FC236}">
              <a16:creationId xmlns:a16="http://schemas.microsoft.com/office/drawing/2014/main" id="{78754A97-EA35-4A04-84AB-B05D3B9A3E9E}"/>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0687" name="1">
          <a:extLst>
            <a:ext uri="{FF2B5EF4-FFF2-40B4-BE49-F238E27FC236}">
              <a16:creationId xmlns:a16="http://schemas.microsoft.com/office/drawing/2014/main" id="{E59DBA35-5C81-4041-AC5D-A04AF155C487}"/>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0688" name="직선 화살표 연결선 30687">
          <a:extLst>
            <a:ext uri="{FF2B5EF4-FFF2-40B4-BE49-F238E27FC236}">
              <a16:creationId xmlns:a16="http://schemas.microsoft.com/office/drawing/2014/main" id="{CD842308-E0C7-4FD8-AD23-F1013B008677}"/>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826" name="5">
          <a:extLst>
            <a:ext uri="{FF2B5EF4-FFF2-40B4-BE49-F238E27FC236}">
              <a16:creationId xmlns:a16="http://schemas.microsoft.com/office/drawing/2014/main" id="{381AF79D-555D-4344-A1FE-9E16A37552C9}"/>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827" name="직선 화살표 연결선 3826">
          <a:extLst>
            <a:ext uri="{FF2B5EF4-FFF2-40B4-BE49-F238E27FC236}">
              <a16:creationId xmlns:a16="http://schemas.microsoft.com/office/drawing/2014/main" id="{911341E2-BDA5-4F4B-A4C5-AD9DB6728C8D}"/>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828" name="4">
          <a:extLst>
            <a:ext uri="{FF2B5EF4-FFF2-40B4-BE49-F238E27FC236}">
              <a16:creationId xmlns:a16="http://schemas.microsoft.com/office/drawing/2014/main" id="{5608FD8E-EF3A-4459-967B-28E03DE9EC74}"/>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829" name="직선 화살표 연결선 3828">
          <a:extLst>
            <a:ext uri="{FF2B5EF4-FFF2-40B4-BE49-F238E27FC236}">
              <a16:creationId xmlns:a16="http://schemas.microsoft.com/office/drawing/2014/main" id="{550C8A56-9954-43FC-A8D4-07B382F45EC9}"/>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830" name="3">
          <a:extLst>
            <a:ext uri="{FF2B5EF4-FFF2-40B4-BE49-F238E27FC236}">
              <a16:creationId xmlns:a16="http://schemas.microsoft.com/office/drawing/2014/main" id="{B93DDFE3-734A-4332-9297-7F973A4FAB08}"/>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831" name="직선 화살표 연결선 3830">
          <a:extLst>
            <a:ext uri="{FF2B5EF4-FFF2-40B4-BE49-F238E27FC236}">
              <a16:creationId xmlns:a16="http://schemas.microsoft.com/office/drawing/2014/main" id="{EF8AA661-0DDE-4F7B-A7F4-FCC063EDF8C4}"/>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832" name="2">
          <a:extLst>
            <a:ext uri="{FF2B5EF4-FFF2-40B4-BE49-F238E27FC236}">
              <a16:creationId xmlns:a16="http://schemas.microsoft.com/office/drawing/2014/main" id="{E0253BA8-6795-494C-9264-531C56FB8CFB}"/>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833" name="직선 화살표 연결선 3832">
          <a:extLst>
            <a:ext uri="{FF2B5EF4-FFF2-40B4-BE49-F238E27FC236}">
              <a16:creationId xmlns:a16="http://schemas.microsoft.com/office/drawing/2014/main" id="{0DBB1017-EBDB-4F7D-A634-7DA66B4E1B45}"/>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834" name="1">
          <a:extLst>
            <a:ext uri="{FF2B5EF4-FFF2-40B4-BE49-F238E27FC236}">
              <a16:creationId xmlns:a16="http://schemas.microsoft.com/office/drawing/2014/main" id="{F87AEBE5-7F0A-4FA7-BF8F-019A7AFD3CE1}"/>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835" name="직선 화살표 연결선 3834">
          <a:extLst>
            <a:ext uri="{FF2B5EF4-FFF2-40B4-BE49-F238E27FC236}">
              <a16:creationId xmlns:a16="http://schemas.microsoft.com/office/drawing/2014/main" id="{36A8B6A7-0566-4F26-8132-3418C857A61B}"/>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1941" name="5">
          <a:extLst>
            <a:ext uri="{FF2B5EF4-FFF2-40B4-BE49-F238E27FC236}">
              <a16:creationId xmlns:a16="http://schemas.microsoft.com/office/drawing/2014/main" id="{8BEEDD1F-B788-4F74-BAB6-31A9C59DF3A5}"/>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1942" name="직선 화살표 연결선 31941">
          <a:extLst>
            <a:ext uri="{FF2B5EF4-FFF2-40B4-BE49-F238E27FC236}">
              <a16:creationId xmlns:a16="http://schemas.microsoft.com/office/drawing/2014/main" id="{041E5559-DE89-4D93-A9DD-7B3E253FE8C3}"/>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1943" name="4">
          <a:extLst>
            <a:ext uri="{FF2B5EF4-FFF2-40B4-BE49-F238E27FC236}">
              <a16:creationId xmlns:a16="http://schemas.microsoft.com/office/drawing/2014/main" id="{12A48E45-7A1D-47D6-B2DB-D5CAD65DBA1D}"/>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1944" name="직선 화살표 연결선 31943">
          <a:extLst>
            <a:ext uri="{FF2B5EF4-FFF2-40B4-BE49-F238E27FC236}">
              <a16:creationId xmlns:a16="http://schemas.microsoft.com/office/drawing/2014/main" id="{E0308043-27CF-4CBD-B187-2CB049840D5D}"/>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1945" name="3">
          <a:extLst>
            <a:ext uri="{FF2B5EF4-FFF2-40B4-BE49-F238E27FC236}">
              <a16:creationId xmlns:a16="http://schemas.microsoft.com/office/drawing/2014/main" id="{EA455B77-09FA-478A-A131-70192423CA85}"/>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1946" name="직선 화살표 연결선 31945">
          <a:extLst>
            <a:ext uri="{FF2B5EF4-FFF2-40B4-BE49-F238E27FC236}">
              <a16:creationId xmlns:a16="http://schemas.microsoft.com/office/drawing/2014/main" id="{C7D93ABA-88B6-494C-8B23-3DB8B38D58C7}"/>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1947" name="2">
          <a:extLst>
            <a:ext uri="{FF2B5EF4-FFF2-40B4-BE49-F238E27FC236}">
              <a16:creationId xmlns:a16="http://schemas.microsoft.com/office/drawing/2014/main" id="{CA9FFD0D-5C48-40FB-951C-E5CF337EF37A}"/>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1948" name="직선 화살표 연결선 31947">
          <a:extLst>
            <a:ext uri="{FF2B5EF4-FFF2-40B4-BE49-F238E27FC236}">
              <a16:creationId xmlns:a16="http://schemas.microsoft.com/office/drawing/2014/main" id="{CDD39D42-8E15-4342-9DA5-E6C99CF38172}"/>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1949" name="1">
          <a:extLst>
            <a:ext uri="{FF2B5EF4-FFF2-40B4-BE49-F238E27FC236}">
              <a16:creationId xmlns:a16="http://schemas.microsoft.com/office/drawing/2014/main" id="{6437F485-ECFE-4CD6-8DBE-0B9D147FB879}"/>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1950" name="직선 화살표 연결선 31949">
          <a:extLst>
            <a:ext uri="{FF2B5EF4-FFF2-40B4-BE49-F238E27FC236}">
              <a16:creationId xmlns:a16="http://schemas.microsoft.com/office/drawing/2014/main" id="{A3B13480-8037-494B-9905-EE25692211B1}"/>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27306" name="5">
          <a:extLst>
            <a:ext uri="{FF2B5EF4-FFF2-40B4-BE49-F238E27FC236}">
              <a16:creationId xmlns:a16="http://schemas.microsoft.com/office/drawing/2014/main" id="{DB434391-8377-4ED0-A280-64F41F1D4314}"/>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27307" name="직선 화살표 연결선 27306">
          <a:extLst>
            <a:ext uri="{FF2B5EF4-FFF2-40B4-BE49-F238E27FC236}">
              <a16:creationId xmlns:a16="http://schemas.microsoft.com/office/drawing/2014/main" id="{F31FCB06-63FB-4F00-8DA6-DE942366B660}"/>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27308" name="4">
          <a:extLst>
            <a:ext uri="{FF2B5EF4-FFF2-40B4-BE49-F238E27FC236}">
              <a16:creationId xmlns:a16="http://schemas.microsoft.com/office/drawing/2014/main" id="{ED564F99-9290-459C-88CD-5968B74CEB68}"/>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27309" name="직선 화살표 연결선 27308">
          <a:extLst>
            <a:ext uri="{FF2B5EF4-FFF2-40B4-BE49-F238E27FC236}">
              <a16:creationId xmlns:a16="http://schemas.microsoft.com/office/drawing/2014/main" id="{90808898-F8C8-4B01-998A-420082281C0C}"/>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27310" name="3">
          <a:extLst>
            <a:ext uri="{FF2B5EF4-FFF2-40B4-BE49-F238E27FC236}">
              <a16:creationId xmlns:a16="http://schemas.microsoft.com/office/drawing/2014/main" id="{B8E797D2-B8BC-44CC-84A6-0C89898EA6A0}"/>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27311" name="직선 화살표 연결선 27310">
          <a:extLst>
            <a:ext uri="{FF2B5EF4-FFF2-40B4-BE49-F238E27FC236}">
              <a16:creationId xmlns:a16="http://schemas.microsoft.com/office/drawing/2014/main" id="{418E59A9-A267-4347-89C1-F3AC6A83D9E7}"/>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27312" name="2">
          <a:extLst>
            <a:ext uri="{FF2B5EF4-FFF2-40B4-BE49-F238E27FC236}">
              <a16:creationId xmlns:a16="http://schemas.microsoft.com/office/drawing/2014/main" id="{FE516937-350E-49E0-AB93-8A53F5132D80}"/>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27313" name="직선 화살표 연결선 27312">
          <a:extLst>
            <a:ext uri="{FF2B5EF4-FFF2-40B4-BE49-F238E27FC236}">
              <a16:creationId xmlns:a16="http://schemas.microsoft.com/office/drawing/2014/main" id="{05A8D144-AB24-4304-8F44-FCD7D242457D}"/>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27314" name="1">
          <a:extLst>
            <a:ext uri="{FF2B5EF4-FFF2-40B4-BE49-F238E27FC236}">
              <a16:creationId xmlns:a16="http://schemas.microsoft.com/office/drawing/2014/main" id="{7B489F47-978F-4434-A78F-1EE1C56A16CE}"/>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27315" name="직선 화살표 연결선 27314">
          <a:extLst>
            <a:ext uri="{FF2B5EF4-FFF2-40B4-BE49-F238E27FC236}">
              <a16:creationId xmlns:a16="http://schemas.microsoft.com/office/drawing/2014/main" id="{6DF74E31-7323-4ED9-B9B4-BE8FDA9F933E}"/>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3615" name="5">
          <a:extLst>
            <a:ext uri="{FF2B5EF4-FFF2-40B4-BE49-F238E27FC236}">
              <a16:creationId xmlns:a16="http://schemas.microsoft.com/office/drawing/2014/main" id="{82F0A952-EFFB-4267-B29D-CF3D6C0020EB}"/>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3616" name="직선 화살표 연결선 33615">
          <a:extLst>
            <a:ext uri="{FF2B5EF4-FFF2-40B4-BE49-F238E27FC236}">
              <a16:creationId xmlns:a16="http://schemas.microsoft.com/office/drawing/2014/main" id="{17528C4F-0EA1-4F24-A276-F0D4EBD4D160}"/>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3627" name="4">
          <a:extLst>
            <a:ext uri="{FF2B5EF4-FFF2-40B4-BE49-F238E27FC236}">
              <a16:creationId xmlns:a16="http://schemas.microsoft.com/office/drawing/2014/main" id="{063E2F03-8FE4-451E-B17B-5118D03EF50E}"/>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3628" name="직선 화살표 연결선 33627">
          <a:extLst>
            <a:ext uri="{FF2B5EF4-FFF2-40B4-BE49-F238E27FC236}">
              <a16:creationId xmlns:a16="http://schemas.microsoft.com/office/drawing/2014/main" id="{7D212C2F-5C97-459A-8BF0-CCAEAF24A96D}"/>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3629" name="3">
          <a:extLst>
            <a:ext uri="{FF2B5EF4-FFF2-40B4-BE49-F238E27FC236}">
              <a16:creationId xmlns:a16="http://schemas.microsoft.com/office/drawing/2014/main" id="{6D894794-59DF-4557-8B42-306DAD512CC7}"/>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3630" name="직선 화살표 연결선 33629">
          <a:extLst>
            <a:ext uri="{FF2B5EF4-FFF2-40B4-BE49-F238E27FC236}">
              <a16:creationId xmlns:a16="http://schemas.microsoft.com/office/drawing/2014/main" id="{C064BF0C-D023-477C-88E7-DE17AE35B9A3}"/>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3631" name="2">
          <a:extLst>
            <a:ext uri="{FF2B5EF4-FFF2-40B4-BE49-F238E27FC236}">
              <a16:creationId xmlns:a16="http://schemas.microsoft.com/office/drawing/2014/main" id="{53D30CAA-0DFC-4FC9-8162-A6125E685D0A}"/>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3632" name="직선 화살표 연결선 33631">
          <a:extLst>
            <a:ext uri="{FF2B5EF4-FFF2-40B4-BE49-F238E27FC236}">
              <a16:creationId xmlns:a16="http://schemas.microsoft.com/office/drawing/2014/main" id="{B063C12F-88C0-4650-BF18-0EA9CE30FAC3}"/>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3633" name="1">
          <a:extLst>
            <a:ext uri="{FF2B5EF4-FFF2-40B4-BE49-F238E27FC236}">
              <a16:creationId xmlns:a16="http://schemas.microsoft.com/office/drawing/2014/main" id="{71181697-55E1-4843-96C5-CDE7D95C32EF}"/>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3634" name="직선 화살표 연결선 33633">
          <a:extLst>
            <a:ext uri="{FF2B5EF4-FFF2-40B4-BE49-F238E27FC236}">
              <a16:creationId xmlns:a16="http://schemas.microsoft.com/office/drawing/2014/main" id="{185A9CF3-34DB-460C-B8B9-C60BAF5B2C6A}"/>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819" name="5">
          <a:extLst>
            <a:ext uri="{FF2B5EF4-FFF2-40B4-BE49-F238E27FC236}">
              <a16:creationId xmlns:a16="http://schemas.microsoft.com/office/drawing/2014/main" id="{5E962E43-8943-40D7-98A5-68D7A3B26AE2}"/>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820" name="직선 화살표 연결선 3819">
          <a:extLst>
            <a:ext uri="{FF2B5EF4-FFF2-40B4-BE49-F238E27FC236}">
              <a16:creationId xmlns:a16="http://schemas.microsoft.com/office/drawing/2014/main" id="{832C7407-6B3E-482E-AF91-880395843DF4}"/>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821" name="4">
          <a:extLst>
            <a:ext uri="{FF2B5EF4-FFF2-40B4-BE49-F238E27FC236}">
              <a16:creationId xmlns:a16="http://schemas.microsoft.com/office/drawing/2014/main" id="{E40CBED5-5884-4127-BE96-AD0BCBF5E5A5}"/>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822" name="직선 화살표 연결선 3821">
          <a:extLst>
            <a:ext uri="{FF2B5EF4-FFF2-40B4-BE49-F238E27FC236}">
              <a16:creationId xmlns:a16="http://schemas.microsoft.com/office/drawing/2014/main" id="{CE1C30B3-BFB2-43A4-88FA-F61C4BEC2BCC}"/>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824" name="3">
          <a:extLst>
            <a:ext uri="{FF2B5EF4-FFF2-40B4-BE49-F238E27FC236}">
              <a16:creationId xmlns:a16="http://schemas.microsoft.com/office/drawing/2014/main" id="{F2CD2E94-4B04-4D43-B4DA-5733D0A4AC97}"/>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825" name="직선 화살표 연결선 3824">
          <a:extLst>
            <a:ext uri="{FF2B5EF4-FFF2-40B4-BE49-F238E27FC236}">
              <a16:creationId xmlns:a16="http://schemas.microsoft.com/office/drawing/2014/main" id="{DA8F117E-8AF7-473D-8BDB-2AB2E6C5E421}"/>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836" name="2">
          <a:extLst>
            <a:ext uri="{FF2B5EF4-FFF2-40B4-BE49-F238E27FC236}">
              <a16:creationId xmlns:a16="http://schemas.microsoft.com/office/drawing/2014/main" id="{57E439CD-EB95-47AA-8A1C-4338418F0915}"/>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837" name="직선 화살표 연결선 3836">
          <a:extLst>
            <a:ext uri="{FF2B5EF4-FFF2-40B4-BE49-F238E27FC236}">
              <a16:creationId xmlns:a16="http://schemas.microsoft.com/office/drawing/2014/main" id="{30CFA8D9-6E15-40C1-A79E-522890EE6396}"/>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838" name="1">
          <a:extLst>
            <a:ext uri="{FF2B5EF4-FFF2-40B4-BE49-F238E27FC236}">
              <a16:creationId xmlns:a16="http://schemas.microsoft.com/office/drawing/2014/main" id="{4AEBB89A-8B7D-4BCB-B4E5-D250708EA7CB}"/>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839" name="직선 화살표 연결선 3838">
          <a:extLst>
            <a:ext uri="{FF2B5EF4-FFF2-40B4-BE49-F238E27FC236}">
              <a16:creationId xmlns:a16="http://schemas.microsoft.com/office/drawing/2014/main" id="{E14FF382-CB5F-419D-BA6F-7AAE9ADB1538}"/>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3635" name="5">
          <a:extLst>
            <a:ext uri="{FF2B5EF4-FFF2-40B4-BE49-F238E27FC236}">
              <a16:creationId xmlns:a16="http://schemas.microsoft.com/office/drawing/2014/main" id="{2A685607-EDF7-4ADE-B256-AF6DA68E9F51}"/>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3636" name="직선 화살표 연결선 33635">
          <a:extLst>
            <a:ext uri="{FF2B5EF4-FFF2-40B4-BE49-F238E27FC236}">
              <a16:creationId xmlns:a16="http://schemas.microsoft.com/office/drawing/2014/main" id="{9089C606-C3BC-4FFB-AF09-3DE705D5BFB6}"/>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3637" name="4">
          <a:extLst>
            <a:ext uri="{FF2B5EF4-FFF2-40B4-BE49-F238E27FC236}">
              <a16:creationId xmlns:a16="http://schemas.microsoft.com/office/drawing/2014/main" id="{97695C87-DFD1-4C0A-967D-DD8174FBE0FF}"/>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3638" name="직선 화살표 연결선 33637">
          <a:extLst>
            <a:ext uri="{FF2B5EF4-FFF2-40B4-BE49-F238E27FC236}">
              <a16:creationId xmlns:a16="http://schemas.microsoft.com/office/drawing/2014/main" id="{81512A41-458C-4C43-8D95-819859D449D6}"/>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3639" name="3">
          <a:extLst>
            <a:ext uri="{FF2B5EF4-FFF2-40B4-BE49-F238E27FC236}">
              <a16:creationId xmlns:a16="http://schemas.microsoft.com/office/drawing/2014/main" id="{31C29484-354A-4385-A14C-746BD3559818}"/>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789" name="직선 화살표 연결선 788">
          <a:extLst>
            <a:ext uri="{FF2B5EF4-FFF2-40B4-BE49-F238E27FC236}">
              <a16:creationId xmlns:a16="http://schemas.microsoft.com/office/drawing/2014/main" id="{9638E8F2-1B71-49A6-8595-2C98EDE11F19}"/>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790" name="2">
          <a:extLst>
            <a:ext uri="{FF2B5EF4-FFF2-40B4-BE49-F238E27FC236}">
              <a16:creationId xmlns:a16="http://schemas.microsoft.com/office/drawing/2014/main" id="{3F20FB7D-313A-4AE8-BB4B-5E4FA5BC1CFF}"/>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791" name="직선 화살표 연결선 790">
          <a:extLst>
            <a:ext uri="{FF2B5EF4-FFF2-40B4-BE49-F238E27FC236}">
              <a16:creationId xmlns:a16="http://schemas.microsoft.com/office/drawing/2014/main" id="{1EC66C57-EE94-46ED-B98D-CE3E6E4F7521}"/>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792" name="1">
          <a:extLst>
            <a:ext uri="{FF2B5EF4-FFF2-40B4-BE49-F238E27FC236}">
              <a16:creationId xmlns:a16="http://schemas.microsoft.com/office/drawing/2014/main" id="{781E1E5E-FB77-4027-BA2E-5B36A9DC2A7D}"/>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793" name="직선 화살표 연결선 792">
          <a:extLst>
            <a:ext uri="{FF2B5EF4-FFF2-40B4-BE49-F238E27FC236}">
              <a16:creationId xmlns:a16="http://schemas.microsoft.com/office/drawing/2014/main" id="{8E8F8088-8C0A-4F76-A080-79BBE2BC124B}"/>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1331" name="5">
          <a:extLst>
            <a:ext uri="{FF2B5EF4-FFF2-40B4-BE49-F238E27FC236}">
              <a16:creationId xmlns:a16="http://schemas.microsoft.com/office/drawing/2014/main" id="{1C720944-1700-4953-9067-4A7809145F32}"/>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1332" name="직선 화살표 연결선 31331">
          <a:extLst>
            <a:ext uri="{FF2B5EF4-FFF2-40B4-BE49-F238E27FC236}">
              <a16:creationId xmlns:a16="http://schemas.microsoft.com/office/drawing/2014/main" id="{F70D5D00-CD92-4D1B-8B2A-EFA76E03C91D}"/>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1333" name="4">
          <a:extLst>
            <a:ext uri="{FF2B5EF4-FFF2-40B4-BE49-F238E27FC236}">
              <a16:creationId xmlns:a16="http://schemas.microsoft.com/office/drawing/2014/main" id="{D3256EDC-DBA6-4CAE-9C43-35272B95487B}"/>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1334" name="직선 화살표 연결선 31333">
          <a:extLst>
            <a:ext uri="{FF2B5EF4-FFF2-40B4-BE49-F238E27FC236}">
              <a16:creationId xmlns:a16="http://schemas.microsoft.com/office/drawing/2014/main" id="{5589AADA-D6C0-4B9E-9A3A-A64E467C38A6}"/>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1335" name="3">
          <a:extLst>
            <a:ext uri="{FF2B5EF4-FFF2-40B4-BE49-F238E27FC236}">
              <a16:creationId xmlns:a16="http://schemas.microsoft.com/office/drawing/2014/main" id="{70FA451E-7FAE-4607-986C-275F07984135}"/>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1336" name="직선 화살표 연결선 31335">
          <a:extLst>
            <a:ext uri="{FF2B5EF4-FFF2-40B4-BE49-F238E27FC236}">
              <a16:creationId xmlns:a16="http://schemas.microsoft.com/office/drawing/2014/main" id="{6C61C171-1DFF-4DEC-B9E4-40D907A286D8}"/>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1337" name="2">
          <a:extLst>
            <a:ext uri="{FF2B5EF4-FFF2-40B4-BE49-F238E27FC236}">
              <a16:creationId xmlns:a16="http://schemas.microsoft.com/office/drawing/2014/main" id="{5A7A7867-1A9F-4E11-B03C-511DFE5752B4}"/>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1338" name="직선 화살표 연결선 31337">
          <a:extLst>
            <a:ext uri="{FF2B5EF4-FFF2-40B4-BE49-F238E27FC236}">
              <a16:creationId xmlns:a16="http://schemas.microsoft.com/office/drawing/2014/main" id="{04B94777-FE1B-44D2-B656-39B5F64D48EC}"/>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1339" name="1">
          <a:extLst>
            <a:ext uri="{FF2B5EF4-FFF2-40B4-BE49-F238E27FC236}">
              <a16:creationId xmlns:a16="http://schemas.microsoft.com/office/drawing/2014/main" id="{F760B50C-FDC4-4ADA-B520-B25BA2750EB3}"/>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1340" name="직선 화살표 연결선 31339">
          <a:extLst>
            <a:ext uri="{FF2B5EF4-FFF2-40B4-BE49-F238E27FC236}">
              <a16:creationId xmlns:a16="http://schemas.microsoft.com/office/drawing/2014/main" id="{DABC8DFE-112A-4C85-B966-F2119560ABD8}"/>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1993" name="5">
          <a:extLst>
            <a:ext uri="{FF2B5EF4-FFF2-40B4-BE49-F238E27FC236}">
              <a16:creationId xmlns:a16="http://schemas.microsoft.com/office/drawing/2014/main" id="{C1A807D8-9F61-43EE-80C2-A33F355EE01B}"/>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1994" name="직선 화살표 연결선 31993">
          <a:extLst>
            <a:ext uri="{FF2B5EF4-FFF2-40B4-BE49-F238E27FC236}">
              <a16:creationId xmlns:a16="http://schemas.microsoft.com/office/drawing/2014/main" id="{96AC74B2-620B-412B-9BBD-ADD805527D61}"/>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1995" name="4">
          <a:extLst>
            <a:ext uri="{FF2B5EF4-FFF2-40B4-BE49-F238E27FC236}">
              <a16:creationId xmlns:a16="http://schemas.microsoft.com/office/drawing/2014/main" id="{84A9DF3E-EB56-448C-A9FE-13602C0D1C29}"/>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1996" name="직선 화살표 연결선 31995">
          <a:extLst>
            <a:ext uri="{FF2B5EF4-FFF2-40B4-BE49-F238E27FC236}">
              <a16:creationId xmlns:a16="http://schemas.microsoft.com/office/drawing/2014/main" id="{A6A94532-6DDD-4910-8F55-4A2EF8AFED92}"/>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1997" name="3">
          <a:extLst>
            <a:ext uri="{FF2B5EF4-FFF2-40B4-BE49-F238E27FC236}">
              <a16:creationId xmlns:a16="http://schemas.microsoft.com/office/drawing/2014/main" id="{2AF1A586-5528-4A68-9EE9-EF4691AA5D5C}"/>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1998" name="직선 화살표 연결선 31997">
          <a:extLst>
            <a:ext uri="{FF2B5EF4-FFF2-40B4-BE49-F238E27FC236}">
              <a16:creationId xmlns:a16="http://schemas.microsoft.com/office/drawing/2014/main" id="{5A7BB528-9B1B-49BF-9881-A5E0D58A42E1}"/>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1999" name="2">
          <a:extLst>
            <a:ext uri="{FF2B5EF4-FFF2-40B4-BE49-F238E27FC236}">
              <a16:creationId xmlns:a16="http://schemas.microsoft.com/office/drawing/2014/main" id="{F4CB630B-24CC-49F9-8039-77E65E2EBC86}"/>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29440" name="직선 화살표 연결선 29439">
          <a:extLst>
            <a:ext uri="{FF2B5EF4-FFF2-40B4-BE49-F238E27FC236}">
              <a16:creationId xmlns:a16="http://schemas.microsoft.com/office/drawing/2014/main" id="{4F159AE6-8524-47F1-A792-FF8EEC444D25}"/>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29441" name="1">
          <a:extLst>
            <a:ext uri="{FF2B5EF4-FFF2-40B4-BE49-F238E27FC236}">
              <a16:creationId xmlns:a16="http://schemas.microsoft.com/office/drawing/2014/main" id="{D53CC981-88F8-4ADF-83A7-9B0621C28287}"/>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29442" name="직선 화살표 연결선 29441">
          <a:extLst>
            <a:ext uri="{FF2B5EF4-FFF2-40B4-BE49-F238E27FC236}">
              <a16:creationId xmlns:a16="http://schemas.microsoft.com/office/drawing/2014/main" id="{BF76711A-F4EE-4A23-B503-18F67FE8B835}"/>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0123" name="5">
          <a:extLst>
            <a:ext uri="{FF2B5EF4-FFF2-40B4-BE49-F238E27FC236}">
              <a16:creationId xmlns:a16="http://schemas.microsoft.com/office/drawing/2014/main" id="{42DB5CC4-33B6-4C2B-9EF4-724398A79F37}"/>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0124" name="직선 화살표 연결선 30123">
          <a:extLst>
            <a:ext uri="{FF2B5EF4-FFF2-40B4-BE49-F238E27FC236}">
              <a16:creationId xmlns:a16="http://schemas.microsoft.com/office/drawing/2014/main" id="{E2F88EF3-CC12-46A6-9532-593BD151F98B}"/>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0125" name="4">
          <a:extLst>
            <a:ext uri="{FF2B5EF4-FFF2-40B4-BE49-F238E27FC236}">
              <a16:creationId xmlns:a16="http://schemas.microsoft.com/office/drawing/2014/main" id="{CE8A72BA-9393-435B-8850-AF95172818BB}"/>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0126" name="직선 화살표 연결선 30125">
          <a:extLst>
            <a:ext uri="{FF2B5EF4-FFF2-40B4-BE49-F238E27FC236}">
              <a16:creationId xmlns:a16="http://schemas.microsoft.com/office/drawing/2014/main" id="{7720F9B9-FACF-456F-B9D9-3E09FFB05B4D}"/>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0127" name="3">
          <a:extLst>
            <a:ext uri="{FF2B5EF4-FFF2-40B4-BE49-F238E27FC236}">
              <a16:creationId xmlns:a16="http://schemas.microsoft.com/office/drawing/2014/main" id="{0A55C6A1-F2A0-4667-902A-D1723ED77DD1}"/>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0128" name="직선 화살표 연결선 30127">
          <a:extLst>
            <a:ext uri="{FF2B5EF4-FFF2-40B4-BE49-F238E27FC236}">
              <a16:creationId xmlns:a16="http://schemas.microsoft.com/office/drawing/2014/main" id="{D26247A5-8C39-4089-870F-67777CA9A672}"/>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0129" name="2">
          <a:extLst>
            <a:ext uri="{FF2B5EF4-FFF2-40B4-BE49-F238E27FC236}">
              <a16:creationId xmlns:a16="http://schemas.microsoft.com/office/drawing/2014/main" id="{61208800-E92A-40A0-8736-07090EF26B82}"/>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0130" name="직선 화살표 연결선 30129">
          <a:extLst>
            <a:ext uri="{FF2B5EF4-FFF2-40B4-BE49-F238E27FC236}">
              <a16:creationId xmlns:a16="http://schemas.microsoft.com/office/drawing/2014/main" id="{70F50ABE-F37F-46A2-A68E-4A6F22CDB752}"/>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0131" name="1">
          <a:extLst>
            <a:ext uri="{FF2B5EF4-FFF2-40B4-BE49-F238E27FC236}">
              <a16:creationId xmlns:a16="http://schemas.microsoft.com/office/drawing/2014/main" id="{524A39A5-154B-4F5C-8249-26CD49890708}"/>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0132" name="직선 화살표 연결선 30131">
          <a:extLst>
            <a:ext uri="{FF2B5EF4-FFF2-40B4-BE49-F238E27FC236}">
              <a16:creationId xmlns:a16="http://schemas.microsoft.com/office/drawing/2014/main" id="{F9004EC0-9496-450F-AB58-22D095B9882C}"/>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4661" name="5">
          <a:extLst>
            <a:ext uri="{FF2B5EF4-FFF2-40B4-BE49-F238E27FC236}">
              <a16:creationId xmlns:a16="http://schemas.microsoft.com/office/drawing/2014/main" id="{1A0929E6-4492-4869-A455-B40D11FE9024}"/>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4662" name="직선 화살표 연결선 34661">
          <a:extLst>
            <a:ext uri="{FF2B5EF4-FFF2-40B4-BE49-F238E27FC236}">
              <a16:creationId xmlns:a16="http://schemas.microsoft.com/office/drawing/2014/main" id="{48665BE1-D2B2-467D-9F63-DC3379C23507}"/>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4663" name="4">
          <a:extLst>
            <a:ext uri="{FF2B5EF4-FFF2-40B4-BE49-F238E27FC236}">
              <a16:creationId xmlns:a16="http://schemas.microsoft.com/office/drawing/2014/main" id="{64EACF53-841C-4CF0-8064-8C12DA393449}"/>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4664" name="직선 화살표 연결선 34663">
          <a:extLst>
            <a:ext uri="{FF2B5EF4-FFF2-40B4-BE49-F238E27FC236}">
              <a16:creationId xmlns:a16="http://schemas.microsoft.com/office/drawing/2014/main" id="{878AC46F-A6D6-49E7-899C-70D906ACC97A}"/>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4665" name="3">
          <a:extLst>
            <a:ext uri="{FF2B5EF4-FFF2-40B4-BE49-F238E27FC236}">
              <a16:creationId xmlns:a16="http://schemas.microsoft.com/office/drawing/2014/main" id="{0CF48D09-F1BE-4899-9B0F-1AB7AEE91F5A}"/>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4666" name="직선 화살표 연결선 34665">
          <a:extLst>
            <a:ext uri="{FF2B5EF4-FFF2-40B4-BE49-F238E27FC236}">
              <a16:creationId xmlns:a16="http://schemas.microsoft.com/office/drawing/2014/main" id="{56BBB3F2-94B8-4F96-9E71-CDE97E7374A7}"/>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4667" name="2">
          <a:extLst>
            <a:ext uri="{FF2B5EF4-FFF2-40B4-BE49-F238E27FC236}">
              <a16:creationId xmlns:a16="http://schemas.microsoft.com/office/drawing/2014/main" id="{431BB93A-BEB7-4058-8032-9E6F4AEC0A52}"/>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4668" name="직선 화살표 연결선 34667">
          <a:extLst>
            <a:ext uri="{FF2B5EF4-FFF2-40B4-BE49-F238E27FC236}">
              <a16:creationId xmlns:a16="http://schemas.microsoft.com/office/drawing/2014/main" id="{8D174C4D-EF73-4CA4-BC3B-CC15B229837B}"/>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4669" name="1">
          <a:extLst>
            <a:ext uri="{FF2B5EF4-FFF2-40B4-BE49-F238E27FC236}">
              <a16:creationId xmlns:a16="http://schemas.microsoft.com/office/drawing/2014/main" id="{85464EBF-5398-4E61-859E-A8811B6D52B7}"/>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4670" name="직선 화살표 연결선 34669">
          <a:extLst>
            <a:ext uri="{FF2B5EF4-FFF2-40B4-BE49-F238E27FC236}">
              <a16:creationId xmlns:a16="http://schemas.microsoft.com/office/drawing/2014/main" id="{3A56BC6D-0EA1-474B-96F6-11DD257FD166}"/>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3648" name="5">
          <a:extLst>
            <a:ext uri="{FF2B5EF4-FFF2-40B4-BE49-F238E27FC236}">
              <a16:creationId xmlns:a16="http://schemas.microsoft.com/office/drawing/2014/main" id="{A25EE0F4-A772-44A8-82B2-D78E32AC1F40}"/>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3649" name="직선 화살표 연결선 33648">
          <a:extLst>
            <a:ext uri="{FF2B5EF4-FFF2-40B4-BE49-F238E27FC236}">
              <a16:creationId xmlns:a16="http://schemas.microsoft.com/office/drawing/2014/main" id="{334F6AC3-C209-4828-A156-95EA0444BBFC}"/>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3650" name="4">
          <a:extLst>
            <a:ext uri="{FF2B5EF4-FFF2-40B4-BE49-F238E27FC236}">
              <a16:creationId xmlns:a16="http://schemas.microsoft.com/office/drawing/2014/main" id="{2B9B3350-0183-42AD-BE47-0B44351C3586}"/>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3651" name="직선 화살표 연결선 33650">
          <a:extLst>
            <a:ext uri="{FF2B5EF4-FFF2-40B4-BE49-F238E27FC236}">
              <a16:creationId xmlns:a16="http://schemas.microsoft.com/office/drawing/2014/main" id="{DEF5A0D6-569A-42ED-9214-A1953367EC5F}"/>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3652" name="3">
          <a:extLst>
            <a:ext uri="{FF2B5EF4-FFF2-40B4-BE49-F238E27FC236}">
              <a16:creationId xmlns:a16="http://schemas.microsoft.com/office/drawing/2014/main" id="{96F9CC2F-F596-46C9-9696-006DA2AC9C10}"/>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3653" name="직선 화살표 연결선 33652">
          <a:extLst>
            <a:ext uri="{FF2B5EF4-FFF2-40B4-BE49-F238E27FC236}">
              <a16:creationId xmlns:a16="http://schemas.microsoft.com/office/drawing/2014/main" id="{51859568-8D63-4667-AEE2-DE4DAE074299}"/>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3654" name="2">
          <a:extLst>
            <a:ext uri="{FF2B5EF4-FFF2-40B4-BE49-F238E27FC236}">
              <a16:creationId xmlns:a16="http://schemas.microsoft.com/office/drawing/2014/main" id="{0E6EE712-39B1-41A9-85A6-CD2EF72405C7}"/>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3655" name="직선 화살표 연결선 33654">
          <a:extLst>
            <a:ext uri="{FF2B5EF4-FFF2-40B4-BE49-F238E27FC236}">
              <a16:creationId xmlns:a16="http://schemas.microsoft.com/office/drawing/2014/main" id="{549DDE82-90E4-4684-BA91-4977248AE278}"/>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3656" name="1">
          <a:extLst>
            <a:ext uri="{FF2B5EF4-FFF2-40B4-BE49-F238E27FC236}">
              <a16:creationId xmlns:a16="http://schemas.microsoft.com/office/drawing/2014/main" id="{DCC501C1-94B1-4B86-8982-48F33A017B0B}"/>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3657" name="직선 화살표 연결선 33656">
          <a:extLst>
            <a:ext uri="{FF2B5EF4-FFF2-40B4-BE49-F238E27FC236}">
              <a16:creationId xmlns:a16="http://schemas.microsoft.com/office/drawing/2014/main" id="{41182D3D-A66E-4F82-9573-5DF96CC30CEE}"/>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4196" name="5">
          <a:extLst>
            <a:ext uri="{FF2B5EF4-FFF2-40B4-BE49-F238E27FC236}">
              <a16:creationId xmlns:a16="http://schemas.microsoft.com/office/drawing/2014/main" id="{4826A0FD-4078-44EA-B6EE-B796A0ACFB8A}"/>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4197" name="직선 화살표 연결선 34196">
          <a:extLst>
            <a:ext uri="{FF2B5EF4-FFF2-40B4-BE49-F238E27FC236}">
              <a16:creationId xmlns:a16="http://schemas.microsoft.com/office/drawing/2014/main" id="{36714068-1A10-4DA1-8EC5-3E1F46E15D48}"/>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4198" name="4">
          <a:extLst>
            <a:ext uri="{FF2B5EF4-FFF2-40B4-BE49-F238E27FC236}">
              <a16:creationId xmlns:a16="http://schemas.microsoft.com/office/drawing/2014/main" id="{A3A67BAC-750B-43D5-928A-D26895443FAC}"/>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4199" name="직선 화살표 연결선 34198">
          <a:extLst>
            <a:ext uri="{FF2B5EF4-FFF2-40B4-BE49-F238E27FC236}">
              <a16:creationId xmlns:a16="http://schemas.microsoft.com/office/drawing/2014/main" id="{D2B8A456-C0E6-4AED-A77B-F66C5224FDE0}"/>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4200" name="3">
          <a:extLst>
            <a:ext uri="{FF2B5EF4-FFF2-40B4-BE49-F238E27FC236}">
              <a16:creationId xmlns:a16="http://schemas.microsoft.com/office/drawing/2014/main" id="{BBEC0EFE-F3C4-49DB-AC76-980D9B947268}"/>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4201" name="직선 화살표 연결선 34200">
          <a:extLst>
            <a:ext uri="{FF2B5EF4-FFF2-40B4-BE49-F238E27FC236}">
              <a16:creationId xmlns:a16="http://schemas.microsoft.com/office/drawing/2014/main" id="{BFDD93D7-5BE6-46AB-B869-957D26E9DEB3}"/>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4202" name="2">
          <a:extLst>
            <a:ext uri="{FF2B5EF4-FFF2-40B4-BE49-F238E27FC236}">
              <a16:creationId xmlns:a16="http://schemas.microsoft.com/office/drawing/2014/main" id="{180296B5-1576-4A89-9E0B-9A62917FC841}"/>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4203" name="직선 화살표 연결선 34202">
          <a:extLst>
            <a:ext uri="{FF2B5EF4-FFF2-40B4-BE49-F238E27FC236}">
              <a16:creationId xmlns:a16="http://schemas.microsoft.com/office/drawing/2014/main" id="{4C031B16-6596-4B24-BB76-C98E28823993}"/>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4204" name="1">
          <a:extLst>
            <a:ext uri="{FF2B5EF4-FFF2-40B4-BE49-F238E27FC236}">
              <a16:creationId xmlns:a16="http://schemas.microsoft.com/office/drawing/2014/main" id="{038021DD-F6CF-4CE8-8FD8-0F133658C357}"/>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4205" name="직선 화살표 연결선 34204">
          <a:extLst>
            <a:ext uri="{FF2B5EF4-FFF2-40B4-BE49-F238E27FC236}">
              <a16:creationId xmlns:a16="http://schemas.microsoft.com/office/drawing/2014/main" id="{DB3AB4C5-6C00-49BA-9A02-4ABA663D557F}"/>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29475" name="5">
          <a:extLst>
            <a:ext uri="{FF2B5EF4-FFF2-40B4-BE49-F238E27FC236}">
              <a16:creationId xmlns:a16="http://schemas.microsoft.com/office/drawing/2014/main" id="{CC9D56A1-CAD1-47A3-9211-4CE67652321F}"/>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29476" name="직선 화살표 연결선 29475">
          <a:extLst>
            <a:ext uri="{FF2B5EF4-FFF2-40B4-BE49-F238E27FC236}">
              <a16:creationId xmlns:a16="http://schemas.microsoft.com/office/drawing/2014/main" id="{B77B0A35-1433-46C8-B1EA-B162B4C1F924}"/>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29477" name="4">
          <a:extLst>
            <a:ext uri="{FF2B5EF4-FFF2-40B4-BE49-F238E27FC236}">
              <a16:creationId xmlns:a16="http://schemas.microsoft.com/office/drawing/2014/main" id="{43419F08-9272-405D-A3E3-F61C95327D1A}"/>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29478" name="직선 화살표 연결선 29477">
          <a:extLst>
            <a:ext uri="{FF2B5EF4-FFF2-40B4-BE49-F238E27FC236}">
              <a16:creationId xmlns:a16="http://schemas.microsoft.com/office/drawing/2014/main" id="{09A579B2-4FA5-4060-BB47-FCA03E1CC514}"/>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29479" name="3">
          <a:extLst>
            <a:ext uri="{FF2B5EF4-FFF2-40B4-BE49-F238E27FC236}">
              <a16:creationId xmlns:a16="http://schemas.microsoft.com/office/drawing/2014/main" id="{79AE33BB-D93B-42BE-AC2F-1CD3AA19C9EA}"/>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29480" name="직선 화살표 연결선 29479">
          <a:extLst>
            <a:ext uri="{FF2B5EF4-FFF2-40B4-BE49-F238E27FC236}">
              <a16:creationId xmlns:a16="http://schemas.microsoft.com/office/drawing/2014/main" id="{37E03C23-E94F-47C8-9599-B257D848C389}"/>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29481" name="2">
          <a:extLst>
            <a:ext uri="{FF2B5EF4-FFF2-40B4-BE49-F238E27FC236}">
              <a16:creationId xmlns:a16="http://schemas.microsoft.com/office/drawing/2014/main" id="{0339FBD0-B7DA-4BE1-B887-75EB23EFF4C6}"/>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29482" name="직선 화살표 연결선 29481">
          <a:extLst>
            <a:ext uri="{FF2B5EF4-FFF2-40B4-BE49-F238E27FC236}">
              <a16:creationId xmlns:a16="http://schemas.microsoft.com/office/drawing/2014/main" id="{A76AF61B-3E51-4167-869F-1778176DBC16}"/>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29493" name="1">
          <a:extLst>
            <a:ext uri="{FF2B5EF4-FFF2-40B4-BE49-F238E27FC236}">
              <a16:creationId xmlns:a16="http://schemas.microsoft.com/office/drawing/2014/main" id="{89A6EC48-712D-4B9D-9E8D-59C63D939D49}"/>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29494" name="직선 화살표 연결선 29493">
          <a:extLst>
            <a:ext uri="{FF2B5EF4-FFF2-40B4-BE49-F238E27FC236}">
              <a16:creationId xmlns:a16="http://schemas.microsoft.com/office/drawing/2014/main" id="{B94F696F-227A-4699-9045-5453DDF55097}"/>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3658" name="5">
          <a:extLst>
            <a:ext uri="{FF2B5EF4-FFF2-40B4-BE49-F238E27FC236}">
              <a16:creationId xmlns:a16="http://schemas.microsoft.com/office/drawing/2014/main" id="{D2FE62A9-E8FF-4CA5-865D-7EF4F096A2CE}"/>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3659" name="직선 화살표 연결선 33658">
          <a:extLst>
            <a:ext uri="{FF2B5EF4-FFF2-40B4-BE49-F238E27FC236}">
              <a16:creationId xmlns:a16="http://schemas.microsoft.com/office/drawing/2014/main" id="{F4A3AC66-F17E-4E71-AA83-6F0D7DACA3B4}"/>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3660" name="4">
          <a:extLst>
            <a:ext uri="{FF2B5EF4-FFF2-40B4-BE49-F238E27FC236}">
              <a16:creationId xmlns:a16="http://schemas.microsoft.com/office/drawing/2014/main" id="{4BFA7B7C-141B-446E-8932-96B0812F3A9F}"/>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3661" name="직선 화살표 연결선 33660">
          <a:extLst>
            <a:ext uri="{FF2B5EF4-FFF2-40B4-BE49-F238E27FC236}">
              <a16:creationId xmlns:a16="http://schemas.microsoft.com/office/drawing/2014/main" id="{A9CFC803-963D-4F7F-AA01-7D631157BCDD}"/>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3662" name="3">
          <a:extLst>
            <a:ext uri="{FF2B5EF4-FFF2-40B4-BE49-F238E27FC236}">
              <a16:creationId xmlns:a16="http://schemas.microsoft.com/office/drawing/2014/main" id="{1C7F7713-91ED-4B8E-8467-79A2C932D89B}"/>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3663" name="직선 화살표 연결선 33662">
          <a:extLst>
            <a:ext uri="{FF2B5EF4-FFF2-40B4-BE49-F238E27FC236}">
              <a16:creationId xmlns:a16="http://schemas.microsoft.com/office/drawing/2014/main" id="{A2DF206C-A345-40F0-A2DB-03092EA8F754}"/>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0976" name="2">
          <a:extLst>
            <a:ext uri="{FF2B5EF4-FFF2-40B4-BE49-F238E27FC236}">
              <a16:creationId xmlns:a16="http://schemas.microsoft.com/office/drawing/2014/main" id="{FAEDA1E6-1C92-4EA3-A81F-C3ABC84794CE}"/>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0977" name="직선 화살표 연결선 30976">
          <a:extLst>
            <a:ext uri="{FF2B5EF4-FFF2-40B4-BE49-F238E27FC236}">
              <a16:creationId xmlns:a16="http://schemas.microsoft.com/office/drawing/2014/main" id="{5F6626E7-F80B-48B2-9150-897DE577B2D7}"/>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0978" name="1">
          <a:extLst>
            <a:ext uri="{FF2B5EF4-FFF2-40B4-BE49-F238E27FC236}">
              <a16:creationId xmlns:a16="http://schemas.microsoft.com/office/drawing/2014/main" id="{A5520B4D-3676-4E47-A5D5-5A44A366DBC8}"/>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0979" name="직선 화살표 연결선 30978">
          <a:extLst>
            <a:ext uri="{FF2B5EF4-FFF2-40B4-BE49-F238E27FC236}">
              <a16:creationId xmlns:a16="http://schemas.microsoft.com/office/drawing/2014/main" id="{0FC6418A-0946-413B-BEEA-BC5F5F5B1109}"/>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4629" name="5">
          <a:extLst>
            <a:ext uri="{FF2B5EF4-FFF2-40B4-BE49-F238E27FC236}">
              <a16:creationId xmlns:a16="http://schemas.microsoft.com/office/drawing/2014/main" id="{D7A1C22E-EBAE-42E2-912D-6BD33E0F90F2}"/>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4630" name="직선 화살표 연결선 34629">
          <a:extLst>
            <a:ext uri="{FF2B5EF4-FFF2-40B4-BE49-F238E27FC236}">
              <a16:creationId xmlns:a16="http://schemas.microsoft.com/office/drawing/2014/main" id="{35CB0835-E955-46C2-A97D-A3E1604A5DD4}"/>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4631" name="4">
          <a:extLst>
            <a:ext uri="{FF2B5EF4-FFF2-40B4-BE49-F238E27FC236}">
              <a16:creationId xmlns:a16="http://schemas.microsoft.com/office/drawing/2014/main" id="{EA5690C9-37FD-4F14-BF8B-2390093B4AEA}"/>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4632" name="직선 화살표 연결선 34631">
          <a:extLst>
            <a:ext uri="{FF2B5EF4-FFF2-40B4-BE49-F238E27FC236}">
              <a16:creationId xmlns:a16="http://schemas.microsoft.com/office/drawing/2014/main" id="{E594D3AC-E16B-42DD-8B82-7F48FBD45115}"/>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4633" name="3">
          <a:extLst>
            <a:ext uri="{FF2B5EF4-FFF2-40B4-BE49-F238E27FC236}">
              <a16:creationId xmlns:a16="http://schemas.microsoft.com/office/drawing/2014/main" id="{9213CB7F-6C99-455F-A274-066B22A2FF2B}"/>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4634" name="직선 화살표 연결선 34633">
          <a:extLst>
            <a:ext uri="{FF2B5EF4-FFF2-40B4-BE49-F238E27FC236}">
              <a16:creationId xmlns:a16="http://schemas.microsoft.com/office/drawing/2014/main" id="{7C824383-BDF9-490A-8249-20B547877213}"/>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4635" name="2">
          <a:extLst>
            <a:ext uri="{FF2B5EF4-FFF2-40B4-BE49-F238E27FC236}">
              <a16:creationId xmlns:a16="http://schemas.microsoft.com/office/drawing/2014/main" id="{48B1A9E8-B7EA-4AB4-B173-6AD8CC2F8E01}"/>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4636" name="직선 화살표 연결선 34635">
          <a:extLst>
            <a:ext uri="{FF2B5EF4-FFF2-40B4-BE49-F238E27FC236}">
              <a16:creationId xmlns:a16="http://schemas.microsoft.com/office/drawing/2014/main" id="{D4DE8CE9-9D13-42FE-8C01-C7308D9AD704}"/>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4637" name="1">
          <a:extLst>
            <a:ext uri="{FF2B5EF4-FFF2-40B4-BE49-F238E27FC236}">
              <a16:creationId xmlns:a16="http://schemas.microsoft.com/office/drawing/2014/main" id="{2331F1E6-A283-4977-A8DD-849F2D802824}"/>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4638" name="직선 화살표 연결선 34637">
          <a:extLst>
            <a:ext uri="{FF2B5EF4-FFF2-40B4-BE49-F238E27FC236}">
              <a16:creationId xmlns:a16="http://schemas.microsoft.com/office/drawing/2014/main" id="{03B9E42A-2854-4BCF-AFFD-6B0D4A16E5AB}"/>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4697" name="5">
          <a:extLst>
            <a:ext uri="{FF2B5EF4-FFF2-40B4-BE49-F238E27FC236}">
              <a16:creationId xmlns:a16="http://schemas.microsoft.com/office/drawing/2014/main" id="{AA236734-15FD-46B6-8CC8-93BEBB679D9C}"/>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4698" name="직선 화살표 연결선 34697">
          <a:extLst>
            <a:ext uri="{FF2B5EF4-FFF2-40B4-BE49-F238E27FC236}">
              <a16:creationId xmlns:a16="http://schemas.microsoft.com/office/drawing/2014/main" id="{D2E401AE-60A2-4E5A-A9C8-7478A1B98B73}"/>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4699" name="4">
          <a:extLst>
            <a:ext uri="{FF2B5EF4-FFF2-40B4-BE49-F238E27FC236}">
              <a16:creationId xmlns:a16="http://schemas.microsoft.com/office/drawing/2014/main" id="{78021863-3C6B-4D8A-9A81-43CE8A5ED374}"/>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4700" name="직선 화살표 연결선 34699">
          <a:extLst>
            <a:ext uri="{FF2B5EF4-FFF2-40B4-BE49-F238E27FC236}">
              <a16:creationId xmlns:a16="http://schemas.microsoft.com/office/drawing/2014/main" id="{DB6CC9FF-463B-4860-A221-7E0BECDBBBFC}"/>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4701" name="3">
          <a:extLst>
            <a:ext uri="{FF2B5EF4-FFF2-40B4-BE49-F238E27FC236}">
              <a16:creationId xmlns:a16="http://schemas.microsoft.com/office/drawing/2014/main" id="{6D013B08-217E-4ED1-9F37-B837B166407E}"/>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4702" name="직선 화살표 연결선 34701">
          <a:extLst>
            <a:ext uri="{FF2B5EF4-FFF2-40B4-BE49-F238E27FC236}">
              <a16:creationId xmlns:a16="http://schemas.microsoft.com/office/drawing/2014/main" id="{42179635-1046-4DFF-A7F2-C4E12581C6F5}"/>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4703" name="2">
          <a:extLst>
            <a:ext uri="{FF2B5EF4-FFF2-40B4-BE49-F238E27FC236}">
              <a16:creationId xmlns:a16="http://schemas.microsoft.com/office/drawing/2014/main" id="{64589AF1-20A4-4267-A8EB-1914C269A84C}"/>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4704" name="직선 화살표 연결선 34703">
          <a:extLst>
            <a:ext uri="{FF2B5EF4-FFF2-40B4-BE49-F238E27FC236}">
              <a16:creationId xmlns:a16="http://schemas.microsoft.com/office/drawing/2014/main" id="{BF93D2A4-0D26-48BF-BC33-3EA8D827F03D}"/>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4705" name="1">
          <a:extLst>
            <a:ext uri="{FF2B5EF4-FFF2-40B4-BE49-F238E27FC236}">
              <a16:creationId xmlns:a16="http://schemas.microsoft.com/office/drawing/2014/main" id="{74E5A2FE-EAF2-4033-977A-72421A72F8FB}"/>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4706" name="직선 화살표 연결선 34705">
          <a:extLst>
            <a:ext uri="{FF2B5EF4-FFF2-40B4-BE49-F238E27FC236}">
              <a16:creationId xmlns:a16="http://schemas.microsoft.com/office/drawing/2014/main" id="{A0B1A43F-B2AB-4BCF-80D1-C726503CB887}"/>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0980" name="5">
          <a:extLst>
            <a:ext uri="{FF2B5EF4-FFF2-40B4-BE49-F238E27FC236}">
              <a16:creationId xmlns:a16="http://schemas.microsoft.com/office/drawing/2014/main" id="{9E49273A-EF6F-4BFE-B44B-C29B0D66EE00}"/>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0981" name="직선 화살표 연결선 30980">
          <a:extLst>
            <a:ext uri="{FF2B5EF4-FFF2-40B4-BE49-F238E27FC236}">
              <a16:creationId xmlns:a16="http://schemas.microsoft.com/office/drawing/2014/main" id="{24F5F6FA-1279-4C84-8CE9-2341CA205DEA}"/>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0982" name="4">
          <a:extLst>
            <a:ext uri="{FF2B5EF4-FFF2-40B4-BE49-F238E27FC236}">
              <a16:creationId xmlns:a16="http://schemas.microsoft.com/office/drawing/2014/main" id="{0D7BF56B-473A-4398-81A5-CC36114738EC}"/>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0983" name="직선 화살표 연결선 30982">
          <a:extLst>
            <a:ext uri="{FF2B5EF4-FFF2-40B4-BE49-F238E27FC236}">
              <a16:creationId xmlns:a16="http://schemas.microsoft.com/office/drawing/2014/main" id="{44501005-DC66-46AF-8E64-E26E5927B02B}"/>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0984" name="3">
          <a:extLst>
            <a:ext uri="{FF2B5EF4-FFF2-40B4-BE49-F238E27FC236}">
              <a16:creationId xmlns:a16="http://schemas.microsoft.com/office/drawing/2014/main" id="{F253423E-0020-4BA4-9574-E6338F1D1452}"/>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0985" name="직선 화살표 연결선 30984">
          <a:extLst>
            <a:ext uri="{FF2B5EF4-FFF2-40B4-BE49-F238E27FC236}">
              <a16:creationId xmlns:a16="http://schemas.microsoft.com/office/drawing/2014/main" id="{CB94C817-67E1-4BF0-8658-723C8FBA7D4D}"/>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0986" name="2">
          <a:extLst>
            <a:ext uri="{FF2B5EF4-FFF2-40B4-BE49-F238E27FC236}">
              <a16:creationId xmlns:a16="http://schemas.microsoft.com/office/drawing/2014/main" id="{A990794D-0C8F-4A92-B471-3B2F2E2E289C}"/>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0987" name="직선 화살표 연결선 30986">
          <a:extLst>
            <a:ext uri="{FF2B5EF4-FFF2-40B4-BE49-F238E27FC236}">
              <a16:creationId xmlns:a16="http://schemas.microsoft.com/office/drawing/2014/main" id="{28E9926B-CA08-4301-A0D7-F5FBFD11B78F}"/>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0988" name="1">
          <a:extLst>
            <a:ext uri="{FF2B5EF4-FFF2-40B4-BE49-F238E27FC236}">
              <a16:creationId xmlns:a16="http://schemas.microsoft.com/office/drawing/2014/main" id="{EA322032-8794-4EB7-9FB8-6A1ADBB6645A}"/>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0989" name="직선 화살표 연결선 30988">
          <a:extLst>
            <a:ext uri="{FF2B5EF4-FFF2-40B4-BE49-F238E27FC236}">
              <a16:creationId xmlns:a16="http://schemas.microsoft.com/office/drawing/2014/main" id="{160FAD79-4601-40E6-9AC2-686DFBF1FA77}"/>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818" name="5">
          <a:extLst>
            <a:ext uri="{FF2B5EF4-FFF2-40B4-BE49-F238E27FC236}">
              <a16:creationId xmlns:a16="http://schemas.microsoft.com/office/drawing/2014/main" id="{9935C8AD-39B5-4FD2-84A0-60F8F4E0CF80}"/>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1296" name="직선 화살표 연결선 31295">
          <a:extLst>
            <a:ext uri="{FF2B5EF4-FFF2-40B4-BE49-F238E27FC236}">
              <a16:creationId xmlns:a16="http://schemas.microsoft.com/office/drawing/2014/main" id="{9DD84BF3-53F4-4071-8FDB-C97B022FCE57}"/>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1297" name="4">
          <a:extLst>
            <a:ext uri="{FF2B5EF4-FFF2-40B4-BE49-F238E27FC236}">
              <a16:creationId xmlns:a16="http://schemas.microsoft.com/office/drawing/2014/main" id="{EA0A9CB3-0144-45F2-B81B-40DB3B9D66D2}"/>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1298" name="직선 화살표 연결선 31297">
          <a:extLst>
            <a:ext uri="{FF2B5EF4-FFF2-40B4-BE49-F238E27FC236}">
              <a16:creationId xmlns:a16="http://schemas.microsoft.com/office/drawing/2014/main" id="{7B5DA121-73EC-4DBD-9782-EED3EB58C194}"/>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1299" name="3">
          <a:extLst>
            <a:ext uri="{FF2B5EF4-FFF2-40B4-BE49-F238E27FC236}">
              <a16:creationId xmlns:a16="http://schemas.microsoft.com/office/drawing/2014/main" id="{F62E74F4-4334-4A24-B8DB-2F5F87D28497}"/>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1300" name="직선 화살표 연결선 31299">
          <a:extLst>
            <a:ext uri="{FF2B5EF4-FFF2-40B4-BE49-F238E27FC236}">
              <a16:creationId xmlns:a16="http://schemas.microsoft.com/office/drawing/2014/main" id="{B8459069-6D7D-465A-8EAF-6BA8FC7DDF72}"/>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1301" name="2">
          <a:extLst>
            <a:ext uri="{FF2B5EF4-FFF2-40B4-BE49-F238E27FC236}">
              <a16:creationId xmlns:a16="http://schemas.microsoft.com/office/drawing/2014/main" id="{596D7EE2-5C5F-4F67-9A92-9FC0BCDD80EE}"/>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1302" name="직선 화살표 연결선 31301">
          <a:extLst>
            <a:ext uri="{FF2B5EF4-FFF2-40B4-BE49-F238E27FC236}">
              <a16:creationId xmlns:a16="http://schemas.microsoft.com/office/drawing/2014/main" id="{D5A2E061-F0C2-4A90-85F3-855C223607D1}"/>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1303" name="1">
          <a:extLst>
            <a:ext uri="{FF2B5EF4-FFF2-40B4-BE49-F238E27FC236}">
              <a16:creationId xmlns:a16="http://schemas.microsoft.com/office/drawing/2014/main" id="{0215DA2F-7F7D-48DE-B464-15AE71D7A0BB}"/>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1304" name="직선 화살표 연결선 31303">
          <a:extLst>
            <a:ext uri="{FF2B5EF4-FFF2-40B4-BE49-F238E27FC236}">
              <a16:creationId xmlns:a16="http://schemas.microsoft.com/office/drawing/2014/main" id="{7123D256-14F8-40BE-B032-FFDEEFD80817}"/>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29241" name="5">
          <a:extLst>
            <a:ext uri="{FF2B5EF4-FFF2-40B4-BE49-F238E27FC236}">
              <a16:creationId xmlns:a16="http://schemas.microsoft.com/office/drawing/2014/main" id="{7C6959DE-D7A1-43E4-B1A7-CE1DA0FB4DAD}"/>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29242" name="직선 화살표 연결선 29241">
          <a:extLst>
            <a:ext uri="{FF2B5EF4-FFF2-40B4-BE49-F238E27FC236}">
              <a16:creationId xmlns:a16="http://schemas.microsoft.com/office/drawing/2014/main" id="{8714E11C-499B-4DFF-9E35-5E5E8E611BD4}"/>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29243" name="4">
          <a:extLst>
            <a:ext uri="{FF2B5EF4-FFF2-40B4-BE49-F238E27FC236}">
              <a16:creationId xmlns:a16="http://schemas.microsoft.com/office/drawing/2014/main" id="{7DDC7F65-34C9-4472-ADEB-3D236F6B8CC4}"/>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29244" name="직선 화살표 연결선 29243">
          <a:extLst>
            <a:ext uri="{FF2B5EF4-FFF2-40B4-BE49-F238E27FC236}">
              <a16:creationId xmlns:a16="http://schemas.microsoft.com/office/drawing/2014/main" id="{F4D547B8-83C4-4992-8A62-5D166E6058C2}"/>
            </a:ext>
          </a:extLst>
        </xdr:cNvPr>
        <xdr:cNvCxnSpPr/>
      </xdr:nvCxnSpPr>
      <xdr:spPr>
        <a:xfrm>
          <a:off x="13952220" y="15544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29245" name="3">
          <a:extLst>
            <a:ext uri="{FF2B5EF4-FFF2-40B4-BE49-F238E27FC236}">
              <a16:creationId xmlns:a16="http://schemas.microsoft.com/office/drawing/2014/main" id="{F2D4451B-870D-4AF9-BBB7-8D1B808216BE}"/>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29246" name="직선 화살표 연결선 29245">
          <a:extLst>
            <a:ext uri="{FF2B5EF4-FFF2-40B4-BE49-F238E27FC236}">
              <a16:creationId xmlns:a16="http://schemas.microsoft.com/office/drawing/2014/main" id="{19C5A949-0BB0-4303-B13A-A646B6863E70}"/>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29247" name="2">
          <a:extLst>
            <a:ext uri="{FF2B5EF4-FFF2-40B4-BE49-F238E27FC236}">
              <a16:creationId xmlns:a16="http://schemas.microsoft.com/office/drawing/2014/main" id="{EA8E692A-2E3D-4B09-B72D-D35D61DF52BB}"/>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4688" name="직선 화살표 연결선 34687">
          <a:extLst>
            <a:ext uri="{FF2B5EF4-FFF2-40B4-BE49-F238E27FC236}">
              <a16:creationId xmlns:a16="http://schemas.microsoft.com/office/drawing/2014/main" id="{EE2B0990-54CC-40C6-8E2B-840F9AD92104}"/>
            </a:ext>
          </a:extLst>
        </xdr:cNvPr>
        <xdr:cNvCxnSpPr/>
      </xdr:nvCxnSpPr>
      <xdr:spPr>
        <a:xfrm>
          <a:off x="13952220" y="10972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4689" name="1">
          <a:extLst>
            <a:ext uri="{FF2B5EF4-FFF2-40B4-BE49-F238E27FC236}">
              <a16:creationId xmlns:a16="http://schemas.microsoft.com/office/drawing/2014/main" id="{32C45895-6639-49FC-AC22-D01CEF5509B1}"/>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4690" name="직선 화살표 연결선 34689">
          <a:extLst>
            <a:ext uri="{FF2B5EF4-FFF2-40B4-BE49-F238E27FC236}">
              <a16:creationId xmlns:a16="http://schemas.microsoft.com/office/drawing/2014/main" id="{C1B6500C-0048-495E-B5DA-B540052EF6D9}"/>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27316" name="5">
          <a:extLst>
            <a:ext uri="{FF2B5EF4-FFF2-40B4-BE49-F238E27FC236}">
              <a16:creationId xmlns:a16="http://schemas.microsoft.com/office/drawing/2014/main" id="{FBD6DC80-CE34-48B4-A935-44F6D2A7C21D}"/>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27317" name="직선 화살표 연결선 27316">
          <a:extLst>
            <a:ext uri="{FF2B5EF4-FFF2-40B4-BE49-F238E27FC236}">
              <a16:creationId xmlns:a16="http://schemas.microsoft.com/office/drawing/2014/main" id="{FD7047FE-93C6-41E3-9513-58B070717BE2}"/>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27318" name="4">
          <a:extLst>
            <a:ext uri="{FF2B5EF4-FFF2-40B4-BE49-F238E27FC236}">
              <a16:creationId xmlns:a16="http://schemas.microsoft.com/office/drawing/2014/main" id="{8DD1C7B2-D082-46AB-BCC3-178E5096A9D5}"/>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27319" name="직선 화살표 연결선 27318">
          <a:extLst>
            <a:ext uri="{FF2B5EF4-FFF2-40B4-BE49-F238E27FC236}">
              <a16:creationId xmlns:a16="http://schemas.microsoft.com/office/drawing/2014/main" id="{1DEB570B-301C-44AA-995A-706054FBD76D}"/>
            </a:ext>
          </a:extLst>
        </xdr:cNvPr>
        <xdr:cNvCxnSpPr/>
      </xdr:nvCxnSpPr>
      <xdr:spPr>
        <a:xfrm>
          <a:off x="139522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27320" name="3">
          <a:extLst>
            <a:ext uri="{FF2B5EF4-FFF2-40B4-BE49-F238E27FC236}">
              <a16:creationId xmlns:a16="http://schemas.microsoft.com/office/drawing/2014/main" id="{4E9ED49A-6942-4BC5-ACA6-C442C51DED5E}"/>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27321" name="직선 화살표 연결선 27320">
          <a:extLst>
            <a:ext uri="{FF2B5EF4-FFF2-40B4-BE49-F238E27FC236}">
              <a16:creationId xmlns:a16="http://schemas.microsoft.com/office/drawing/2014/main" id="{F041C273-F788-4A32-A6C7-F9CA0A84297B}"/>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27322" name="2">
          <a:extLst>
            <a:ext uri="{FF2B5EF4-FFF2-40B4-BE49-F238E27FC236}">
              <a16:creationId xmlns:a16="http://schemas.microsoft.com/office/drawing/2014/main" id="{ADC33B49-2CBF-43A9-812C-0E3FBD9345D9}"/>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27323" name="직선 화살표 연결선 27322">
          <a:extLst>
            <a:ext uri="{FF2B5EF4-FFF2-40B4-BE49-F238E27FC236}">
              <a16:creationId xmlns:a16="http://schemas.microsoft.com/office/drawing/2014/main" id="{45CF637C-7E1C-4012-8A64-B0F005FDA6BE}"/>
            </a:ext>
          </a:extLst>
        </xdr:cNvPr>
        <xdr:cNvCxnSpPr/>
      </xdr:nvCxnSpPr>
      <xdr:spPr>
        <a:xfrm>
          <a:off x="139522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27324" name="1">
          <a:extLst>
            <a:ext uri="{FF2B5EF4-FFF2-40B4-BE49-F238E27FC236}">
              <a16:creationId xmlns:a16="http://schemas.microsoft.com/office/drawing/2014/main" id="{B4B9DF06-BA41-4419-9944-F2BFA385CE4E}"/>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27325" name="직선 화살표 연결선 27324">
          <a:extLst>
            <a:ext uri="{FF2B5EF4-FFF2-40B4-BE49-F238E27FC236}">
              <a16:creationId xmlns:a16="http://schemas.microsoft.com/office/drawing/2014/main" id="{6AA8E10C-CAC8-49FC-95AD-A643B13B45EF}"/>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5075" name="5">
          <a:extLst>
            <a:ext uri="{FF2B5EF4-FFF2-40B4-BE49-F238E27FC236}">
              <a16:creationId xmlns:a16="http://schemas.microsoft.com/office/drawing/2014/main" id="{53CD0DC9-6B95-47E2-A117-72DD4259F42F}"/>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5076" name="직선 화살표 연결선 35075">
          <a:extLst>
            <a:ext uri="{FF2B5EF4-FFF2-40B4-BE49-F238E27FC236}">
              <a16:creationId xmlns:a16="http://schemas.microsoft.com/office/drawing/2014/main" id="{37B6D0B7-B1BD-4AC2-A7F9-B0AB2A6AE92E}"/>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5077" name="4">
          <a:extLst>
            <a:ext uri="{FF2B5EF4-FFF2-40B4-BE49-F238E27FC236}">
              <a16:creationId xmlns:a16="http://schemas.microsoft.com/office/drawing/2014/main" id="{D446D5BF-03F1-4965-BD9E-35E68CC199C0}"/>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5078" name="직선 화살표 연결선 35077">
          <a:extLst>
            <a:ext uri="{FF2B5EF4-FFF2-40B4-BE49-F238E27FC236}">
              <a16:creationId xmlns:a16="http://schemas.microsoft.com/office/drawing/2014/main" id="{18FBB38A-49D0-43D3-B6EF-A02B55D5C6F6}"/>
            </a:ext>
          </a:extLst>
        </xdr:cNvPr>
        <xdr:cNvCxnSpPr/>
      </xdr:nvCxnSpPr>
      <xdr:spPr>
        <a:xfrm>
          <a:off x="139522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5079" name="3">
          <a:extLst>
            <a:ext uri="{FF2B5EF4-FFF2-40B4-BE49-F238E27FC236}">
              <a16:creationId xmlns:a16="http://schemas.microsoft.com/office/drawing/2014/main" id="{1527FD3B-D39F-4EE0-BC2D-22A202A84B90}"/>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5080" name="직선 화살표 연결선 35079">
          <a:extLst>
            <a:ext uri="{FF2B5EF4-FFF2-40B4-BE49-F238E27FC236}">
              <a16:creationId xmlns:a16="http://schemas.microsoft.com/office/drawing/2014/main" id="{9A2F7842-B962-48D4-8139-16F1CD53C1F1}"/>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5081" name="2">
          <a:extLst>
            <a:ext uri="{FF2B5EF4-FFF2-40B4-BE49-F238E27FC236}">
              <a16:creationId xmlns:a16="http://schemas.microsoft.com/office/drawing/2014/main" id="{F7A1216B-347C-4951-BDB2-6E91437059EE}"/>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5082" name="직선 화살표 연결선 35081">
          <a:extLst>
            <a:ext uri="{FF2B5EF4-FFF2-40B4-BE49-F238E27FC236}">
              <a16:creationId xmlns:a16="http://schemas.microsoft.com/office/drawing/2014/main" id="{253EEB4B-8BBF-42D6-90FE-782FD83BBA95}"/>
            </a:ext>
          </a:extLst>
        </xdr:cNvPr>
        <xdr:cNvCxnSpPr/>
      </xdr:nvCxnSpPr>
      <xdr:spPr>
        <a:xfrm>
          <a:off x="139522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5083" name="1">
          <a:extLst>
            <a:ext uri="{FF2B5EF4-FFF2-40B4-BE49-F238E27FC236}">
              <a16:creationId xmlns:a16="http://schemas.microsoft.com/office/drawing/2014/main" id="{7E4CCCD8-B965-4E1F-B39E-4D4608913EAB}"/>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5084" name="직선 화살표 연결선 35083">
          <a:extLst>
            <a:ext uri="{FF2B5EF4-FFF2-40B4-BE49-F238E27FC236}">
              <a16:creationId xmlns:a16="http://schemas.microsoft.com/office/drawing/2014/main" id="{5C966612-3591-4FA6-8A0E-FE11D59CA84C}"/>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5505" name="5">
          <a:extLst>
            <a:ext uri="{FF2B5EF4-FFF2-40B4-BE49-F238E27FC236}">
              <a16:creationId xmlns:a16="http://schemas.microsoft.com/office/drawing/2014/main" id="{F1ED5031-0B02-4DC6-B3D9-BABC72BA9EA1}"/>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5506" name="직선 화살표 연결선 35505">
          <a:extLst>
            <a:ext uri="{FF2B5EF4-FFF2-40B4-BE49-F238E27FC236}">
              <a16:creationId xmlns:a16="http://schemas.microsoft.com/office/drawing/2014/main" id="{91E5FBBE-869D-4E33-80A8-9883896EDFF8}"/>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5507" name="4">
          <a:extLst>
            <a:ext uri="{FF2B5EF4-FFF2-40B4-BE49-F238E27FC236}">
              <a16:creationId xmlns:a16="http://schemas.microsoft.com/office/drawing/2014/main" id="{D995CDDD-5961-4D0E-81B6-7C7F7C012037}"/>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5508" name="직선 화살표 연결선 35507">
          <a:extLst>
            <a:ext uri="{FF2B5EF4-FFF2-40B4-BE49-F238E27FC236}">
              <a16:creationId xmlns:a16="http://schemas.microsoft.com/office/drawing/2014/main" id="{6BF9385A-6146-44A9-BA10-CC857A904C9A}"/>
            </a:ext>
          </a:extLst>
        </xdr:cNvPr>
        <xdr:cNvCxnSpPr/>
      </xdr:nvCxnSpPr>
      <xdr:spPr>
        <a:xfrm>
          <a:off x="139522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5509" name="3">
          <a:extLst>
            <a:ext uri="{FF2B5EF4-FFF2-40B4-BE49-F238E27FC236}">
              <a16:creationId xmlns:a16="http://schemas.microsoft.com/office/drawing/2014/main" id="{1CC60890-D2B0-4C5B-AB43-B26899A6B6E8}"/>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5510" name="직선 화살표 연결선 35509">
          <a:extLst>
            <a:ext uri="{FF2B5EF4-FFF2-40B4-BE49-F238E27FC236}">
              <a16:creationId xmlns:a16="http://schemas.microsoft.com/office/drawing/2014/main" id="{1B52C1F4-0D72-4F1B-9AFC-656F03E407D7}"/>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5511" name="2">
          <a:extLst>
            <a:ext uri="{FF2B5EF4-FFF2-40B4-BE49-F238E27FC236}">
              <a16:creationId xmlns:a16="http://schemas.microsoft.com/office/drawing/2014/main" id="{90B304DD-2DA9-42BA-8D92-3AB81D770423}"/>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5512" name="직선 화살표 연결선 35511">
          <a:extLst>
            <a:ext uri="{FF2B5EF4-FFF2-40B4-BE49-F238E27FC236}">
              <a16:creationId xmlns:a16="http://schemas.microsoft.com/office/drawing/2014/main" id="{F85D842B-D2C0-4587-9982-217BFD651665}"/>
            </a:ext>
          </a:extLst>
        </xdr:cNvPr>
        <xdr:cNvCxnSpPr/>
      </xdr:nvCxnSpPr>
      <xdr:spPr>
        <a:xfrm>
          <a:off x="139522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5513" name="1">
          <a:extLst>
            <a:ext uri="{FF2B5EF4-FFF2-40B4-BE49-F238E27FC236}">
              <a16:creationId xmlns:a16="http://schemas.microsoft.com/office/drawing/2014/main" id="{6FC356FC-8108-4463-9204-71D7A0181D93}"/>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5514" name="직선 화살표 연결선 35513">
          <a:extLst>
            <a:ext uri="{FF2B5EF4-FFF2-40B4-BE49-F238E27FC236}">
              <a16:creationId xmlns:a16="http://schemas.microsoft.com/office/drawing/2014/main" id="{B4A6BA60-411A-447F-927B-54A92B91CA5E}"/>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3611" name="5">
          <a:extLst>
            <a:ext uri="{FF2B5EF4-FFF2-40B4-BE49-F238E27FC236}">
              <a16:creationId xmlns:a16="http://schemas.microsoft.com/office/drawing/2014/main" id="{E88FFED8-4931-4782-AB07-8332EA018DC1}"/>
            </a:ext>
          </a:extLst>
        </xdr:cNvPr>
        <xdr:cNvSpPr/>
      </xdr:nvSpPr>
      <xdr:spPr>
        <a:xfrm>
          <a:off x="139522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3612" name="직선 화살표 연결선 33611">
          <a:extLst>
            <a:ext uri="{FF2B5EF4-FFF2-40B4-BE49-F238E27FC236}">
              <a16:creationId xmlns:a16="http://schemas.microsoft.com/office/drawing/2014/main" id="{50DC25CD-9FF2-479D-B339-839A51C43EA7}"/>
            </a:ext>
          </a:extLst>
        </xdr:cNvPr>
        <xdr:cNvCxnSpPr/>
      </xdr:nvCxnSpPr>
      <xdr:spPr>
        <a:xfrm>
          <a:off x="139522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3613" name="4">
          <a:extLst>
            <a:ext uri="{FF2B5EF4-FFF2-40B4-BE49-F238E27FC236}">
              <a16:creationId xmlns:a16="http://schemas.microsoft.com/office/drawing/2014/main" id="{4B07E490-129B-484F-ADCE-C1B7F251F812}"/>
            </a:ext>
          </a:extLst>
        </xdr:cNvPr>
        <xdr:cNvSpPr/>
      </xdr:nvSpPr>
      <xdr:spPr>
        <a:xfrm>
          <a:off x="139522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3614" name="직선 화살표 연결선 33613">
          <a:extLst>
            <a:ext uri="{FF2B5EF4-FFF2-40B4-BE49-F238E27FC236}">
              <a16:creationId xmlns:a16="http://schemas.microsoft.com/office/drawing/2014/main" id="{55395DAB-B2B6-435C-BF76-0498FC2A8674}"/>
            </a:ext>
          </a:extLst>
        </xdr:cNvPr>
        <xdr:cNvCxnSpPr/>
      </xdr:nvCxnSpPr>
      <xdr:spPr>
        <a:xfrm>
          <a:off x="139522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3640" name="3">
          <a:extLst>
            <a:ext uri="{FF2B5EF4-FFF2-40B4-BE49-F238E27FC236}">
              <a16:creationId xmlns:a16="http://schemas.microsoft.com/office/drawing/2014/main" id="{44240010-468E-4E43-BA7E-4EAD066DEE92}"/>
            </a:ext>
          </a:extLst>
        </xdr:cNvPr>
        <xdr:cNvSpPr/>
      </xdr:nvSpPr>
      <xdr:spPr>
        <a:xfrm>
          <a:off x="139522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3641" name="직선 화살표 연결선 33640">
          <a:extLst>
            <a:ext uri="{FF2B5EF4-FFF2-40B4-BE49-F238E27FC236}">
              <a16:creationId xmlns:a16="http://schemas.microsoft.com/office/drawing/2014/main" id="{3E3232BB-CA50-4D19-88FF-6A9F91FE5548}"/>
            </a:ext>
          </a:extLst>
        </xdr:cNvPr>
        <xdr:cNvCxnSpPr/>
      </xdr:nvCxnSpPr>
      <xdr:spPr>
        <a:xfrm>
          <a:off x="139522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3642" name="2">
          <a:extLst>
            <a:ext uri="{FF2B5EF4-FFF2-40B4-BE49-F238E27FC236}">
              <a16:creationId xmlns:a16="http://schemas.microsoft.com/office/drawing/2014/main" id="{410FA38A-0084-4A90-8FEE-8E2C0226EABE}"/>
            </a:ext>
          </a:extLst>
        </xdr:cNvPr>
        <xdr:cNvSpPr/>
      </xdr:nvSpPr>
      <xdr:spPr>
        <a:xfrm>
          <a:off x="139522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3643" name="직선 화살표 연결선 33642">
          <a:extLst>
            <a:ext uri="{FF2B5EF4-FFF2-40B4-BE49-F238E27FC236}">
              <a16:creationId xmlns:a16="http://schemas.microsoft.com/office/drawing/2014/main" id="{C9684C53-6082-4EA3-A62E-D23D53954FB5}"/>
            </a:ext>
          </a:extLst>
        </xdr:cNvPr>
        <xdr:cNvCxnSpPr/>
      </xdr:nvCxnSpPr>
      <xdr:spPr>
        <a:xfrm>
          <a:off x="139522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3644" name="1">
          <a:extLst>
            <a:ext uri="{FF2B5EF4-FFF2-40B4-BE49-F238E27FC236}">
              <a16:creationId xmlns:a16="http://schemas.microsoft.com/office/drawing/2014/main" id="{1AE892C4-797E-4ED6-9DB9-C421E6C4F358}"/>
            </a:ext>
          </a:extLst>
        </xdr:cNvPr>
        <xdr:cNvSpPr/>
      </xdr:nvSpPr>
      <xdr:spPr>
        <a:xfrm>
          <a:off x="139522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3645" name="직선 화살표 연결선 33644">
          <a:extLst>
            <a:ext uri="{FF2B5EF4-FFF2-40B4-BE49-F238E27FC236}">
              <a16:creationId xmlns:a16="http://schemas.microsoft.com/office/drawing/2014/main" id="{EEE45BCE-A295-4509-98C0-7DA4AF250A9C}"/>
            </a:ext>
          </a:extLst>
        </xdr:cNvPr>
        <xdr:cNvCxnSpPr/>
      </xdr:nvCxnSpPr>
      <xdr:spPr>
        <a:xfrm>
          <a:off x="139522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4228" name="5">
          <a:extLst>
            <a:ext uri="{FF2B5EF4-FFF2-40B4-BE49-F238E27FC236}">
              <a16:creationId xmlns:a16="http://schemas.microsoft.com/office/drawing/2014/main" id="{2968E217-B7F6-48D3-B873-EF328EE9BD6D}"/>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4229" name="직선 화살표 연결선 34228">
          <a:extLst>
            <a:ext uri="{FF2B5EF4-FFF2-40B4-BE49-F238E27FC236}">
              <a16:creationId xmlns:a16="http://schemas.microsoft.com/office/drawing/2014/main" id="{C2CBF306-868C-4300-ACF7-CA9A4E56F5A4}"/>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4230" name="4">
          <a:extLst>
            <a:ext uri="{FF2B5EF4-FFF2-40B4-BE49-F238E27FC236}">
              <a16:creationId xmlns:a16="http://schemas.microsoft.com/office/drawing/2014/main" id="{18304F99-BF95-4FB2-B3A8-5C9A95E6B970}"/>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4231" name="직선 화살표 연결선 34230">
          <a:extLst>
            <a:ext uri="{FF2B5EF4-FFF2-40B4-BE49-F238E27FC236}">
              <a16:creationId xmlns:a16="http://schemas.microsoft.com/office/drawing/2014/main" id="{CAF6D3EC-7616-44F8-9353-409A54E0E1F8}"/>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4232" name="3">
          <a:extLst>
            <a:ext uri="{FF2B5EF4-FFF2-40B4-BE49-F238E27FC236}">
              <a16:creationId xmlns:a16="http://schemas.microsoft.com/office/drawing/2014/main" id="{F6A9CC9B-AB40-4E83-AE47-5D6EBD111D00}"/>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4233" name="직선 화살표 연결선 34232">
          <a:extLst>
            <a:ext uri="{FF2B5EF4-FFF2-40B4-BE49-F238E27FC236}">
              <a16:creationId xmlns:a16="http://schemas.microsoft.com/office/drawing/2014/main" id="{4A077386-1AC3-4791-8DF5-2089FAC38E8F}"/>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4234" name="2">
          <a:extLst>
            <a:ext uri="{FF2B5EF4-FFF2-40B4-BE49-F238E27FC236}">
              <a16:creationId xmlns:a16="http://schemas.microsoft.com/office/drawing/2014/main" id="{9CCE7F89-D754-4FCB-B028-C0C76CE23941}"/>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4235" name="직선 화살표 연결선 34234">
          <a:extLst>
            <a:ext uri="{FF2B5EF4-FFF2-40B4-BE49-F238E27FC236}">
              <a16:creationId xmlns:a16="http://schemas.microsoft.com/office/drawing/2014/main" id="{6528F43E-2C0D-488A-826A-D95EF81893A0}"/>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4236" name="1">
          <a:extLst>
            <a:ext uri="{FF2B5EF4-FFF2-40B4-BE49-F238E27FC236}">
              <a16:creationId xmlns:a16="http://schemas.microsoft.com/office/drawing/2014/main" id="{4EED4E62-890E-47F4-B4A1-94241ECF7A02}"/>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4237" name="직선 화살표 연결선 34236">
          <a:extLst>
            <a:ext uri="{FF2B5EF4-FFF2-40B4-BE49-F238E27FC236}">
              <a16:creationId xmlns:a16="http://schemas.microsoft.com/office/drawing/2014/main" id="{70943F56-64CF-4CAD-ADFC-181B8603634D}"/>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1960" name="5">
          <a:extLst>
            <a:ext uri="{FF2B5EF4-FFF2-40B4-BE49-F238E27FC236}">
              <a16:creationId xmlns:a16="http://schemas.microsoft.com/office/drawing/2014/main" id="{00521A3C-C26F-47BE-AC66-DCD90A865B4D}"/>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1961" name="직선 화살표 연결선 31960">
          <a:extLst>
            <a:ext uri="{FF2B5EF4-FFF2-40B4-BE49-F238E27FC236}">
              <a16:creationId xmlns:a16="http://schemas.microsoft.com/office/drawing/2014/main" id="{AFC41291-E25B-4218-A7B5-98C32BAA9657}"/>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1962" name="4">
          <a:extLst>
            <a:ext uri="{FF2B5EF4-FFF2-40B4-BE49-F238E27FC236}">
              <a16:creationId xmlns:a16="http://schemas.microsoft.com/office/drawing/2014/main" id="{A0D092E2-2B76-4A13-B500-4326AE6CD95E}"/>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1963" name="직선 화살표 연결선 31962">
          <a:extLst>
            <a:ext uri="{FF2B5EF4-FFF2-40B4-BE49-F238E27FC236}">
              <a16:creationId xmlns:a16="http://schemas.microsoft.com/office/drawing/2014/main" id="{328F5C74-34CD-4E08-B92B-50BBBF6C2278}"/>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1964" name="3">
          <a:extLst>
            <a:ext uri="{FF2B5EF4-FFF2-40B4-BE49-F238E27FC236}">
              <a16:creationId xmlns:a16="http://schemas.microsoft.com/office/drawing/2014/main" id="{65ABD2B6-F3B6-47DE-AC39-5353D1570BAA}"/>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1965" name="직선 화살표 연결선 31964">
          <a:extLst>
            <a:ext uri="{FF2B5EF4-FFF2-40B4-BE49-F238E27FC236}">
              <a16:creationId xmlns:a16="http://schemas.microsoft.com/office/drawing/2014/main" id="{F983C424-90A4-449A-A78E-A97F15114C99}"/>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1966" name="2">
          <a:extLst>
            <a:ext uri="{FF2B5EF4-FFF2-40B4-BE49-F238E27FC236}">
              <a16:creationId xmlns:a16="http://schemas.microsoft.com/office/drawing/2014/main" id="{D633AA91-D774-4D37-8DF3-BB674A45C0A4}"/>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1967" name="직선 화살표 연결선 31966">
          <a:extLst>
            <a:ext uri="{FF2B5EF4-FFF2-40B4-BE49-F238E27FC236}">
              <a16:creationId xmlns:a16="http://schemas.microsoft.com/office/drawing/2014/main" id="{88035A6A-D632-42D9-B365-C1AD138A797E}"/>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1968" name="1">
          <a:extLst>
            <a:ext uri="{FF2B5EF4-FFF2-40B4-BE49-F238E27FC236}">
              <a16:creationId xmlns:a16="http://schemas.microsoft.com/office/drawing/2014/main" id="{FAC8C95B-0F3B-4063-927A-15339F1A3070}"/>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1969" name="직선 화살표 연결선 31968">
          <a:extLst>
            <a:ext uri="{FF2B5EF4-FFF2-40B4-BE49-F238E27FC236}">
              <a16:creationId xmlns:a16="http://schemas.microsoft.com/office/drawing/2014/main" id="{C38EB95D-EB86-4BA8-9702-18F5E19ED7E6}"/>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2823" name="5">
          <a:extLst>
            <a:ext uri="{FF2B5EF4-FFF2-40B4-BE49-F238E27FC236}">
              <a16:creationId xmlns:a16="http://schemas.microsoft.com/office/drawing/2014/main" id="{11DDF3C1-FB7C-47D1-8450-C063A5817BE9}"/>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2824" name="직선 화살표 연결선 32823">
          <a:extLst>
            <a:ext uri="{FF2B5EF4-FFF2-40B4-BE49-F238E27FC236}">
              <a16:creationId xmlns:a16="http://schemas.microsoft.com/office/drawing/2014/main" id="{AA45B8DB-EB2E-448A-823E-7F9CA52F8796}"/>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2825" name="4">
          <a:extLst>
            <a:ext uri="{FF2B5EF4-FFF2-40B4-BE49-F238E27FC236}">
              <a16:creationId xmlns:a16="http://schemas.microsoft.com/office/drawing/2014/main" id="{481FFF2E-E6D9-45A8-A0D2-D1D9CFD0FFB8}"/>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2826" name="직선 화살표 연결선 32825">
          <a:extLst>
            <a:ext uri="{FF2B5EF4-FFF2-40B4-BE49-F238E27FC236}">
              <a16:creationId xmlns:a16="http://schemas.microsoft.com/office/drawing/2014/main" id="{F435FFB4-B8EB-46B7-92A4-CFD89DF48417}"/>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2827" name="3">
          <a:extLst>
            <a:ext uri="{FF2B5EF4-FFF2-40B4-BE49-F238E27FC236}">
              <a16:creationId xmlns:a16="http://schemas.microsoft.com/office/drawing/2014/main" id="{E6AADF18-8837-4020-9355-56B83BC6A033}"/>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2828" name="직선 화살표 연결선 32827">
          <a:extLst>
            <a:ext uri="{FF2B5EF4-FFF2-40B4-BE49-F238E27FC236}">
              <a16:creationId xmlns:a16="http://schemas.microsoft.com/office/drawing/2014/main" id="{C8A3C82E-CBF1-4996-8D32-D69DBFEB22E7}"/>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2829" name="2">
          <a:extLst>
            <a:ext uri="{FF2B5EF4-FFF2-40B4-BE49-F238E27FC236}">
              <a16:creationId xmlns:a16="http://schemas.microsoft.com/office/drawing/2014/main" id="{9E1227E8-A9E1-4A2E-9022-7E7407133AF3}"/>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2830" name="직선 화살표 연결선 32829">
          <a:extLst>
            <a:ext uri="{FF2B5EF4-FFF2-40B4-BE49-F238E27FC236}">
              <a16:creationId xmlns:a16="http://schemas.microsoft.com/office/drawing/2014/main" id="{DBC252F6-3476-4668-80C0-851FE15FFFAA}"/>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2831" name="1">
          <a:extLst>
            <a:ext uri="{FF2B5EF4-FFF2-40B4-BE49-F238E27FC236}">
              <a16:creationId xmlns:a16="http://schemas.microsoft.com/office/drawing/2014/main" id="{85AE4C47-4DDC-430B-86F8-37EA0B896CF9}"/>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0080" name="직선 화살표 연결선 30079">
          <a:extLst>
            <a:ext uri="{FF2B5EF4-FFF2-40B4-BE49-F238E27FC236}">
              <a16:creationId xmlns:a16="http://schemas.microsoft.com/office/drawing/2014/main" id="{3A23250F-34C5-4C71-ADAD-18F3D6B9401E}"/>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0990" name="5">
          <a:extLst>
            <a:ext uri="{FF2B5EF4-FFF2-40B4-BE49-F238E27FC236}">
              <a16:creationId xmlns:a16="http://schemas.microsoft.com/office/drawing/2014/main" id="{6BAC30D6-BEFA-4B08-BDD5-439C196BF043}"/>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0991" name="직선 화살표 연결선 30990">
          <a:extLst>
            <a:ext uri="{FF2B5EF4-FFF2-40B4-BE49-F238E27FC236}">
              <a16:creationId xmlns:a16="http://schemas.microsoft.com/office/drawing/2014/main" id="{07BA87A4-3CB0-4FC3-94CA-C389EDC353A5}"/>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0992" name="4">
          <a:extLst>
            <a:ext uri="{FF2B5EF4-FFF2-40B4-BE49-F238E27FC236}">
              <a16:creationId xmlns:a16="http://schemas.microsoft.com/office/drawing/2014/main" id="{EEAEE5F7-4EFE-4D67-80E6-4D8480D0C629}"/>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0993" name="직선 화살표 연결선 30992">
          <a:extLst>
            <a:ext uri="{FF2B5EF4-FFF2-40B4-BE49-F238E27FC236}">
              <a16:creationId xmlns:a16="http://schemas.microsoft.com/office/drawing/2014/main" id="{2A382978-06F7-4747-9C4E-24E7D9B3C97E}"/>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0994" name="3">
          <a:extLst>
            <a:ext uri="{FF2B5EF4-FFF2-40B4-BE49-F238E27FC236}">
              <a16:creationId xmlns:a16="http://schemas.microsoft.com/office/drawing/2014/main" id="{F7FAA816-A650-48B6-BE04-5150D9A777A5}"/>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0995" name="직선 화살표 연결선 30994">
          <a:extLst>
            <a:ext uri="{FF2B5EF4-FFF2-40B4-BE49-F238E27FC236}">
              <a16:creationId xmlns:a16="http://schemas.microsoft.com/office/drawing/2014/main" id="{B58039E4-301F-41EF-873A-4AB75DA89106}"/>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0996" name="2">
          <a:extLst>
            <a:ext uri="{FF2B5EF4-FFF2-40B4-BE49-F238E27FC236}">
              <a16:creationId xmlns:a16="http://schemas.microsoft.com/office/drawing/2014/main" id="{6FB2F983-EF87-47ED-9303-12F51776A571}"/>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0997" name="직선 화살표 연결선 30996">
          <a:extLst>
            <a:ext uri="{FF2B5EF4-FFF2-40B4-BE49-F238E27FC236}">
              <a16:creationId xmlns:a16="http://schemas.microsoft.com/office/drawing/2014/main" id="{6AB8B3F3-9989-4665-84DB-11B53BDF0623}"/>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0998" name="1">
          <a:extLst>
            <a:ext uri="{FF2B5EF4-FFF2-40B4-BE49-F238E27FC236}">
              <a16:creationId xmlns:a16="http://schemas.microsoft.com/office/drawing/2014/main" id="{4D14962D-C5FA-4B7E-9E37-CDCEE00C6AAD}"/>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0999" name="직선 화살표 연결선 30998">
          <a:extLst>
            <a:ext uri="{FF2B5EF4-FFF2-40B4-BE49-F238E27FC236}">
              <a16:creationId xmlns:a16="http://schemas.microsoft.com/office/drawing/2014/main" id="{23A24D53-8EE2-4101-AA6F-28BA638A34B2}"/>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28754" name="5">
          <a:extLst>
            <a:ext uri="{FF2B5EF4-FFF2-40B4-BE49-F238E27FC236}">
              <a16:creationId xmlns:a16="http://schemas.microsoft.com/office/drawing/2014/main" id="{CE0B979F-CE0C-44BF-867A-7D74307E3901}"/>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28755" name="직선 화살표 연결선 28754">
          <a:extLst>
            <a:ext uri="{FF2B5EF4-FFF2-40B4-BE49-F238E27FC236}">
              <a16:creationId xmlns:a16="http://schemas.microsoft.com/office/drawing/2014/main" id="{FBB99215-54D0-48D1-B449-7895474BD2D3}"/>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28756" name="4">
          <a:extLst>
            <a:ext uri="{FF2B5EF4-FFF2-40B4-BE49-F238E27FC236}">
              <a16:creationId xmlns:a16="http://schemas.microsoft.com/office/drawing/2014/main" id="{15648E5E-E6DF-4DA1-B513-D29B651FF1F4}"/>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28757" name="직선 화살표 연결선 28756">
          <a:extLst>
            <a:ext uri="{FF2B5EF4-FFF2-40B4-BE49-F238E27FC236}">
              <a16:creationId xmlns:a16="http://schemas.microsoft.com/office/drawing/2014/main" id="{F632AE51-43C3-4621-8D5B-BEA31713B345}"/>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28758" name="3">
          <a:extLst>
            <a:ext uri="{FF2B5EF4-FFF2-40B4-BE49-F238E27FC236}">
              <a16:creationId xmlns:a16="http://schemas.microsoft.com/office/drawing/2014/main" id="{9CEBC2BA-7470-4224-9F04-F6EF3D4299FB}"/>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28759" name="직선 화살표 연결선 28758">
          <a:extLst>
            <a:ext uri="{FF2B5EF4-FFF2-40B4-BE49-F238E27FC236}">
              <a16:creationId xmlns:a16="http://schemas.microsoft.com/office/drawing/2014/main" id="{115E8D70-20B9-4D6E-B53F-486C4F3EDBC6}"/>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28760" name="2">
          <a:extLst>
            <a:ext uri="{FF2B5EF4-FFF2-40B4-BE49-F238E27FC236}">
              <a16:creationId xmlns:a16="http://schemas.microsoft.com/office/drawing/2014/main" id="{4FFB54A5-3449-4A47-8040-D86D235E80C9}"/>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28761" name="직선 화살표 연결선 28760">
          <a:extLst>
            <a:ext uri="{FF2B5EF4-FFF2-40B4-BE49-F238E27FC236}">
              <a16:creationId xmlns:a16="http://schemas.microsoft.com/office/drawing/2014/main" id="{2CFA4326-70B6-46F8-9C6B-9FB17036957F}"/>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28762" name="1">
          <a:extLst>
            <a:ext uri="{FF2B5EF4-FFF2-40B4-BE49-F238E27FC236}">
              <a16:creationId xmlns:a16="http://schemas.microsoft.com/office/drawing/2014/main" id="{E0301B5D-FFF7-4EE0-9DC5-1D325EA3ABAB}"/>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28763" name="직선 화살표 연결선 28762">
          <a:extLst>
            <a:ext uri="{FF2B5EF4-FFF2-40B4-BE49-F238E27FC236}">
              <a16:creationId xmlns:a16="http://schemas.microsoft.com/office/drawing/2014/main" id="{E34871BE-F7CF-477C-A853-5E378A952A8F}"/>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5097" name="5">
          <a:extLst>
            <a:ext uri="{FF2B5EF4-FFF2-40B4-BE49-F238E27FC236}">
              <a16:creationId xmlns:a16="http://schemas.microsoft.com/office/drawing/2014/main" id="{406AB005-81D0-40E4-9E76-839EB4B93F03}"/>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5098" name="직선 화살표 연결선 35097">
          <a:extLst>
            <a:ext uri="{FF2B5EF4-FFF2-40B4-BE49-F238E27FC236}">
              <a16:creationId xmlns:a16="http://schemas.microsoft.com/office/drawing/2014/main" id="{DF048E95-7CA0-4452-955C-1F2B60A08A5E}"/>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5099" name="4">
          <a:extLst>
            <a:ext uri="{FF2B5EF4-FFF2-40B4-BE49-F238E27FC236}">
              <a16:creationId xmlns:a16="http://schemas.microsoft.com/office/drawing/2014/main" id="{9978C6B1-B66B-4B6B-AEFF-9E1B4664FA1A}"/>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5100" name="직선 화살표 연결선 35099">
          <a:extLst>
            <a:ext uri="{FF2B5EF4-FFF2-40B4-BE49-F238E27FC236}">
              <a16:creationId xmlns:a16="http://schemas.microsoft.com/office/drawing/2014/main" id="{97538786-F7DE-4920-98CA-A184C6FAB960}"/>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5101" name="3">
          <a:extLst>
            <a:ext uri="{FF2B5EF4-FFF2-40B4-BE49-F238E27FC236}">
              <a16:creationId xmlns:a16="http://schemas.microsoft.com/office/drawing/2014/main" id="{0A0D57DE-EC6E-412A-A504-92E755FFC1D2}"/>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5102" name="직선 화살표 연결선 35101">
          <a:extLst>
            <a:ext uri="{FF2B5EF4-FFF2-40B4-BE49-F238E27FC236}">
              <a16:creationId xmlns:a16="http://schemas.microsoft.com/office/drawing/2014/main" id="{57371EB8-B7D2-49F9-A578-4B34E0049AE8}"/>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5103" name="2">
          <a:extLst>
            <a:ext uri="{FF2B5EF4-FFF2-40B4-BE49-F238E27FC236}">
              <a16:creationId xmlns:a16="http://schemas.microsoft.com/office/drawing/2014/main" id="{B9C1F0A5-EDEC-45E3-BD0F-3E7801B46E98}"/>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5104" name="직선 화살표 연결선 35103">
          <a:extLst>
            <a:ext uri="{FF2B5EF4-FFF2-40B4-BE49-F238E27FC236}">
              <a16:creationId xmlns:a16="http://schemas.microsoft.com/office/drawing/2014/main" id="{E5F93C82-6979-4E6A-BE28-428793F6FCF8}"/>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5105" name="1">
          <a:extLst>
            <a:ext uri="{FF2B5EF4-FFF2-40B4-BE49-F238E27FC236}">
              <a16:creationId xmlns:a16="http://schemas.microsoft.com/office/drawing/2014/main" id="{F39445F6-DFB7-4607-A0B4-62F8198728FC}"/>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5106" name="직선 화살표 연결선 35105">
          <a:extLst>
            <a:ext uri="{FF2B5EF4-FFF2-40B4-BE49-F238E27FC236}">
              <a16:creationId xmlns:a16="http://schemas.microsoft.com/office/drawing/2014/main" id="{DFF0C6A6-B37E-42E7-A8A3-8F6D3D0CA627}"/>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5809" name="5">
          <a:extLst>
            <a:ext uri="{FF2B5EF4-FFF2-40B4-BE49-F238E27FC236}">
              <a16:creationId xmlns:a16="http://schemas.microsoft.com/office/drawing/2014/main" id="{5F658D18-5777-4957-AB47-A98F976D8A19}"/>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5810" name="직선 화살표 연결선 35809">
          <a:extLst>
            <a:ext uri="{FF2B5EF4-FFF2-40B4-BE49-F238E27FC236}">
              <a16:creationId xmlns:a16="http://schemas.microsoft.com/office/drawing/2014/main" id="{F166BC6B-13BB-486A-8704-45C3A0E7C188}"/>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5811" name="4">
          <a:extLst>
            <a:ext uri="{FF2B5EF4-FFF2-40B4-BE49-F238E27FC236}">
              <a16:creationId xmlns:a16="http://schemas.microsoft.com/office/drawing/2014/main" id="{D9492972-7771-428D-A3A9-82CA19219381}"/>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5812" name="직선 화살표 연결선 35811">
          <a:extLst>
            <a:ext uri="{FF2B5EF4-FFF2-40B4-BE49-F238E27FC236}">
              <a16:creationId xmlns:a16="http://schemas.microsoft.com/office/drawing/2014/main" id="{7983181E-0C40-44CA-ADCF-57E6B43DC113}"/>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5813" name="3">
          <a:extLst>
            <a:ext uri="{FF2B5EF4-FFF2-40B4-BE49-F238E27FC236}">
              <a16:creationId xmlns:a16="http://schemas.microsoft.com/office/drawing/2014/main" id="{679B31D7-C835-42DC-894A-A495DD276C76}"/>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5814" name="직선 화살표 연결선 35813">
          <a:extLst>
            <a:ext uri="{FF2B5EF4-FFF2-40B4-BE49-F238E27FC236}">
              <a16:creationId xmlns:a16="http://schemas.microsoft.com/office/drawing/2014/main" id="{8336330C-D576-4399-A08A-75C3BA22B0A4}"/>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5815" name="2">
          <a:extLst>
            <a:ext uri="{FF2B5EF4-FFF2-40B4-BE49-F238E27FC236}">
              <a16:creationId xmlns:a16="http://schemas.microsoft.com/office/drawing/2014/main" id="{B00595B0-F47F-479A-A636-EF8B1FB4A5CB}"/>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5816" name="직선 화살표 연결선 35815">
          <a:extLst>
            <a:ext uri="{FF2B5EF4-FFF2-40B4-BE49-F238E27FC236}">
              <a16:creationId xmlns:a16="http://schemas.microsoft.com/office/drawing/2014/main" id="{111239EB-94E7-47FB-8B7E-F69DC96BDFFC}"/>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5817" name="1">
          <a:extLst>
            <a:ext uri="{FF2B5EF4-FFF2-40B4-BE49-F238E27FC236}">
              <a16:creationId xmlns:a16="http://schemas.microsoft.com/office/drawing/2014/main" id="{14730655-DB6A-4484-A6B7-84FE5A92B29F}"/>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5818" name="직선 화살표 연결선 35817">
          <a:extLst>
            <a:ext uri="{FF2B5EF4-FFF2-40B4-BE49-F238E27FC236}">
              <a16:creationId xmlns:a16="http://schemas.microsoft.com/office/drawing/2014/main" id="{E3F8DDDD-5487-44BC-88DA-9684ECB40524}"/>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8</xdr:row>
      <xdr:rowOff>59055</xdr:rowOff>
    </xdr:from>
    <xdr:to>
      <xdr:col>31</xdr:col>
      <xdr:colOff>0</xdr:colOff>
      <xdr:row>8</xdr:row>
      <xdr:rowOff>173355</xdr:rowOff>
    </xdr:to>
    <xdr:sp macro="" textlink="">
      <xdr:nvSpPr>
        <xdr:cNvPr id="36219" name="5">
          <a:extLst>
            <a:ext uri="{FF2B5EF4-FFF2-40B4-BE49-F238E27FC236}">
              <a16:creationId xmlns:a16="http://schemas.microsoft.com/office/drawing/2014/main" id="{41104DA3-C020-41AC-A3D7-A6553F3DCC23}"/>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8</xdr:row>
      <xdr:rowOff>116205</xdr:rowOff>
    </xdr:from>
    <xdr:to>
      <xdr:col>31</xdr:col>
      <xdr:colOff>0</xdr:colOff>
      <xdr:row>8</xdr:row>
      <xdr:rowOff>116205</xdr:rowOff>
    </xdr:to>
    <xdr:cxnSp macro="">
      <xdr:nvCxnSpPr>
        <xdr:cNvPr id="36220" name="직선 화살표 연결선 36219">
          <a:extLst>
            <a:ext uri="{FF2B5EF4-FFF2-40B4-BE49-F238E27FC236}">
              <a16:creationId xmlns:a16="http://schemas.microsoft.com/office/drawing/2014/main" id="{56437CAF-D3DF-460F-B28B-DE26AEF81365}"/>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7</xdr:row>
      <xdr:rowOff>59055</xdr:rowOff>
    </xdr:from>
    <xdr:to>
      <xdr:col>31</xdr:col>
      <xdr:colOff>0</xdr:colOff>
      <xdr:row>7</xdr:row>
      <xdr:rowOff>173355</xdr:rowOff>
    </xdr:to>
    <xdr:sp macro="" textlink="">
      <xdr:nvSpPr>
        <xdr:cNvPr id="36221" name="4">
          <a:extLst>
            <a:ext uri="{FF2B5EF4-FFF2-40B4-BE49-F238E27FC236}">
              <a16:creationId xmlns:a16="http://schemas.microsoft.com/office/drawing/2014/main" id="{2485F019-1FEE-4FC3-924B-11973358C17D}"/>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7</xdr:row>
      <xdr:rowOff>116205</xdr:rowOff>
    </xdr:from>
    <xdr:to>
      <xdr:col>31</xdr:col>
      <xdr:colOff>0</xdr:colOff>
      <xdr:row>7</xdr:row>
      <xdr:rowOff>116205</xdr:rowOff>
    </xdr:to>
    <xdr:cxnSp macro="">
      <xdr:nvCxnSpPr>
        <xdr:cNvPr id="36222" name="직선 화살표 연결선 36221">
          <a:extLst>
            <a:ext uri="{FF2B5EF4-FFF2-40B4-BE49-F238E27FC236}">
              <a16:creationId xmlns:a16="http://schemas.microsoft.com/office/drawing/2014/main" id="{DECB3EED-8C4A-4CBF-B72B-BD99C3AAE6DE}"/>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6</xdr:row>
      <xdr:rowOff>59055</xdr:rowOff>
    </xdr:from>
    <xdr:to>
      <xdr:col>31</xdr:col>
      <xdr:colOff>0</xdr:colOff>
      <xdr:row>6</xdr:row>
      <xdr:rowOff>173355</xdr:rowOff>
    </xdr:to>
    <xdr:sp macro="" textlink="">
      <xdr:nvSpPr>
        <xdr:cNvPr id="36223" name="3">
          <a:extLst>
            <a:ext uri="{FF2B5EF4-FFF2-40B4-BE49-F238E27FC236}">
              <a16:creationId xmlns:a16="http://schemas.microsoft.com/office/drawing/2014/main" id="{3F2348CF-AC57-4766-AA6D-6FB6A2A7398C}"/>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6</xdr:row>
      <xdr:rowOff>116205</xdr:rowOff>
    </xdr:from>
    <xdr:to>
      <xdr:col>31</xdr:col>
      <xdr:colOff>0</xdr:colOff>
      <xdr:row>6</xdr:row>
      <xdr:rowOff>116205</xdr:rowOff>
    </xdr:to>
    <xdr:cxnSp macro="">
      <xdr:nvCxnSpPr>
        <xdr:cNvPr id="36224" name="직선 화살표 연결선 36223">
          <a:extLst>
            <a:ext uri="{FF2B5EF4-FFF2-40B4-BE49-F238E27FC236}">
              <a16:creationId xmlns:a16="http://schemas.microsoft.com/office/drawing/2014/main" id="{59277F8B-397A-4A11-B05C-D937C2079156}"/>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5</xdr:row>
      <xdr:rowOff>59055</xdr:rowOff>
    </xdr:from>
    <xdr:to>
      <xdr:col>31</xdr:col>
      <xdr:colOff>0</xdr:colOff>
      <xdr:row>5</xdr:row>
      <xdr:rowOff>173355</xdr:rowOff>
    </xdr:to>
    <xdr:sp macro="" textlink="">
      <xdr:nvSpPr>
        <xdr:cNvPr id="36225" name="2">
          <a:extLst>
            <a:ext uri="{FF2B5EF4-FFF2-40B4-BE49-F238E27FC236}">
              <a16:creationId xmlns:a16="http://schemas.microsoft.com/office/drawing/2014/main" id="{2E38FA58-D3F1-4DCC-B122-CA250F0CFD67}"/>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5</xdr:row>
      <xdr:rowOff>116205</xdr:rowOff>
    </xdr:from>
    <xdr:to>
      <xdr:col>31</xdr:col>
      <xdr:colOff>0</xdr:colOff>
      <xdr:row>5</xdr:row>
      <xdr:rowOff>116205</xdr:rowOff>
    </xdr:to>
    <xdr:cxnSp macro="">
      <xdr:nvCxnSpPr>
        <xdr:cNvPr id="36226" name="직선 화살표 연결선 36225">
          <a:extLst>
            <a:ext uri="{FF2B5EF4-FFF2-40B4-BE49-F238E27FC236}">
              <a16:creationId xmlns:a16="http://schemas.microsoft.com/office/drawing/2014/main" id="{4AA283AB-B55E-48DA-B14B-7F127FB35E07}"/>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541020</xdr:colOff>
      <xdr:row>4</xdr:row>
      <xdr:rowOff>59055</xdr:rowOff>
    </xdr:from>
    <xdr:to>
      <xdr:col>31</xdr:col>
      <xdr:colOff>0</xdr:colOff>
      <xdr:row>4</xdr:row>
      <xdr:rowOff>173355</xdr:rowOff>
    </xdr:to>
    <xdr:sp macro="" textlink="">
      <xdr:nvSpPr>
        <xdr:cNvPr id="36227" name="1">
          <a:extLst>
            <a:ext uri="{FF2B5EF4-FFF2-40B4-BE49-F238E27FC236}">
              <a16:creationId xmlns:a16="http://schemas.microsoft.com/office/drawing/2014/main" id="{3D133DE3-14E1-47B8-98B8-05C362868D53}"/>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541020</xdr:colOff>
      <xdr:row>4</xdr:row>
      <xdr:rowOff>116205</xdr:rowOff>
    </xdr:from>
    <xdr:to>
      <xdr:col>31</xdr:col>
      <xdr:colOff>0</xdr:colOff>
      <xdr:row>4</xdr:row>
      <xdr:rowOff>116205</xdr:rowOff>
    </xdr:to>
    <xdr:cxnSp macro="">
      <xdr:nvCxnSpPr>
        <xdr:cNvPr id="36228" name="직선 화살표 연결선 36227">
          <a:extLst>
            <a:ext uri="{FF2B5EF4-FFF2-40B4-BE49-F238E27FC236}">
              <a16:creationId xmlns:a16="http://schemas.microsoft.com/office/drawing/2014/main" id="{8703E2BC-5D4F-4B67-8362-0CD3BFA7B768}"/>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211</xdr:row>
      <xdr:rowOff>228599</xdr:rowOff>
    </xdr:to>
    <xdr:cxnSp macro="">
      <xdr:nvCxnSpPr>
        <xdr:cNvPr id="36229" name="직선 화살표 연결선 36228">
          <a:extLst>
            <a:ext uri="{FF2B5EF4-FFF2-40B4-BE49-F238E27FC236}">
              <a16:creationId xmlns:a16="http://schemas.microsoft.com/office/drawing/2014/main" id="{96F65BCA-9C98-4EE1-AF9E-925ECD097BD9}"/>
            </a:ext>
          </a:extLst>
        </xdr:cNvPr>
        <xdr:cNvCxnSpPr/>
      </xdr:nvCxnSpPr>
      <xdr:spPr>
        <a:xfrm>
          <a:off x="26601421" y="754253"/>
          <a:ext cx="0" cy="475489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xdr:colOff>
      <xdr:row>3</xdr:row>
      <xdr:rowOff>76073</xdr:rowOff>
    </xdr:from>
    <xdr:to>
      <xdr:col>63</xdr:col>
      <xdr:colOff>1</xdr:colOff>
      <xdr:row>211</xdr:row>
      <xdr:rowOff>228599</xdr:rowOff>
    </xdr:to>
    <xdr:cxnSp macro="">
      <xdr:nvCxnSpPr>
        <xdr:cNvPr id="36230" name="직선 화살표 연결선 36229">
          <a:extLst>
            <a:ext uri="{FF2B5EF4-FFF2-40B4-BE49-F238E27FC236}">
              <a16:creationId xmlns:a16="http://schemas.microsoft.com/office/drawing/2014/main" id="{A4C933EF-4E2E-4DC2-BC9C-5CC4BB302B03}"/>
            </a:ext>
          </a:extLst>
        </xdr:cNvPr>
        <xdr:cNvCxnSpPr/>
      </xdr:nvCxnSpPr>
      <xdr:spPr>
        <a:xfrm>
          <a:off x="38793421" y="754253"/>
          <a:ext cx="0" cy="475489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xdr:colOff>
      <xdr:row>3</xdr:row>
      <xdr:rowOff>76073</xdr:rowOff>
    </xdr:from>
    <xdr:to>
      <xdr:col>79</xdr:col>
      <xdr:colOff>1</xdr:colOff>
      <xdr:row>211</xdr:row>
      <xdr:rowOff>228599</xdr:rowOff>
    </xdr:to>
    <xdr:cxnSp macro="">
      <xdr:nvCxnSpPr>
        <xdr:cNvPr id="36231" name="직선 화살표 연결선 36230">
          <a:extLst>
            <a:ext uri="{FF2B5EF4-FFF2-40B4-BE49-F238E27FC236}">
              <a16:creationId xmlns:a16="http://schemas.microsoft.com/office/drawing/2014/main" id="{6F6F62F4-3F42-4D5D-B5E0-8612291DAE8D}"/>
            </a:ext>
          </a:extLst>
        </xdr:cNvPr>
        <xdr:cNvCxnSpPr/>
      </xdr:nvCxnSpPr>
      <xdr:spPr>
        <a:xfrm>
          <a:off x="50985421" y="754253"/>
          <a:ext cx="0" cy="475489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1</xdr:colOff>
      <xdr:row>3</xdr:row>
      <xdr:rowOff>76073</xdr:rowOff>
    </xdr:from>
    <xdr:to>
      <xdr:col>95</xdr:col>
      <xdr:colOff>1</xdr:colOff>
      <xdr:row>211</xdr:row>
      <xdr:rowOff>228599</xdr:rowOff>
    </xdr:to>
    <xdr:cxnSp macro="">
      <xdr:nvCxnSpPr>
        <xdr:cNvPr id="36232" name="직선 화살표 연결선 36231">
          <a:extLst>
            <a:ext uri="{FF2B5EF4-FFF2-40B4-BE49-F238E27FC236}">
              <a16:creationId xmlns:a16="http://schemas.microsoft.com/office/drawing/2014/main" id="{E79CFBBA-2870-4F46-92B6-873AD12A347F}"/>
            </a:ext>
          </a:extLst>
        </xdr:cNvPr>
        <xdr:cNvCxnSpPr/>
      </xdr:nvCxnSpPr>
      <xdr:spPr>
        <a:xfrm>
          <a:off x="63177421" y="754253"/>
          <a:ext cx="0" cy="475489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xdr:row>
      <xdr:rowOff>76073</xdr:rowOff>
    </xdr:from>
    <xdr:to>
      <xdr:col>36</xdr:col>
      <xdr:colOff>62049</xdr:colOff>
      <xdr:row>211</xdr:row>
      <xdr:rowOff>228599</xdr:rowOff>
    </xdr:to>
    <xdr:cxnSp macro="">
      <xdr:nvCxnSpPr>
        <xdr:cNvPr id="36233" name="직선 화살표 연결선 36232">
          <a:extLst>
            <a:ext uri="{FF2B5EF4-FFF2-40B4-BE49-F238E27FC236}">
              <a16:creationId xmlns:a16="http://schemas.microsoft.com/office/drawing/2014/main" id="{1DD0B770-53F0-42C0-BADC-75D74E295282}"/>
            </a:ext>
          </a:extLst>
        </xdr:cNvPr>
        <xdr:cNvCxnSpPr/>
      </xdr:nvCxnSpPr>
      <xdr:spPr>
        <a:xfrm>
          <a:off x="15195369" y="754253"/>
          <a:ext cx="0" cy="4754892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xdr:colOff>
      <xdr:row>211</xdr:row>
      <xdr:rowOff>57149</xdr:rowOff>
    </xdr:from>
    <xdr:to>
      <xdr:col>64</xdr:col>
      <xdr:colOff>104684</xdr:colOff>
      <xdr:row>211</xdr:row>
      <xdr:rowOff>171449</xdr:rowOff>
    </xdr:to>
    <xdr:sp macro="" textlink="">
      <xdr:nvSpPr>
        <xdr:cNvPr id="36234" name="208">
          <a:extLst>
            <a:ext uri="{FF2B5EF4-FFF2-40B4-BE49-F238E27FC236}">
              <a16:creationId xmlns:a16="http://schemas.microsoft.com/office/drawing/2014/main" id="{5DC99500-84EA-4582-9A69-FCD2597D654D}"/>
            </a:ext>
          </a:extLst>
        </xdr:cNvPr>
        <xdr:cNvSpPr/>
      </xdr:nvSpPr>
      <xdr:spPr>
        <a:xfrm>
          <a:off x="19187161" y="4813172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xdr:colOff>
      <xdr:row>211</xdr:row>
      <xdr:rowOff>114299</xdr:rowOff>
    </xdr:from>
    <xdr:to>
      <xdr:col>64</xdr:col>
      <xdr:colOff>1</xdr:colOff>
      <xdr:row>211</xdr:row>
      <xdr:rowOff>114299</xdr:rowOff>
    </xdr:to>
    <xdr:cxnSp macro="">
      <xdr:nvCxnSpPr>
        <xdr:cNvPr id="36235" name="직선 화살표 연결선 36234">
          <a:extLst>
            <a:ext uri="{FF2B5EF4-FFF2-40B4-BE49-F238E27FC236}">
              <a16:creationId xmlns:a16="http://schemas.microsoft.com/office/drawing/2014/main" id="{68A440BC-01E1-49DB-98D6-DDEA681DC1FB}"/>
            </a:ext>
          </a:extLst>
        </xdr:cNvPr>
        <xdr:cNvCxnSpPr/>
      </xdr:nvCxnSpPr>
      <xdr:spPr>
        <a:xfrm>
          <a:off x="19187161" y="48188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210</xdr:row>
      <xdr:rowOff>57149</xdr:rowOff>
    </xdr:from>
    <xdr:to>
      <xdr:col>63</xdr:col>
      <xdr:colOff>104684</xdr:colOff>
      <xdr:row>210</xdr:row>
      <xdr:rowOff>171449</xdr:rowOff>
    </xdr:to>
    <xdr:sp macro="" textlink="">
      <xdr:nvSpPr>
        <xdr:cNvPr id="36236" name="207">
          <a:extLst>
            <a:ext uri="{FF2B5EF4-FFF2-40B4-BE49-F238E27FC236}">
              <a16:creationId xmlns:a16="http://schemas.microsoft.com/office/drawing/2014/main" id="{964FB50A-95E2-48F3-A08A-76B2A67BD3BE}"/>
            </a:ext>
          </a:extLst>
        </xdr:cNvPr>
        <xdr:cNvSpPr/>
      </xdr:nvSpPr>
      <xdr:spPr>
        <a:xfrm>
          <a:off x="19042380" y="4790312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210</xdr:row>
      <xdr:rowOff>114299</xdr:rowOff>
    </xdr:from>
    <xdr:to>
      <xdr:col>63</xdr:col>
      <xdr:colOff>0</xdr:colOff>
      <xdr:row>210</xdr:row>
      <xdr:rowOff>114299</xdr:rowOff>
    </xdr:to>
    <xdr:cxnSp macro="">
      <xdr:nvCxnSpPr>
        <xdr:cNvPr id="36237" name="직선 화살표 연결선 36236">
          <a:extLst>
            <a:ext uri="{FF2B5EF4-FFF2-40B4-BE49-F238E27FC236}">
              <a16:creationId xmlns:a16="http://schemas.microsoft.com/office/drawing/2014/main" id="{D2464E42-076F-4DAD-9D56-9A7C75009534}"/>
            </a:ext>
          </a:extLst>
        </xdr:cNvPr>
        <xdr:cNvCxnSpPr/>
      </xdr:nvCxnSpPr>
      <xdr:spPr>
        <a:xfrm>
          <a:off x="19042380" y="47960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209</xdr:row>
      <xdr:rowOff>57149</xdr:rowOff>
    </xdr:from>
    <xdr:to>
      <xdr:col>64</xdr:col>
      <xdr:colOff>104684</xdr:colOff>
      <xdr:row>209</xdr:row>
      <xdr:rowOff>171449</xdr:rowOff>
    </xdr:to>
    <xdr:sp macro="" textlink="">
      <xdr:nvSpPr>
        <xdr:cNvPr id="36238" name="206">
          <a:extLst>
            <a:ext uri="{FF2B5EF4-FFF2-40B4-BE49-F238E27FC236}">
              <a16:creationId xmlns:a16="http://schemas.microsoft.com/office/drawing/2014/main" id="{FEB621E1-4B54-41E7-B26B-5B83952D9F5B}"/>
            </a:ext>
          </a:extLst>
        </xdr:cNvPr>
        <xdr:cNvSpPr/>
      </xdr:nvSpPr>
      <xdr:spPr>
        <a:xfrm>
          <a:off x="19042380" y="4767452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209</xdr:row>
      <xdr:rowOff>114299</xdr:rowOff>
    </xdr:from>
    <xdr:to>
      <xdr:col>63</xdr:col>
      <xdr:colOff>0</xdr:colOff>
      <xdr:row>209</xdr:row>
      <xdr:rowOff>114299</xdr:rowOff>
    </xdr:to>
    <xdr:cxnSp macro="">
      <xdr:nvCxnSpPr>
        <xdr:cNvPr id="36239" name="직선 화살표 연결선 36238">
          <a:extLst>
            <a:ext uri="{FF2B5EF4-FFF2-40B4-BE49-F238E27FC236}">
              <a16:creationId xmlns:a16="http://schemas.microsoft.com/office/drawing/2014/main" id="{AF877864-648E-4B96-8F6F-AD62BF2364FD}"/>
            </a:ext>
          </a:extLst>
        </xdr:cNvPr>
        <xdr:cNvCxnSpPr/>
      </xdr:nvCxnSpPr>
      <xdr:spPr>
        <a:xfrm>
          <a:off x="19042380" y="47731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103415</xdr:colOff>
      <xdr:row>208</xdr:row>
      <xdr:rowOff>57149</xdr:rowOff>
    </xdr:from>
    <xdr:to>
      <xdr:col>65</xdr:col>
      <xdr:colOff>125367</xdr:colOff>
      <xdr:row>208</xdr:row>
      <xdr:rowOff>171449</xdr:rowOff>
    </xdr:to>
    <xdr:sp macro="" textlink="">
      <xdr:nvSpPr>
        <xdr:cNvPr id="36240" name="205">
          <a:extLst>
            <a:ext uri="{FF2B5EF4-FFF2-40B4-BE49-F238E27FC236}">
              <a16:creationId xmlns:a16="http://schemas.microsoft.com/office/drawing/2014/main" id="{6276A44A-A0EF-4932-8F3A-66E174595C32}"/>
            </a:ext>
          </a:extLst>
        </xdr:cNvPr>
        <xdr:cNvSpPr/>
      </xdr:nvSpPr>
      <xdr:spPr>
        <a:xfrm>
          <a:off x="19435355" y="474459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103415</xdr:colOff>
      <xdr:row>208</xdr:row>
      <xdr:rowOff>114299</xdr:rowOff>
    </xdr:from>
    <xdr:to>
      <xdr:col>65</xdr:col>
      <xdr:colOff>103415</xdr:colOff>
      <xdr:row>208</xdr:row>
      <xdr:rowOff>114299</xdr:rowOff>
    </xdr:to>
    <xdr:cxnSp macro="">
      <xdr:nvCxnSpPr>
        <xdr:cNvPr id="36241" name="직선 화살표 연결선 36240">
          <a:extLst>
            <a:ext uri="{FF2B5EF4-FFF2-40B4-BE49-F238E27FC236}">
              <a16:creationId xmlns:a16="http://schemas.microsoft.com/office/drawing/2014/main" id="{9FDADA72-EAB9-402B-A4FD-216EE4972485}"/>
            </a:ext>
          </a:extLst>
        </xdr:cNvPr>
        <xdr:cNvCxnSpPr/>
      </xdr:nvCxnSpPr>
      <xdr:spPr>
        <a:xfrm>
          <a:off x="19435355" y="47503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82731</xdr:colOff>
      <xdr:row>207</xdr:row>
      <xdr:rowOff>57149</xdr:rowOff>
    </xdr:from>
    <xdr:to>
      <xdr:col>65</xdr:col>
      <xdr:colOff>104684</xdr:colOff>
      <xdr:row>207</xdr:row>
      <xdr:rowOff>171449</xdr:rowOff>
    </xdr:to>
    <xdr:sp macro="" textlink="">
      <xdr:nvSpPr>
        <xdr:cNvPr id="36242" name="204">
          <a:extLst>
            <a:ext uri="{FF2B5EF4-FFF2-40B4-BE49-F238E27FC236}">
              <a16:creationId xmlns:a16="http://schemas.microsoft.com/office/drawing/2014/main" id="{F5EB16AA-2DB9-4979-9FC5-BD1809376E5F}"/>
            </a:ext>
          </a:extLst>
        </xdr:cNvPr>
        <xdr:cNvSpPr/>
      </xdr:nvSpPr>
      <xdr:spPr>
        <a:xfrm>
          <a:off x="19414671" y="47217329"/>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82731</xdr:colOff>
      <xdr:row>207</xdr:row>
      <xdr:rowOff>114299</xdr:rowOff>
    </xdr:from>
    <xdr:to>
      <xdr:col>65</xdr:col>
      <xdr:colOff>82731</xdr:colOff>
      <xdr:row>207</xdr:row>
      <xdr:rowOff>114299</xdr:rowOff>
    </xdr:to>
    <xdr:cxnSp macro="">
      <xdr:nvCxnSpPr>
        <xdr:cNvPr id="36243" name="직선 화살표 연결선 36242">
          <a:extLst>
            <a:ext uri="{FF2B5EF4-FFF2-40B4-BE49-F238E27FC236}">
              <a16:creationId xmlns:a16="http://schemas.microsoft.com/office/drawing/2014/main" id="{F162CEA8-0CB2-4CA5-8734-12F3FB655A0B}"/>
            </a:ext>
          </a:extLst>
        </xdr:cNvPr>
        <xdr:cNvCxnSpPr/>
      </xdr:nvCxnSpPr>
      <xdr:spPr>
        <a:xfrm>
          <a:off x="19414671" y="47274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62048</xdr:colOff>
      <xdr:row>206</xdr:row>
      <xdr:rowOff>57149</xdr:rowOff>
    </xdr:from>
    <xdr:to>
      <xdr:col>65</xdr:col>
      <xdr:colOff>84000</xdr:colOff>
      <xdr:row>206</xdr:row>
      <xdr:rowOff>171449</xdr:rowOff>
    </xdr:to>
    <xdr:sp macro="" textlink="">
      <xdr:nvSpPr>
        <xdr:cNvPr id="36244" name="203">
          <a:extLst>
            <a:ext uri="{FF2B5EF4-FFF2-40B4-BE49-F238E27FC236}">
              <a16:creationId xmlns:a16="http://schemas.microsoft.com/office/drawing/2014/main" id="{75BBA3FD-2FBA-428F-B67F-E4426F7486E0}"/>
            </a:ext>
          </a:extLst>
        </xdr:cNvPr>
        <xdr:cNvSpPr/>
      </xdr:nvSpPr>
      <xdr:spPr>
        <a:xfrm>
          <a:off x="19393988" y="469887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62048</xdr:colOff>
      <xdr:row>206</xdr:row>
      <xdr:rowOff>114299</xdr:rowOff>
    </xdr:from>
    <xdr:to>
      <xdr:col>65</xdr:col>
      <xdr:colOff>62048</xdr:colOff>
      <xdr:row>206</xdr:row>
      <xdr:rowOff>114299</xdr:rowOff>
    </xdr:to>
    <xdr:cxnSp macro="">
      <xdr:nvCxnSpPr>
        <xdr:cNvPr id="36245" name="직선 화살표 연결선 36244">
          <a:extLst>
            <a:ext uri="{FF2B5EF4-FFF2-40B4-BE49-F238E27FC236}">
              <a16:creationId xmlns:a16="http://schemas.microsoft.com/office/drawing/2014/main" id="{D7121929-AC21-426F-878F-E1785BF329A4}"/>
            </a:ext>
          </a:extLst>
        </xdr:cNvPr>
        <xdr:cNvCxnSpPr/>
      </xdr:nvCxnSpPr>
      <xdr:spPr>
        <a:xfrm>
          <a:off x="19393988" y="47045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62048</xdr:colOff>
      <xdr:row>205</xdr:row>
      <xdr:rowOff>57149</xdr:rowOff>
    </xdr:from>
    <xdr:to>
      <xdr:col>65</xdr:col>
      <xdr:colOff>84000</xdr:colOff>
      <xdr:row>205</xdr:row>
      <xdr:rowOff>171449</xdr:rowOff>
    </xdr:to>
    <xdr:sp macro="" textlink="">
      <xdr:nvSpPr>
        <xdr:cNvPr id="36246" name="202">
          <a:extLst>
            <a:ext uri="{FF2B5EF4-FFF2-40B4-BE49-F238E27FC236}">
              <a16:creationId xmlns:a16="http://schemas.microsoft.com/office/drawing/2014/main" id="{BDDE4A9F-7CF3-4CDA-B0D8-648EBB8F5557}"/>
            </a:ext>
          </a:extLst>
        </xdr:cNvPr>
        <xdr:cNvSpPr/>
      </xdr:nvSpPr>
      <xdr:spPr>
        <a:xfrm>
          <a:off x="19393988" y="467601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62048</xdr:colOff>
      <xdr:row>205</xdr:row>
      <xdr:rowOff>114299</xdr:rowOff>
    </xdr:from>
    <xdr:to>
      <xdr:col>65</xdr:col>
      <xdr:colOff>62048</xdr:colOff>
      <xdr:row>205</xdr:row>
      <xdr:rowOff>114299</xdr:rowOff>
    </xdr:to>
    <xdr:cxnSp macro="">
      <xdr:nvCxnSpPr>
        <xdr:cNvPr id="36247" name="직선 화살표 연결선 36246">
          <a:extLst>
            <a:ext uri="{FF2B5EF4-FFF2-40B4-BE49-F238E27FC236}">
              <a16:creationId xmlns:a16="http://schemas.microsoft.com/office/drawing/2014/main" id="{1BAEA119-67BA-4617-BE4C-A5EA2865FB4A}"/>
            </a:ext>
          </a:extLst>
        </xdr:cNvPr>
        <xdr:cNvCxnSpPr/>
      </xdr:nvCxnSpPr>
      <xdr:spPr>
        <a:xfrm>
          <a:off x="19393988" y="46817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20683</xdr:colOff>
      <xdr:row>204</xdr:row>
      <xdr:rowOff>57149</xdr:rowOff>
    </xdr:from>
    <xdr:to>
      <xdr:col>65</xdr:col>
      <xdr:colOff>63318</xdr:colOff>
      <xdr:row>204</xdr:row>
      <xdr:rowOff>171449</xdr:rowOff>
    </xdr:to>
    <xdr:sp macro="" textlink="">
      <xdr:nvSpPr>
        <xdr:cNvPr id="36248" name="201">
          <a:extLst>
            <a:ext uri="{FF2B5EF4-FFF2-40B4-BE49-F238E27FC236}">
              <a16:creationId xmlns:a16="http://schemas.microsoft.com/office/drawing/2014/main" id="{DD474362-116F-4984-BEB7-4E04B3FB7AB4}"/>
            </a:ext>
          </a:extLst>
        </xdr:cNvPr>
        <xdr:cNvSpPr/>
      </xdr:nvSpPr>
      <xdr:spPr>
        <a:xfrm>
          <a:off x="19352623" y="46531529"/>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20683</xdr:colOff>
      <xdr:row>204</xdr:row>
      <xdr:rowOff>114299</xdr:rowOff>
    </xdr:from>
    <xdr:to>
      <xdr:col>65</xdr:col>
      <xdr:colOff>20683</xdr:colOff>
      <xdr:row>204</xdr:row>
      <xdr:rowOff>114299</xdr:rowOff>
    </xdr:to>
    <xdr:cxnSp macro="">
      <xdr:nvCxnSpPr>
        <xdr:cNvPr id="36249" name="직선 화살표 연결선 36248">
          <a:extLst>
            <a:ext uri="{FF2B5EF4-FFF2-40B4-BE49-F238E27FC236}">
              <a16:creationId xmlns:a16="http://schemas.microsoft.com/office/drawing/2014/main" id="{7AC20B4E-1158-429D-A256-E7F630D0B53D}"/>
            </a:ext>
          </a:extLst>
        </xdr:cNvPr>
        <xdr:cNvCxnSpPr/>
      </xdr:nvCxnSpPr>
      <xdr:spPr>
        <a:xfrm>
          <a:off x="19352623" y="46588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20683</xdr:colOff>
      <xdr:row>203</xdr:row>
      <xdr:rowOff>57149</xdr:rowOff>
    </xdr:from>
    <xdr:to>
      <xdr:col>65</xdr:col>
      <xdr:colOff>63318</xdr:colOff>
      <xdr:row>203</xdr:row>
      <xdr:rowOff>171449</xdr:rowOff>
    </xdr:to>
    <xdr:sp macro="" textlink="">
      <xdr:nvSpPr>
        <xdr:cNvPr id="36250" name="200">
          <a:extLst>
            <a:ext uri="{FF2B5EF4-FFF2-40B4-BE49-F238E27FC236}">
              <a16:creationId xmlns:a16="http://schemas.microsoft.com/office/drawing/2014/main" id="{0AAB65EE-46BB-4D54-A657-BB43ADC0215E}"/>
            </a:ext>
          </a:extLst>
        </xdr:cNvPr>
        <xdr:cNvSpPr/>
      </xdr:nvSpPr>
      <xdr:spPr>
        <a:xfrm>
          <a:off x="19352623" y="46302929"/>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20683</xdr:colOff>
      <xdr:row>203</xdr:row>
      <xdr:rowOff>114299</xdr:rowOff>
    </xdr:from>
    <xdr:to>
      <xdr:col>65</xdr:col>
      <xdr:colOff>20683</xdr:colOff>
      <xdr:row>203</xdr:row>
      <xdr:rowOff>114299</xdr:rowOff>
    </xdr:to>
    <xdr:cxnSp macro="">
      <xdr:nvCxnSpPr>
        <xdr:cNvPr id="36251" name="직선 화살표 연결선 36250">
          <a:extLst>
            <a:ext uri="{FF2B5EF4-FFF2-40B4-BE49-F238E27FC236}">
              <a16:creationId xmlns:a16="http://schemas.microsoft.com/office/drawing/2014/main" id="{96984A6C-0BFF-4C9A-ABED-E0E920B50CCA}"/>
            </a:ext>
          </a:extLst>
        </xdr:cNvPr>
        <xdr:cNvCxnSpPr/>
      </xdr:nvCxnSpPr>
      <xdr:spPr>
        <a:xfrm>
          <a:off x="19352623" y="46360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144779</xdr:colOff>
      <xdr:row>202</xdr:row>
      <xdr:rowOff>57149</xdr:rowOff>
    </xdr:from>
    <xdr:to>
      <xdr:col>65</xdr:col>
      <xdr:colOff>42636</xdr:colOff>
      <xdr:row>202</xdr:row>
      <xdr:rowOff>171449</xdr:rowOff>
    </xdr:to>
    <xdr:sp macro="" textlink="">
      <xdr:nvSpPr>
        <xdr:cNvPr id="36252" name="199">
          <a:extLst>
            <a:ext uri="{FF2B5EF4-FFF2-40B4-BE49-F238E27FC236}">
              <a16:creationId xmlns:a16="http://schemas.microsoft.com/office/drawing/2014/main" id="{5F65B51E-E626-47C3-A529-DBEBC65CB63C}"/>
            </a:ext>
          </a:extLst>
        </xdr:cNvPr>
        <xdr:cNvSpPr/>
      </xdr:nvSpPr>
      <xdr:spPr>
        <a:xfrm>
          <a:off x="19331939" y="46074329"/>
          <a:ext cx="426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144779</xdr:colOff>
      <xdr:row>202</xdr:row>
      <xdr:rowOff>114299</xdr:rowOff>
    </xdr:from>
    <xdr:to>
      <xdr:col>64</xdr:col>
      <xdr:colOff>144779</xdr:colOff>
      <xdr:row>202</xdr:row>
      <xdr:rowOff>114299</xdr:rowOff>
    </xdr:to>
    <xdr:cxnSp macro="">
      <xdr:nvCxnSpPr>
        <xdr:cNvPr id="36253" name="직선 화살표 연결선 36252">
          <a:extLst>
            <a:ext uri="{FF2B5EF4-FFF2-40B4-BE49-F238E27FC236}">
              <a16:creationId xmlns:a16="http://schemas.microsoft.com/office/drawing/2014/main" id="{6C8DF042-33A4-4D7F-BD66-94918BB9A8F2}"/>
            </a:ext>
          </a:extLst>
        </xdr:cNvPr>
        <xdr:cNvCxnSpPr/>
      </xdr:nvCxnSpPr>
      <xdr:spPr>
        <a:xfrm>
          <a:off x="19331939" y="46131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144779</xdr:colOff>
      <xdr:row>201</xdr:row>
      <xdr:rowOff>57149</xdr:rowOff>
    </xdr:from>
    <xdr:to>
      <xdr:col>65</xdr:col>
      <xdr:colOff>84000</xdr:colOff>
      <xdr:row>201</xdr:row>
      <xdr:rowOff>171449</xdr:rowOff>
    </xdr:to>
    <xdr:sp macro="" textlink="">
      <xdr:nvSpPr>
        <xdr:cNvPr id="36254" name="198">
          <a:extLst>
            <a:ext uri="{FF2B5EF4-FFF2-40B4-BE49-F238E27FC236}">
              <a16:creationId xmlns:a16="http://schemas.microsoft.com/office/drawing/2014/main" id="{4AE1E628-B217-4A7F-9E34-3C6BE73E1178}"/>
            </a:ext>
          </a:extLst>
        </xdr:cNvPr>
        <xdr:cNvSpPr/>
      </xdr:nvSpPr>
      <xdr:spPr>
        <a:xfrm>
          <a:off x="19331939" y="45845729"/>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144779</xdr:colOff>
      <xdr:row>201</xdr:row>
      <xdr:rowOff>114299</xdr:rowOff>
    </xdr:from>
    <xdr:to>
      <xdr:col>64</xdr:col>
      <xdr:colOff>144779</xdr:colOff>
      <xdr:row>201</xdr:row>
      <xdr:rowOff>114299</xdr:rowOff>
    </xdr:to>
    <xdr:cxnSp macro="">
      <xdr:nvCxnSpPr>
        <xdr:cNvPr id="36255" name="직선 화살표 연결선 36254">
          <a:extLst>
            <a:ext uri="{FF2B5EF4-FFF2-40B4-BE49-F238E27FC236}">
              <a16:creationId xmlns:a16="http://schemas.microsoft.com/office/drawing/2014/main" id="{CD119085-C2B2-4A92-BCF7-0E62A61D076E}"/>
            </a:ext>
          </a:extLst>
        </xdr:cNvPr>
        <xdr:cNvCxnSpPr/>
      </xdr:nvCxnSpPr>
      <xdr:spPr>
        <a:xfrm>
          <a:off x="19331939" y="45902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144779</xdr:colOff>
      <xdr:row>200</xdr:row>
      <xdr:rowOff>57149</xdr:rowOff>
    </xdr:from>
    <xdr:to>
      <xdr:col>65</xdr:col>
      <xdr:colOff>125367</xdr:colOff>
      <xdr:row>200</xdr:row>
      <xdr:rowOff>171449</xdr:rowOff>
    </xdr:to>
    <xdr:sp macro="" textlink="">
      <xdr:nvSpPr>
        <xdr:cNvPr id="36256" name="197">
          <a:extLst>
            <a:ext uri="{FF2B5EF4-FFF2-40B4-BE49-F238E27FC236}">
              <a16:creationId xmlns:a16="http://schemas.microsoft.com/office/drawing/2014/main" id="{637CBC15-3B6E-42A4-A12C-DAA2B0E36AB5}"/>
            </a:ext>
          </a:extLst>
        </xdr:cNvPr>
        <xdr:cNvSpPr/>
      </xdr:nvSpPr>
      <xdr:spPr>
        <a:xfrm>
          <a:off x="19331939" y="45617129"/>
          <a:ext cx="1253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144779</xdr:colOff>
      <xdr:row>200</xdr:row>
      <xdr:rowOff>114299</xdr:rowOff>
    </xdr:from>
    <xdr:to>
      <xdr:col>64</xdr:col>
      <xdr:colOff>144779</xdr:colOff>
      <xdr:row>200</xdr:row>
      <xdr:rowOff>114299</xdr:rowOff>
    </xdr:to>
    <xdr:cxnSp macro="">
      <xdr:nvCxnSpPr>
        <xdr:cNvPr id="36257" name="직선 화살표 연결선 36256">
          <a:extLst>
            <a:ext uri="{FF2B5EF4-FFF2-40B4-BE49-F238E27FC236}">
              <a16:creationId xmlns:a16="http://schemas.microsoft.com/office/drawing/2014/main" id="{6E29A11B-326C-4A45-ABBA-1F9CC31E3418}"/>
            </a:ext>
          </a:extLst>
        </xdr:cNvPr>
        <xdr:cNvCxnSpPr/>
      </xdr:nvCxnSpPr>
      <xdr:spPr>
        <a:xfrm>
          <a:off x="19331939" y="45674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103414</xdr:colOff>
      <xdr:row>199</xdr:row>
      <xdr:rowOff>57149</xdr:rowOff>
    </xdr:from>
    <xdr:to>
      <xdr:col>64</xdr:col>
      <xdr:colOff>125367</xdr:colOff>
      <xdr:row>199</xdr:row>
      <xdr:rowOff>171449</xdr:rowOff>
    </xdr:to>
    <xdr:sp macro="" textlink="">
      <xdr:nvSpPr>
        <xdr:cNvPr id="36258" name="196">
          <a:extLst>
            <a:ext uri="{FF2B5EF4-FFF2-40B4-BE49-F238E27FC236}">
              <a16:creationId xmlns:a16="http://schemas.microsoft.com/office/drawing/2014/main" id="{AD6E7029-87A7-4D2B-9A37-BA6AD9261332}"/>
            </a:ext>
          </a:extLst>
        </xdr:cNvPr>
        <xdr:cNvSpPr/>
      </xdr:nvSpPr>
      <xdr:spPr>
        <a:xfrm>
          <a:off x="19290574" y="45388529"/>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103414</xdr:colOff>
      <xdr:row>199</xdr:row>
      <xdr:rowOff>114299</xdr:rowOff>
    </xdr:from>
    <xdr:to>
      <xdr:col>64</xdr:col>
      <xdr:colOff>103414</xdr:colOff>
      <xdr:row>199</xdr:row>
      <xdr:rowOff>114299</xdr:rowOff>
    </xdr:to>
    <xdr:cxnSp macro="">
      <xdr:nvCxnSpPr>
        <xdr:cNvPr id="36259" name="직선 화살표 연결선 36258">
          <a:extLst>
            <a:ext uri="{FF2B5EF4-FFF2-40B4-BE49-F238E27FC236}">
              <a16:creationId xmlns:a16="http://schemas.microsoft.com/office/drawing/2014/main" id="{9955AD67-9189-4DA7-9394-21D1CB23991E}"/>
            </a:ext>
          </a:extLst>
        </xdr:cNvPr>
        <xdr:cNvCxnSpPr/>
      </xdr:nvCxnSpPr>
      <xdr:spPr>
        <a:xfrm>
          <a:off x="19290574" y="45445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198</xdr:row>
      <xdr:rowOff>57149</xdr:rowOff>
    </xdr:from>
    <xdr:to>
      <xdr:col>64</xdr:col>
      <xdr:colOff>84002</xdr:colOff>
      <xdr:row>198</xdr:row>
      <xdr:rowOff>171449</xdr:rowOff>
    </xdr:to>
    <xdr:sp macro="" textlink="">
      <xdr:nvSpPr>
        <xdr:cNvPr id="36260" name="195">
          <a:extLst>
            <a:ext uri="{FF2B5EF4-FFF2-40B4-BE49-F238E27FC236}">
              <a16:creationId xmlns:a16="http://schemas.microsoft.com/office/drawing/2014/main" id="{ABC359B5-D3BB-4B98-AF08-0EE81127C6EB}"/>
            </a:ext>
          </a:extLst>
        </xdr:cNvPr>
        <xdr:cNvSpPr/>
      </xdr:nvSpPr>
      <xdr:spPr>
        <a:xfrm>
          <a:off x="19249208" y="451599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198</xdr:row>
      <xdr:rowOff>114299</xdr:rowOff>
    </xdr:from>
    <xdr:to>
      <xdr:col>64</xdr:col>
      <xdr:colOff>62048</xdr:colOff>
      <xdr:row>198</xdr:row>
      <xdr:rowOff>114299</xdr:rowOff>
    </xdr:to>
    <xdr:cxnSp macro="">
      <xdr:nvCxnSpPr>
        <xdr:cNvPr id="36261" name="직선 화살표 연결선 36260">
          <a:extLst>
            <a:ext uri="{FF2B5EF4-FFF2-40B4-BE49-F238E27FC236}">
              <a16:creationId xmlns:a16="http://schemas.microsoft.com/office/drawing/2014/main" id="{0E21B8F4-23AA-4E40-BA05-4FBF10B3D6E5}"/>
            </a:ext>
          </a:extLst>
        </xdr:cNvPr>
        <xdr:cNvCxnSpPr/>
      </xdr:nvCxnSpPr>
      <xdr:spPr>
        <a:xfrm>
          <a:off x="19249208" y="45217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197</xdr:row>
      <xdr:rowOff>57149</xdr:rowOff>
    </xdr:from>
    <xdr:to>
      <xdr:col>64</xdr:col>
      <xdr:colOff>84002</xdr:colOff>
      <xdr:row>197</xdr:row>
      <xdr:rowOff>171449</xdr:rowOff>
    </xdr:to>
    <xdr:sp macro="" textlink="">
      <xdr:nvSpPr>
        <xdr:cNvPr id="36262" name="194">
          <a:extLst>
            <a:ext uri="{FF2B5EF4-FFF2-40B4-BE49-F238E27FC236}">
              <a16:creationId xmlns:a16="http://schemas.microsoft.com/office/drawing/2014/main" id="{134967BD-219D-4C63-824B-FE66184A1AED}"/>
            </a:ext>
          </a:extLst>
        </xdr:cNvPr>
        <xdr:cNvSpPr/>
      </xdr:nvSpPr>
      <xdr:spPr>
        <a:xfrm>
          <a:off x="19249208" y="449313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197</xdr:row>
      <xdr:rowOff>114299</xdr:rowOff>
    </xdr:from>
    <xdr:to>
      <xdr:col>64</xdr:col>
      <xdr:colOff>62048</xdr:colOff>
      <xdr:row>197</xdr:row>
      <xdr:rowOff>114299</xdr:rowOff>
    </xdr:to>
    <xdr:cxnSp macro="">
      <xdr:nvCxnSpPr>
        <xdr:cNvPr id="36263" name="직선 화살표 연결선 36262">
          <a:extLst>
            <a:ext uri="{FF2B5EF4-FFF2-40B4-BE49-F238E27FC236}">
              <a16:creationId xmlns:a16="http://schemas.microsoft.com/office/drawing/2014/main" id="{78B4C7FA-BF63-40A3-9340-78B4398229DC}"/>
            </a:ext>
          </a:extLst>
        </xdr:cNvPr>
        <xdr:cNvCxnSpPr/>
      </xdr:nvCxnSpPr>
      <xdr:spPr>
        <a:xfrm>
          <a:off x="19249208" y="44988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196</xdr:row>
      <xdr:rowOff>57149</xdr:rowOff>
    </xdr:from>
    <xdr:to>
      <xdr:col>64</xdr:col>
      <xdr:colOff>84002</xdr:colOff>
      <xdr:row>196</xdr:row>
      <xdr:rowOff>171449</xdr:rowOff>
    </xdr:to>
    <xdr:sp macro="" textlink="">
      <xdr:nvSpPr>
        <xdr:cNvPr id="36264" name="193">
          <a:extLst>
            <a:ext uri="{FF2B5EF4-FFF2-40B4-BE49-F238E27FC236}">
              <a16:creationId xmlns:a16="http://schemas.microsoft.com/office/drawing/2014/main" id="{5A50F2BB-BE6D-4633-A877-750A459548ED}"/>
            </a:ext>
          </a:extLst>
        </xdr:cNvPr>
        <xdr:cNvSpPr/>
      </xdr:nvSpPr>
      <xdr:spPr>
        <a:xfrm>
          <a:off x="19249208" y="447027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196</xdr:row>
      <xdr:rowOff>114299</xdr:rowOff>
    </xdr:from>
    <xdr:to>
      <xdr:col>64</xdr:col>
      <xdr:colOff>62048</xdr:colOff>
      <xdr:row>196</xdr:row>
      <xdr:rowOff>114299</xdr:rowOff>
    </xdr:to>
    <xdr:cxnSp macro="">
      <xdr:nvCxnSpPr>
        <xdr:cNvPr id="36265" name="직선 화살표 연결선 36264">
          <a:extLst>
            <a:ext uri="{FF2B5EF4-FFF2-40B4-BE49-F238E27FC236}">
              <a16:creationId xmlns:a16="http://schemas.microsoft.com/office/drawing/2014/main" id="{FE3BA357-78C5-4A7E-B456-D2F1E0484D3C}"/>
            </a:ext>
          </a:extLst>
        </xdr:cNvPr>
        <xdr:cNvCxnSpPr/>
      </xdr:nvCxnSpPr>
      <xdr:spPr>
        <a:xfrm>
          <a:off x="19249208" y="44759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195</xdr:row>
      <xdr:rowOff>57149</xdr:rowOff>
    </xdr:from>
    <xdr:to>
      <xdr:col>64</xdr:col>
      <xdr:colOff>84002</xdr:colOff>
      <xdr:row>195</xdr:row>
      <xdr:rowOff>171449</xdr:rowOff>
    </xdr:to>
    <xdr:sp macro="" textlink="">
      <xdr:nvSpPr>
        <xdr:cNvPr id="36266" name="192">
          <a:extLst>
            <a:ext uri="{FF2B5EF4-FFF2-40B4-BE49-F238E27FC236}">
              <a16:creationId xmlns:a16="http://schemas.microsoft.com/office/drawing/2014/main" id="{B5013DE8-829F-4A48-B419-56A868648D53}"/>
            </a:ext>
          </a:extLst>
        </xdr:cNvPr>
        <xdr:cNvSpPr/>
      </xdr:nvSpPr>
      <xdr:spPr>
        <a:xfrm>
          <a:off x="19249208" y="444741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195</xdr:row>
      <xdr:rowOff>114299</xdr:rowOff>
    </xdr:from>
    <xdr:to>
      <xdr:col>64</xdr:col>
      <xdr:colOff>62048</xdr:colOff>
      <xdr:row>195</xdr:row>
      <xdr:rowOff>114299</xdr:rowOff>
    </xdr:to>
    <xdr:cxnSp macro="">
      <xdr:nvCxnSpPr>
        <xdr:cNvPr id="36267" name="직선 화살표 연결선 36266">
          <a:extLst>
            <a:ext uri="{FF2B5EF4-FFF2-40B4-BE49-F238E27FC236}">
              <a16:creationId xmlns:a16="http://schemas.microsoft.com/office/drawing/2014/main" id="{F61D87B2-95D3-45C7-88FE-9472F8E69041}"/>
            </a:ext>
          </a:extLst>
        </xdr:cNvPr>
        <xdr:cNvCxnSpPr/>
      </xdr:nvCxnSpPr>
      <xdr:spPr>
        <a:xfrm>
          <a:off x="19249208" y="44531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194</xdr:row>
      <xdr:rowOff>57149</xdr:rowOff>
    </xdr:from>
    <xdr:to>
      <xdr:col>64</xdr:col>
      <xdr:colOff>84002</xdr:colOff>
      <xdr:row>194</xdr:row>
      <xdr:rowOff>171449</xdr:rowOff>
    </xdr:to>
    <xdr:sp macro="" textlink="">
      <xdr:nvSpPr>
        <xdr:cNvPr id="36268" name="191">
          <a:extLst>
            <a:ext uri="{FF2B5EF4-FFF2-40B4-BE49-F238E27FC236}">
              <a16:creationId xmlns:a16="http://schemas.microsoft.com/office/drawing/2014/main" id="{4B42A47D-A3E0-4AD4-999E-7D29E5E90455}"/>
            </a:ext>
          </a:extLst>
        </xdr:cNvPr>
        <xdr:cNvSpPr/>
      </xdr:nvSpPr>
      <xdr:spPr>
        <a:xfrm>
          <a:off x="19249208" y="442455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194</xdr:row>
      <xdr:rowOff>114299</xdr:rowOff>
    </xdr:from>
    <xdr:to>
      <xdr:col>64</xdr:col>
      <xdr:colOff>62048</xdr:colOff>
      <xdr:row>194</xdr:row>
      <xdr:rowOff>114299</xdr:rowOff>
    </xdr:to>
    <xdr:cxnSp macro="">
      <xdr:nvCxnSpPr>
        <xdr:cNvPr id="36269" name="직선 화살표 연결선 36268">
          <a:extLst>
            <a:ext uri="{FF2B5EF4-FFF2-40B4-BE49-F238E27FC236}">
              <a16:creationId xmlns:a16="http://schemas.microsoft.com/office/drawing/2014/main" id="{8343F122-1778-4125-94C0-0FAE9986A2DA}"/>
            </a:ext>
          </a:extLst>
        </xdr:cNvPr>
        <xdr:cNvCxnSpPr/>
      </xdr:nvCxnSpPr>
      <xdr:spPr>
        <a:xfrm>
          <a:off x="19249208" y="44302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193</xdr:row>
      <xdr:rowOff>57149</xdr:rowOff>
    </xdr:from>
    <xdr:to>
      <xdr:col>64</xdr:col>
      <xdr:colOff>84002</xdr:colOff>
      <xdr:row>193</xdr:row>
      <xdr:rowOff>171449</xdr:rowOff>
    </xdr:to>
    <xdr:sp macro="" textlink="">
      <xdr:nvSpPr>
        <xdr:cNvPr id="36270" name="190">
          <a:extLst>
            <a:ext uri="{FF2B5EF4-FFF2-40B4-BE49-F238E27FC236}">
              <a16:creationId xmlns:a16="http://schemas.microsoft.com/office/drawing/2014/main" id="{E03981DE-96BD-4322-87FF-4479AAAF8EFF}"/>
            </a:ext>
          </a:extLst>
        </xdr:cNvPr>
        <xdr:cNvSpPr/>
      </xdr:nvSpPr>
      <xdr:spPr>
        <a:xfrm>
          <a:off x="19249208" y="440169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193</xdr:row>
      <xdr:rowOff>114299</xdr:rowOff>
    </xdr:from>
    <xdr:to>
      <xdr:col>64</xdr:col>
      <xdr:colOff>62048</xdr:colOff>
      <xdr:row>193</xdr:row>
      <xdr:rowOff>114299</xdr:rowOff>
    </xdr:to>
    <xdr:cxnSp macro="">
      <xdr:nvCxnSpPr>
        <xdr:cNvPr id="36271" name="직선 화살표 연결선 36270">
          <a:extLst>
            <a:ext uri="{FF2B5EF4-FFF2-40B4-BE49-F238E27FC236}">
              <a16:creationId xmlns:a16="http://schemas.microsoft.com/office/drawing/2014/main" id="{883F7EFD-7E31-4D10-9BB6-FEC99AEDE01C}"/>
            </a:ext>
          </a:extLst>
        </xdr:cNvPr>
        <xdr:cNvCxnSpPr/>
      </xdr:nvCxnSpPr>
      <xdr:spPr>
        <a:xfrm>
          <a:off x="19249208" y="44074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192</xdr:row>
      <xdr:rowOff>57149</xdr:rowOff>
    </xdr:from>
    <xdr:to>
      <xdr:col>64</xdr:col>
      <xdr:colOff>84002</xdr:colOff>
      <xdr:row>192</xdr:row>
      <xdr:rowOff>171449</xdr:rowOff>
    </xdr:to>
    <xdr:sp macro="" textlink="">
      <xdr:nvSpPr>
        <xdr:cNvPr id="36272" name="189">
          <a:extLst>
            <a:ext uri="{FF2B5EF4-FFF2-40B4-BE49-F238E27FC236}">
              <a16:creationId xmlns:a16="http://schemas.microsoft.com/office/drawing/2014/main" id="{717643BA-DCE3-477B-BD15-73A827140719}"/>
            </a:ext>
          </a:extLst>
        </xdr:cNvPr>
        <xdr:cNvSpPr/>
      </xdr:nvSpPr>
      <xdr:spPr>
        <a:xfrm>
          <a:off x="19249208" y="43788329"/>
          <a:ext cx="219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192</xdr:row>
      <xdr:rowOff>114299</xdr:rowOff>
    </xdr:from>
    <xdr:to>
      <xdr:col>64</xdr:col>
      <xdr:colOff>62048</xdr:colOff>
      <xdr:row>192</xdr:row>
      <xdr:rowOff>114299</xdr:rowOff>
    </xdr:to>
    <xdr:cxnSp macro="">
      <xdr:nvCxnSpPr>
        <xdr:cNvPr id="36273" name="직선 화살표 연결선 36272">
          <a:extLst>
            <a:ext uri="{FF2B5EF4-FFF2-40B4-BE49-F238E27FC236}">
              <a16:creationId xmlns:a16="http://schemas.microsoft.com/office/drawing/2014/main" id="{F0995DB8-A4CF-45C7-8812-F4A93C002287}"/>
            </a:ext>
          </a:extLst>
        </xdr:cNvPr>
        <xdr:cNvCxnSpPr/>
      </xdr:nvCxnSpPr>
      <xdr:spPr>
        <a:xfrm>
          <a:off x="19249208" y="43845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82732</xdr:colOff>
      <xdr:row>191</xdr:row>
      <xdr:rowOff>57149</xdr:rowOff>
    </xdr:from>
    <xdr:to>
      <xdr:col>64</xdr:col>
      <xdr:colOff>104684</xdr:colOff>
      <xdr:row>191</xdr:row>
      <xdr:rowOff>171449</xdr:rowOff>
    </xdr:to>
    <xdr:sp macro="" textlink="">
      <xdr:nvSpPr>
        <xdr:cNvPr id="36274" name="188">
          <a:extLst>
            <a:ext uri="{FF2B5EF4-FFF2-40B4-BE49-F238E27FC236}">
              <a16:creationId xmlns:a16="http://schemas.microsoft.com/office/drawing/2014/main" id="{7841818F-5503-4AFC-BBAC-33D3D23E9BE9}"/>
            </a:ext>
          </a:extLst>
        </xdr:cNvPr>
        <xdr:cNvSpPr/>
      </xdr:nvSpPr>
      <xdr:spPr>
        <a:xfrm>
          <a:off x="19269892" y="435597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82732</xdr:colOff>
      <xdr:row>191</xdr:row>
      <xdr:rowOff>114299</xdr:rowOff>
    </xdr:from>
    <xdr:to>
      <xdr:col>64</xdr:col>
      <xdr:colOff>82732</xdr:colOff>
      <xdr:row>191</xdr:row>
      <xdr:rowOff>114299</xdr:rowOff>
    </xdr:to>
    <xdr:cxnSp macro="">
      <xdr:nvCxnSpPr>
        <xdr:cNvPr id="36275" name="직선 화살표 연결선 36274">
          <a:extLst>
            <a:ext uri="{FF2B5EF4-FFF2-40B4-BE49-F238E27FC236}">
              <a16:creationId xmlns:a16="http://schemas.microsoft.com/office/drawing/2014/main" id="{B0660048-8182-4C73-B867-9C45D4F43200}"/>
            </a:ext>
          </a:extLst>
        </xdr:cNvPr>
        <xdr:cNvCxnSpPr/>
      </xdr:nvCxnSpPr>
      <xdr:spPr>
        <a:xfrm>
          <a:off x="19269892" y="43616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82732</xdr:colOff>
      <xdr:row>190</xdr:row>
      <xdr:rowOff>57149</xdr:rowOff>
    </xdr:from>
    <xdr:to>
      <xdr:col>64</xdr:col>
      <xdr:colOff>104684</xdr:colOff>
      <xdr:row>190</xdr:row>
      <xdr:rowOff>171449</xdr:rowOff>
    </xdr:to>
    <xdr:sp macro="" textlink="">
      <xdr:nvSpPr>
        <xdr:cNvPr id="36276" name="187">
          <a:extLst>
            <a:ext uri="{FF2B5EF4-FFF2-40B4-BE49-F238E27FC236}">
              <a16:creationId xmlns:a16="http://schemas.microsoft.com/office/drawing/2014/main" id="{ABFD8ED3-5CF1-40A3-B0CD-BDEED4E66FDE}"/>
            </a:ext>
          </a:extLst>
        </xdr:cNvPr>
        <xdr:cNvSpPr/>
      </xdr:nvSpPr>
      <xdr:spPr>
        <a:xfrm>
          <a:off x="19269892" y="433311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82732</xdr:colOff>
      <xdr:row>190</xdr:row>
      <xdr:rowOff>114299</xdr:rowOff>
    </xdr:from>
    <xdr:to>
      <xdr:col>64</xdr:col>
      <xdr:colOff>82732</xdr:colOff>
      <xdr:row>190</xdr:row>
      <xdr:rowOff>114299</xdr:rowOff>
    </xdr:to>
    <xdr:cxnSp macro="">
      <xdr:nvCxnSpPr>
        <xdr:cNvPr id="36277" name="직선 화살표 연결선 36276">
          <a:extLst>
            <a:ext uri="{FF2B5EF4-FFF2-40B4-BE49-F238E27FC236}">
              <a16:creationId xmlns:a16="http://schemas.microsoft.com/office/drawing/2014/main" id="{71B27161-F45E-427E-B25F-82A83A9EA11B}"/>
            </a:ext>
          </a:extLst>
        </xdr:cNvPr>
        <xdr:cNvCxnSpPr/>
      </xdr:nvCxnSpPr>
      <xdr:spPr>
        <a:xfrm>
          <a:off x="19269892" y="43388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82732</xdr:colOff>
      <xdr:row>189</xdr:row>
      <xdr:rowOff>57149</xdr:rowOff>
    </xdr:from>
    <xdr:to>
      <xdr:col>64</xdr:col>
      <xdr:colOff>104684</xdr:colOff>
      <xdr:row>189</xdr:row>
      <xdr:rowOff>171449</xdr:rowOff>
    </xdr:to>
    <xdr:sp macro="" textlink="">
      <xdr:nvSpPr>
        <xdr:cNvPr id="36278" name="186">
          <a:extLst>
            <a:ext uri="{FF2B5EF4-FFF2-40B4-BE49-F238E27FC236}">
              <a16:creationId xmlns:a16="http://schemas.microsoft.com/office/drawing/2014/main" id="{DF87D3E1-055E-4BEC-A234-2F1392CF5706}"/>
            </a:ext>
          </a:extLst>
        </xdr:cNvPr>
        <xdr:cNvSpPr/>
      </xdr:nvSpPr>
      <xdr:spPr>
        <a:xfrm>
          <a:off x="19269892" y="43102529"/>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82732</xdr:colOff>
      <xdr:row>189</xdr:row>
      <xdr:rowOff>114299</xdr:rowOff>
    </xdr:from>
    <xdr:to>
      <xdr:col>64</xdr:col>
      <xdr:colOff>82732</xdr:colOff>
      <xdr:row>189</xdr:row>
      <xdr:rowOff>114299</xdr:rowOff>
    </xdr:to>
    <xdr:cxnSp macro="">
      <xdr:nvCxnSpPr>
        <xdr:cNvPr id="36279" name="직선 화살표 연결선 36278">
          <a:extLst>
            <a:ext uri="{FF2B5EF4-FFF2-40B4-BE49-F238E27FC236}">
              <a16:creationId xmlns:a16="http://schemas.microsoft.com/office/drawing/2014/main" id="{FC4BC656-3E95-414F-B9F6-9217C3D52548}"/>
            </a:ext>
          </a:extLst>
        </xdr:cNvPr>
        <xdr:cNvCxnSpPr/>
      </xdr:nvCxnSpPr>
      <xdr:spPr>
        <a:xfrm>
          <a:off x="19269892" y="43159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62048</xdr:colOff>
      <xdr:row>188</xdr:row>
      <xdr:rowOff>57149</xdr:rowOff>
    </xdr:from>
    <xdr:to>
      <xdr:col>64</xdr:col>
      <xdr:colOff>125367</xdr:colOff>
      <xdr:row>188</xdr:row>
      <xdr:rowOff>171449</xdr:rowOff>
    </xdr:to>
    <xdr:sp macro="" textlink="">
      <xdr:nvSpPr>
        <xdr:cNvPr id="36280" name="185">
          <a:extLst>
            <a:ext uri="{FF2B5EF4-FFF2-40B4-BE49-F238E27FC236}">
              <a16:creationId xmlns:a16="http://schemas.microsoft.com/office/drawing/2014/main" id="{5C1B7AAA-46F0-4444-9902-D2DA21ED1B8F}"/>
            </a:ext>
          </a:extLst>
        </xdr:cNvPr>
        <xdr:cNvSpPr/>
      </xdr:nvSpPr>
      <xdr:spPr>
        <a:xfrm>
          <a:off x="19249208" y="42873929"/>
          <a:ext cx="633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62048</xdr:colOff>
      <xdr:row>188</xdr:row>
      <xdr:rowOff>114299</xdr:rowOff>
    </xdr:from>
    <xdr:to>
      <xdr:col>64</xdr:col>
      <xdr:colOff>62048</xdr:colOff>
      <xdr:row>188</xdr:row>
      <xdr:rowOff>114299</xdr:rowOff>
    </xdr:to>
    <xdr:cxnSp macro="">
      <xdr:nvCxnSpPr>
        <xdr:cNvPr id="36281" name="직선 화살표 연결선 36280">
          <a:extLst>
            <a:ext uri="{FF2B5EF4-FFF2-40B4-BE49-F238E27FC236}">
              <a16:creationId xmlns:a16="http://schemas.microsoft.com/office/drawing/2014/main" id="{C2D6A417-8063-4A4E-8A7D-DD312B5846A6}"/>
            </a:ext>
          </a:extLst>
        </xdr:cNvPr>
        <xdr:cNvCxnSpPr/>
      </xdr:nvCxnSpPr>
      <xdr:spPr>
        <a:xfrm>
          <a:off x="19249208" y="42931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41366</xdr:colOff>
      <xdr:row>187</xdr:row>
      <xdr:rowOff>57149</xdr:rowOff>
    </xdr:from>
    <xdr:to>
      <xdr:col>64</xdr:col>
      <xdr:colOff>63318</xdr:colOff>
      <xdr:row>187</xdr:row>
      <xdr:rowOff>171449</xdr:rowOff>
    </xdr:to>
    <xdr:sp macro="" textlink="">
      <xdr:nvSpPr>
        <xdr:cNvPr id="36282" name="184">
          <a:extLst>
            <a:ext uri="{FF2B5EF4-FFF2-40B4-BE49-F238E27FC236}">
              <a16:creationId xmlns:a16="http://schemas.microsoft.com/office/drawing/2014/main" id="{317AFE88-8A06-4A38-97E9-08449CCFC7DD}"/>
            </a:ext>
          </a:extLst>
        </xdr:cNvPr>
        <xdr:cNvSpPr/>
      </xdr:nvSpPr>
      <xdr:spPr>
        <a:xfrm>
          <a:off x="19228526" y="426453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41366</xdr:colOff>
      <xdr:row>187</xdr:row>
      <xdr:rowOff>114299</xdr:rowOff>
    </xdr:from>
    <xdr:to>
      <xdr:col>64</xdr:col>
      <xdr:colOff>41366</xdr:colOff>
      <xdr:row>187</xdr:row>
      <xdr:rowOff>114299</xdr:rowOff>
    </xdr:to>
    <xdr:cxnSp macro="">
      <xdr:nvCxnSpPr>
        <xdr:cNvPr id="36283" name="직선 화살표 연결선 36282">
          <a:extLst>
            <a:ext uri="{FF2B5EF4-FFF2-40B4-BE49-F238E27FC236}">
              <a16:creationId xmlns:a16="http://schemas.microsoft.com/office/drawing/2014/main" id="{9C50FD47-1AF2-421C-9B75-AD08430C5C6D}"/>
            </a:ext>
          </a:extLst>
        </xdr:cNvPr>
        <xdr:cNvCxnSpPr/>
      </xdr:nvCxnSpPr>
      <xdr:spPr>
        <a:xfrm>
          <a:off x="19228526" y="42702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41366</xdr:colOff>
      <xdr:row>186</xdr:row>
      <xdr:rowOff>57149</xdr:rowOff>
    </xdr:from>
    <xdr:to>
      <xdr:col>64</xdr:col>
      <xdr:colOff>63318</xdr:colOff>
      <xdr:row>186</xdr:row>
      <xdr:rowOff>171449</xdr:rowOff>
    </xdr:to>
    <xdr:sp macro="" textlink="">
      <xdr:nvSpPr>
        <xdr:cNvPr id="36284" name="183">
          <a:extLst>
            <a:ext uri="{FF2B5EF4-FFF2-40B4-BE49-F238E27FC236}">
              <a16:creationId xmlns:a16="http://schemas.microsoft.com/office/drawing/2014/main" id="{79897CBF-5EA2-4964-9781-98645BE02AF0}"/>
            </a:ext>
          </a:extLst>
        </xdr:cNvPr>
        <xdr:cNvSpPr/>
      </xdr:nvSpPr>
      <xdr:spPr>
        <a:xfrm>
          <a:off x="19228526" y="424167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41366</xdr:colOff>
      <xdr:row>186</xdr:row>
      <xdr:rowOff>114299</xdr:rowOff>
    </xdr:from>
    <xdr:to>
      <xdr:col>64</xdr:col>
      <xdr:colOff>41366</xdr:colOff>
      <xdr:row>186</xdr:row>
      <xdr:rowOff>114299</xdr:rowOff>
    </xdr:to>
    <xdr:cxnSp macro="">
      <xdr:nvCxnSpPr>
        <xdr:cNvPr id="36285" name="직선 화살표 연결선 36284">
          <a:extLst>
            <a:ext uri="{FF2B5EF4-FFF2-40B4-BE49-F238E27FC236}">
              <a16:creationId xmlns:a16="http://schemas.microsoft.com/office/drawing/2014/main" id="{EE75AFFE-1425-4847-B859-0FE83BF82466}"/>
            </a:ext>
          </a:extLst>
        </xdr:cNvPr>
        <xdr:cNvCxnSpPr/>
      </xdr:nvCxnSpPr>
      <xdr:spPr>
        <a:xfrm>
          <a:off x="19228526" y="42473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20683</xdr:colOff>
      <xdr:row>185</xdr:row>
      <xdr:rowOff>57149</xdr:rowOff>
    </xdr:from>
    <xdr:to>
      <xdr:col>64</xdr:col>
      <xdr:colOff>42635</xdr:colOff>
      <xdr:row>185</xdr:row>
      <xdr:rowOff>171449</xdr:rowOff>
    </xdr:to>
    <xdr:sp macro="" textlink="">
      <xdr:nvSpPr>
        <xdr:cNvPr id="36286" name="182">
          <a:extLst>
            <a:ext uri="{FF2B5EF4-FFF2-40B4-BE49-F238E27FC236}">
              <a16:creationId xmlns:a16="http://schemas.microsoft.com/office/drawing/2014/main" id="{BAAB9458-951B-4660-A630-47F4B674F75C}"/>
            </a:ext>
          </a:extLst>
        </xdr:cNvPr>
        <xdr:cNvSpPr/>
      </xdr:nvSpPr>
      <xdr:spPr>
        <a:xfrm>
          <a:off x="19207843" y="421881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20683</xdr:colOff>
      <xdr:row>185</xdr:row>
      <xdr:rowOff>114299</xdr:rowOff>
    </xdr:from>
    <xdr:to>
      <xdr:col>64</xdr:col>
      <xdr:colOff>20683</xdr:colOff>
      <xdr:row>185</xdr:row>
      <xdr:rowOff>114299</xdr:rowOff>
    </xdr:to>
    <xdr:cxnSp macro="">
      <xdr:nvCxnSpPr>
        <xdr:cNvPr id="36287" name="직선 화살표 연결선 36286">
          <a:extLst>
            <a:ext uri="{FF2B5EF4-FFF2-40B4-BE49-F238E27FC236}">
              <a16:creationId xmlns:a16="http://schemas.microsoft.com/office/drawing/2014/main" id="{C7FA5048-73AC-4BE6-829F-BC6D4F1BD85C}"/>
            </a:ext>
          </a:extLst>
        </xdr:cNvPr>
        <xdr:cNvCxnSpPr/>
      </xdr:nvCxnSpPr>
      <xdr:spPr>
        <a:xfrm>
          <a:off x="19207843" y="42245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20683</xdr:colOff>
      <xdr:row>184</xdr:row>
      <xdr:rowOff>57149</xdr:rowOff>
    </xdr:from>
    <xdr:to>
      <xdr:col>64</xdr:col>
      <xdr:colOff>42635</xdr:colOff>
      <xdr:row>184</xdr:row>
      <xdr:rowOff>171449</xdr:rowOff>
    </xdr:to>
    <xdr:sp macro="" textlink="">
      <xdr:nvSpPr>
        <xdr:cNvPr id="36288" name="181">
          <a:extLst>
            <a:ext uri="{FF2B5EF4-FFF2-40B4-BE49-F238E27FC236}">
              <a16:creationId xmlns:a16="http://schemas.microsoft.com/office/drawing/2014/main" id="{8C282356-E37E-402A-816B-88077416EDDD}"/>
            </a:ext>
          </a:extLst>
        </xdr:cNvPr>
        <xdr:cNvSpPr/>
      </xdr:nvSpPr>
      <xdr:spPr>
        <a:xfrm>
          <a:off x="19207843" y="419595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20683</xdr:colOff>
      <xdr:row>184</xdr:row>
      <xdr:rowOff>114299</xdr:rowOff>
    </xdr:from>
    <xdr:to>
      <xdr:col>64</xdr:col>
      <xdr:colOff>20683</xdr:colOff>
      <xdr:row>184</xdr:row>
      <xdr:rowOff>114299</xdr:rowOff>
    </xdr:to>
    <xdr:cxnSp macro="">
      <xdr:nvCxnSpPr>
        <xdr:cNvPr id="36289" name="직선 화살표 연결선 36288">
          <a:extLst>
            <a:ext uri="{FF2B5EF4-FFF2-40B4-BE49-F238E27FC236}">
              <a16:creationId xmlns:a16="http://schemas.microsoft.com/office/drawing/2014/main" id="{41A30AE8-66A2-4270-BF52-C9C85A8DEAF2}"/>
            </a:ext>
          </a:extLst>
        </xdr:cNvPr>
        <xdr:cNvCxnSpPr/>
      </xdr:nvCxnSpPr>
      <xdr:spPr>
        <a:xfrm>
          <a:off x="19207843" y="42016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20683</xdr:colOff>
      <xdr:row>183</xdr:row>
      <xdr:rowOff>57149</xdr:rowOff>
    </xdr:from>
    <xdr:to>
      <xdr:col>64</xdr:col>
      <xdr:colOff>42635</xdr:colOff>
      <xdr:row>183</xdr:row>
      <xdr:rowOff>171449</xdr:rowOff>
    </xdr:to>
    <xdr:sp macro="" textlink="">
      <xdr:nvSpPr>
        <xdr:cNvPr id="36290" name="180">
          <a:extLst>
            <a:ext uri="{FF2B5EF4-FFF2-40B4-BE49-F238E27FC236}">
              <a16:creationId xmlns:a16="http://schemas.microsoft.com/office/drawing/2014/main" id="{9B5FC132-FC94-4EDE-9E8A-117FD0B9BFC3}"/>
            </a:ext>
          </a:extLst>
        </xdr:cNvPr>
        <xdr:cNvSpPr/>
      </xdr:nvSpPr>
      <xdr:spPr>
        <a:xfrm>
          <a:off x="19207843" y="417309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20683</xdr:colOff>
      <xdr:row>183</xdr:row>
      <xdr:rowOff>114299</xdr:rowOff>
    </xdr:from>
    <xdr:to>
      <xdr:col>64</xdr:col>
      <xdr:colOff>20683</xdr:colOff>
      <xdr:row>183</xdr:row>
      <xdr:rowOff>114299</xdr:rowOff>
    </xdr:to>
    <xdr:cxnSp macro="">
      <xdr:nvCxnSpPr>
        <xdr:cNvPr id="36291" name="직선 화살표 연결선 36290">
          <a:extLst>
            <a:ext uri="{FF2B5EF4-FFF2-40B4-BE49-F238E27FC236}">
              <a16:creationId xmlns:a16="http://schemas.microsoft.com/office/drawing/2014/main" id="{98C3C095-6AEC-4E23-AD6C-62962BD512B4}"/>
            </a:ext>
          </a:extLst>
        </xdr:cNvPr>
        <xdr:cNvCxnSpPr/>
      </xdr:nvCxnSpPr>
      <xdr:spPr>
        <a:xfrm>
          <a:off x="19207843" y="41788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20683</xdr:colOff>
      <xdr:row>182</xdr:row>
      <xdr:rowOff>57149</xdr:rowOff>
    </xdr:from>
    <xdr:to>
      <xdr:col>64</xdr:col>
      <xdr:colOff>42635</xdr:colOff>
      <xdr:row>182</xdr:row>
      <xdr:rowOff>171449</xdr:rowOff>
    </xdr:to>
    <xdr:sp macro="" textlink="">
      <xdr:nvSpPr>
        <xdr:cNvPr id="36292" name="179">
          <a:extLst>
            <a:ext uri="{FF2B5EF4-FFF2-40B4-BE49-F238E27FC236}">
              <a16:creationId xmlns:a16="http://schemas.microsoft.com/office/drawing/2014/main" id="{3AAC1434-8002-4562-A1FC-7B3F6EC9DDF2}"/>
            </a:ext>
          </a:extLst>
        </xdr:cNvPr>
        <xdr:cNvSpPr/>
      </xdr:nvSpPr>
      <xdr:spPr>
        <a:xfrm>
          <a:off x="19207843" y="415023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20683</xdr:colOff>
      <xdr:row>182</xdr:row>
      <xdr:rowOff>114299</xdr:rowOff>
    </xdr:from>
    <xdr:to>
      <xdr:col>64</xdr:col>
      <xdr:colOff>20683</xdr:colOff>
      <xdr:row>182</xdr:row>
      <xdr:rowOff>114299</xdr:rowOff>
    </xdr:to>
    <xdr:cxnSp macro="">
      <xdr:nvCxnSpPr>
        <xdr:cNvPr id="36293" name="직선 화살표 연결선 36292">
          <a:extLst>
            <a:ext uri="{FF2B5EF4-FFF2-40B4-BE49-F238E27FC236}">
              <a16:creationId xmlns:a16="http://schemas.microsoft.com/office/drawing/2014/main" id="{91259AD9-5395-4EA0-8B82-BAA133BAD10F}"/>
            </a:ext>
          </a:extLst>
        </xdr:cNvPr>
        <xdr:cNvCxnSpPr/>
      </xdr:nvCxnSpPr>
      <xdr:spPr>
        <a:xfrm>
          <a:off x="19207843" y="41559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xdr:colOff>
      <xdr:row>181</xdr:row>
      <xdr:rowOff>57149</xdr:rowOff>
    </xdr:from>
    <xdr:to>
      <xdr:col>64</xdr:col>
      <xdr:colOff>21953</xdr:colOff>
      <xdr:row>181</xdr:row>
      <xdr:rowOff>171449</xdr:rowOff>
    </xdr:to>
    <xdr:sp macro="" textlink="">
      <xdr:nvSpPr>
        <xdr:cNvPr id="36294" name="178">
          <a:extLst>
            <a:ext uri="{FF2B5EF4-FFF2-40B4-BE49-F238E27FC236}">
              <a16:creationId xmlns:a16="http://schemas.microsoft.com/office/drawing/2014/main" id="{5F0B8332-1243-476A-AE9B-75CDDF1393C3}"/>
            </a:ext>
          </a:extLst>
        </xdr:cNvPr>
        <xdr:cNvSpPr/>
      </xdr:nvSpPr>
      <xdr:spPr>
        <a:xfrm>
          <a:off x="19187161" y="412737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xdr:colOff>
      <xdr:row>181</xdr:row>
      <xdr:rowOff>114299</xdr:rowOff>
    </xdr:from>
    <xdr:to>
      <xdr:col>64</xdr:col>
      <xdr:colOff>1</xdr:colOff>
      <xdr:row>181</xdr:row>
      <xdr:rowOff>114299</xdr:rowOff>
    </xdr:to>
    <xdr:cxnSp macro="">
      <xdr:nvCxnSpPr>
        <xdr:cNvPr id="36295" name="직선 화살표 연결선 36294">
          <a:extLst>
            <a:ext uri="{FF2B5EF4-FFF2-40B4-BE49-F238E27FC236}">
              <a16:creationId xmlns:a16="http://schemas.microsoft.com/office/drawing/2014/main" id="{E2830735-8D28-4B2B-AD77-BDA0A00F4425}"/>
            </a:ext>
          </a:extLst>
        </xdr:cNvPr>
        <xdr:cNvCxnSpPr/>
      </xdr:nvCxnSpPr>
      <xdr:spPr>
        <a:xfrm>
          <a:off x="19187161" y="41330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xdr:colOff>
      <xdr:row>180</xdr:row>
      <xdr:rowOff>57149</xdr:rowOff>
    </xdr:from>
    <xdr:to>
      <xdr:col>64</xdr:col>
      <xdr:colOff>42635</xdr:colOff>
      <xdr:row>180</xdr:row>
      <xdr:rowOff>171449</xdr:rowOff>
    </xdr:to>
    <xdr:sp macro="" textlink="">
      <xdr:nvSpPr>
        <xdr:cNvPr id="36296" name="177">
          <a:extLst>
            <a:ext uri="{FF2B5EF4-FFF2-40B4-BE49-F238E27FC236}">
              <a16:creationId xmlns:a16="http://schemas.microsoft.com/office/drawing/2014/main" id="{8EAB1A89-3250-4DF3-9384-DD8FBFFD6620}"/>
            </a:ext>
          </a:extLst>
        </xdr:cNvPr>
        <xdr:cNvSpPr/>
      </xdr:nvSpPr>
      <xdr:spPr>
        <a:xfrm>
          <a:off x="19187161" y="41045129"/>
          <a:ext cx="426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xdr:colOff>
      <xdr:row>180</xdr:row>
      <xdr:rowOff>114299</xdr:rowOff>
    </xdr:from>
    <xdr:to>
      <xdr:col>64</xdr:col>
      <xdr:colOff>1</xdr:colOff>
      <xdr:row>180</xdr:row>
      <xdr:rowOff>114299</xdr:rowOff>
    </xdr:to>
    <xdr:cxnSp macro="">
      <xdr:nvCxnSpPr>
        <xdr:cNvPr id="36297" name="직선 화살표 연결선 36296">
          <a:extLst>
            <a:ext uri="{FF2B5EF4-FFF2-40B4-BE49-F238E27FC236}">
              <a16:creationId xmlns:a16="http://schemas.microsoft.com/office/drawing/2014/main" id="{7C96DE7F-F26A-4948-AA2B-9F2DFD700542}"/>
            </a:ext>
          </a:extLst>
        </xdr:cNvPr>
        <xdr:cNvCxnSpPr/>
      </xdr:nvCxnSpPr>
      <xdr:spPr>
        <a:xfrm>
          <a:off x="19187161" y="41102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xdr:colOff>
      <xdr:row>179</xdr:row>
      <xdr:rowOff>57149</xdr:rowOff>
    </xdr:from>
    <xdr:to>
      <xdr:col>64</xdr:col>
      <xdr:colOff>63318</xdr:colOff>
      <xdr:row>179</xdr:row>
      <xdr:rowOff>171449</xdr:rowOff>
    </xdr:to>
    <xdr:sp macro="" textlink="">
      <xdr:nvSpPr>
        <xdr:cNvPr id="36298" name="176">
          <a:extLst>
            <a:ext uri="{FF2B5EF4-FFF2-40B4-BE49-F238E27FC236}">
              <a16:creationId xmlns:a16="http://schemas.microsoft.com/office/drawing/2014/main" id="{7EC23B4B-9C9E-4558-97BA-B0CDC5F85D0E}"/>
            </a:ext>
          </a:extLst>
        </xdr:cNvPr>
        <xdr:cNvSpPr/>
      </xdr:nvSpPr>
      <xdr:spPr>
        <a:xfrm>
          <a:off x="19187161" y="40816529"/>
          <a:ext cx="633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xdr:colOff>
      <xdr:row>179</xdr:row>
      <xdr:rowOff>114299</xdr:rowOff>
    </xdr:from>
    <xdr:to>
      <xdr:col>64</xdr:col>
      <xdr:colOff>1</xdr:colOff>
      <xdr:row>179</xdr:row>
      <xdr:rowOff>114299</xdr:rowOff>
    </xdr:to>
    <xdr:cxnSp macro="">
      <xdr:nvCxnSpPr>
        <xdr:cNvPr id="36299" name="직선 화살표 연결선 36298">
          <a:extLst>
            <a:ext uri="{FF2B5EF4-FFF2-40B4-BE49-F238E27FC236}">
              <a16:creationId xmlns:a16="http://schemas.microsoft.com/office/drawing/2014/main" id="{857A9B43-DFC3-4811-81FC-62686D7073CF}"/>
            </a:ext>
          </a:extLst>
        </xdr:cNvPr>
        <xdr:cNvCxnSpPr/>
      </xdr:nvCxnSpPr>
      <xdr:spPr>
        <a:xfrm>
          <a:off x="19187161" y="40873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103414</xdr:colOff>
      <xdr:row>178</xdr:row>
      <xdr:rowOff>57149</xdr:rowOff>
    </xdr:from>
    <xdr:to>
      <xdr:col>64</xdr:col>
      <xdr:colOff>1270</xdr:colOff>
      <xdr:row>178</xdr:row>
      <xdr:rowOff>171449</xdr:rowOff>
    </xdr:to>
    <xdr:sp macro="" textlink="">
      <xdr:nvSpPr>
        <xdr:cNvPr id="36300" name="175">
          <a:extLst>
            <a:ext uri="{FF2B5EF4-FFF2-40B4-BE49-F238E27FC236}">
              <a16:creationId xmlns:a16="http://schemas.microsoft.com/office/drawing/2014/main" id="{8008CA69-7A1B-41B1-9E02-AE4C68F238C5}"/>
            </a:ext>
          </a:extLst>
        </xdr:cNvPr>
        <xdr:cNvSpPr/>
      </xdr:nvSpPr>
      <xdr:spPr>
        <a:xfrm>
          <a:off x="19145794" y="40587929"/>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103414</xdr:colOff>
      <xdr:row>178</xdr:row>
      <xdr:rowOff>114299</xdr:rowOff>
    </xdr:from>
    <xdr:to>
      <xdr:col>63</xdr:col>
      <xdr:colOff>103414</xdr:colOff>
      <xdr:row>178</xdr:row>
      <xdr:rowOff>114299</xdr:rowOff>
    </xdr:to>
    <xdr:cxnSp macro="">
      <xdr:nvCxnSpPr>
        <xdr:cNvPr id="36301" name="직선 화살표 연결선 36300">
          <a:extLst>
            <a:ext uri="{FF2B5EF4-FFF2-40B4-BE49-F238E27FC236}">
              <a16:creationId xmlns:a16="http://schemas.microsoft.com/office/drawing/2014/main" id="{70BBB59C-DD6E-4281-B136-B36FC6BB0466}"/>
            </a:ext>
          </a:extLst>
        </xdr:cNvPr>
        <xdr:cNvCxnSpPr/>
      </xdr:nvCxnSpPr>
      <xdr:spPr>
        <a:xfrm>
          <a:off x="19145794" y="40645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103414</xdr:colOff>
      <xdr:row>177</xdr:row>
      <xdr:rowOff>57149</xdr:rowOff>
    </xdr:from>
    <xdr:to>
      <xdr:col>64</xdr:col>
      <xdr:colOff>1270</xdr:colOff>
      <xdr:row>177</xdr:row>
      <xdr:rowOff>171449</xdr:rowOff>
    </xdr:to>
    <xdr:sp macro="" textlink="">
      <xdr:nvSpPr>
        <xdr:cNvPr id="36302" name="174">
          <a:extLst>
            <a:ext uri="{FF2B5EF4-FFF2-40B4-BE49-F238E27FC236}">
              <a16:creationId xmlns:a16="http://schemas.microsoft.com/office/drawing/2014/main" id="{C2B64021-DBEC-4E0A-B63C-E2AD7316B71C}"/>
            </a:ext>
          </a:extLst>
        </xdr:cNvPr>
        <xdr:cNvSpPr/>
      </xdr:nvSpPr>
      <xdr:spPr>
        <a:xfrm>
          <a:off x="19145794" y="40359329"/>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103414</xdr:colOff>
      <xdr:row>177</xdr:row>
      <xdr:rowOff>114299</xdr:rowOff>
    </xdr:from>
    <xdr:to>
      <xdr:col>63</xdr:col>
      <xdr:colOff>103414</xdr:colOff>
      <xdr:row>177</xdr:row>
      <xdr:rowOff>114299</xdr:rowOff>
    </xdr:to>
    <xdr:cxnSp macro="">
      <xdr:nvCxnSpPr>
        <xdr:cNvPr id="36303" name="직선 화살표 연결선 36302">
          <a:extLst>
            <a:ext uri="{FF2B5EF4-FFF2-40B4-BE49-F238E27FC236}">
              <a16:creationId xmlns:a16="http://schemas.microsoft.com/office/drawing/2014/main" id="{4F19FC79-ECD9-4ABC-924B-EBADF1C4738F}"/>
            </a:ext>
          </a:extLst>
        </xdr:cNvPr>
        <xdr:cNvCxnSpPr/>
      </xdr:nvCxnSpPr>
      <xdr:spPr>
        <a:xfrm>
          <a:off x="19145794" y="40416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41365</xdr:colOff>
      <xdr:row>176</xdr:row>
      <xdr:rowOff>57149</xdr:rowOff>
    </xdr:from>
    <xdr:to>
      <xdr:col>63</xdr:col>
      <xdr:colOff>84001</xdr:colOff>
      <xdr:row>176</xdr:row>
      <xdr:rowOff>171449</xdr:rowOff>
    </xdr:to>
    <xdr:sp macro="" textlink="">
      <xdr:nvSpPr>
        <xdr:cNvPr id="36304" name="173">
          <a:extLst>
            <a:ext uri="{FF2B5EF4-FFF2-40B4-BE49-F238E27FC236}">
              <a16:creationId xmlns:a16="http://schemas.microsoft.com/office/drawing/2014/main" id="{7F33CAD9-37E3-4397-964C-AD81A3BF7819}"/>
            </a:ext>
          </a:extLst>
        </xdr:cNvPr>
        <xdr:cNvSpPr/>
      </xdr:nvSpPr>
      <xdr:spPr>
        <a:xfrm>
          <a:off x="19083745" y="40130729"/>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41365</xdr:colOff>
      <xdr:row>176</xdr:row>
      <xdr:rowOff>114299</xdr:rowOff>
    </xdr:from>
    <xdr:to>
      <xdr:col>63</xdr:col>
      <xdr:colOff>41365</xdr:colOff>
      <xdr:row>176</xdr:row>
      <xdr:rowOff>114299</xdr:rowOff>
    </xdr:to>
    <xdr:cxnSp macro="">
      <xdr:nvCxnSpPr>
        <xdr:cNvPr id="36305" name="직선 화살표 연결선 36304">
          <a:extLst>
            <a:ext uri="{FF2B5EF4-FFF2-40B4-BE49-F238E27FC236}">
              <a16:creationId xmlns:a16="http://schemas.microsoft.com/office/drawing/2014/main" id="{2ADC0F43-3421-490A-905F-0D1A88E9A60E}"/>
            </a:ext>
          </a:extLst>
        </xdr:cNvPr>
        <xdr:cNvCxnSpPr/>
      </xdr:nvCxnSpPr>
      <xdr:spPr>
        <a:xfrm>
          <a:off x="19083745" y="40187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82732</xdr:colOff>
      <xdr:row>175</xdr:row>
      <xdr:rowOff>57149</xdr:rowOff>
    </xdr:from>
    <xdr:to>
      <xdr:col>63</xdr:col>
      <xdr:colOff>104684</xdr:colOff>
      <xdr:row>175</xdr:row>
      <xdr:rowOff>171449</xdr:rowOff>
    </xdr:to>
    <xdr:sp macro="" textlink="">
      <xdr:nvSpPr>
        <xdr:cNvPr id="36306" name="172">
          <a:extLst>
            <a:ext uri="{FF2B5EF4-FFF2-40B4-BE49-F238E27FC236}">
              <a16:creationId xmlns:a16="http://schemas.microsoft.com/office/drawing/2014/main" id="{9DEC3601-9E93-4E2F-BF9E-F008E3D752A4}"/>
            </a:ext>
          </a:extLst>
        </xdr:cNvPr>
        <xdr:cNvSpPr/>
      </xdr:nvSpPr>
      <xdr:spPr>
        <a:xfrm>
          <a:off x="19125112" y="399021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82732</xdr:colOff>
      <xdr:row>175</xdr:row>
      <xdr:rowOff>114299</xdr:rowOff>
    </xdr:from>
    <xdr:to>
      <xdr:col>63</xdr:col>
      <xdr:colOff>82732</xdr:colOff>
      <xdr:row>175</xdr:row>
      <xdr:rowOff>114299</xdr:rowOff>
    </xdr:to>
    <xdr:cxnSp macro="">
      <xdr:nvCxnSpPr>
        <xdr:cNvPr id="36307" name="직선 화살표 연결선 36306">
          <a:extLst>
            <a:ext uri="{FF2B5EF4-FFF2-40B4-BE49-F238E27FC236}">
              <a16:creationId xmlns:a16="http://schemas.microsoft.com/office/drawing/2014/main" id="{2ACB7814-B4A0-4CCE-B14F-9C3A4B299CDA}"/>
            </a:ext>
          </a:extLst>
        </xdr:cNvPr>
        <xdr:cNvCxnSpPr/>
      </xdr:nvCxnSpPr>
      <xdr:spPr>
        <a:xfrm>
          <a:off x="19125112" y="39959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62049</xdr:colOff>
      <xdr:row>174</xdr:row>
      <xdr:rowOff>57149</xdr:rowOff>
    </xdr:from>
    <xdr:to>
      <xdr:col>63</xdr:col>
      <xdr:colOff>104684</xdr:colOff>
      <xdr:row>174</xdr:row>
      <xdr:rowOff>171449</xdr:rowOff>
    </xdr:to>
    <xdr:sp macro="" textlink="">
      <xdr:nvSpPr>
        <xdr:cNvPr id="36308" name="171">
          <a:extLst>
            <a:ext uri="{FF2B5EF4-FFF2-40B4-BE49-F238E27FC236}">
              <a16:creationId xmlns:a16="http://schemas.microsoft.com/office/drawing/2014/main" id="{0C82FCB7-5FD3-43CE-913E-815091D97656}"/>
            </a:ext>
          </a:extLst>
        </xdr:cNvPr>
        <xdr:cNvSpPr/>
      </xdr:nvSpPr>
      <xdr:spPr>
        <a:xfrm>
          <a:off x="19104429" y="39673529"/>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62049</xdr:colOff>
      <xdr:row>174</xdr:row>
      <xdr:rowOff>114299</xdr:rowOff>
    </xdr:from>
    <xdr:to>
      <xdr:col>63</xdr:col>
      <xdr:colOff>62049</xdr:colOff>
      <xdr:row>174</xdr:row>
      <xdr:rowOff>114299</xdr:rowOff>
    </xdr:to>
    <xdr:cxnSp macro="">
      <xdr:nvCxnSpPr>
        <xdr:cNvPr id="36309" name="직선 화살표 연결선 36308">
          <a:extLst>
            <a:ext uri="{FF2B5EF4-FFF2-40B4-BE49-F238E27FC236}">
              <a16:creationId xmlns:a16="http://schemas.microsoft.com/office/drawing/2014/main" id="{14275253-D3AF-4B74-9BDF-1BF7514E29F4}"/>
            </a:ext>
          </a:extLst>
        </xdr:cNvPr>
        <xdr:cNvCxnSpPr/>
      </xdr:nvCxnSpPr>
      <xdr:spPr>
        <a:xfrm>
          <a:off x="19104429" y="39730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20683</xdr:colOff>
      <xdr:row>173</xdr:row>
      <xdr:rowOff>57149</xdr:rowOff>
    </xdr:from>
    <xdr:to>
      <xdr:col>63</xdr:col>
      <xdr:colOff>84001</xdr:colOff>
      <xdr:row>173</xdr:row>
      <xdr:rowOff>171449</xdr:rowOff>
    </xdr:to>
    <xdr:sp macro="" textlink="">
      <xdr:nvSpPr>
        <xdr:cNvPr id="36310" name="170">
          <a:extLst>
            <a:ext uri="{FF2B5EF4-FFF2-40B4-BE49-F238E27FC236}">
              <a16:creationId xmlns:a16="http://schemas.microsoft.com/office/drawing/2014/main" id="{A6CE3E3C-4B77-4DE6-B108-D052AAD6F0A3}"/>
            </a:ext>
          </a:extLst>
        </xdr:cNvPr>
        <xdr:cNvSpPr/>
      </xdr:nvSpPr>
      <xdr:spPr>
        <a:xfrm>
          <a:off x="19063063" y="39444929"/>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20683</xdr:colOff>
      <xdr:row>173</xdr:row>
      <xdr:rowOff>114299</xdr:rowOff>
    </xdr:from>
    <xdr:to>
      <xdr:col>63</xdr:col>
      <xdr:colOff>20683</xdr:colOff>
      <xdr:row>173</xdr:row>
      <xdr:rowOff>114299</xdr:rowOff>
    </xdr:to>
    <xdr:cxnSp macro="">
      <xdr:nvCxnSpPr>
        <xdr:cNvPr id="36311" name="직선 화살표 연결선 36310">
          <a:extLst>
            <a:ext uri="{FF2B5EF4-FFF2-40B4-BE49-F238E27FC236}">
              <a16:creationId xmlns:a16="http://schemas.microsoft.com/office/drawing/2014/main" id="{37E69BFF-8469-4732-9C50-83E8105B9AD5}"/>
            </a:ext>
          </a:extLst>
        </xdr:cNvPr>
        <xdr:cNvCxnSpPr/>
      </xdr:nvCxnSpPr>
      <xdr:spPr>
        <a:xfrm>
          <a:off x="19063063" y="39502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172</xdr:row>
      <xdr:rowOff>57149</xdr:rowOff>
    </xdr:from>
    <xdr:to>
      <xdr:col>63</xdr:col>
      <xdr:colOff>63319</xdr:colOff>
      <xdr:row>172</xdr:row>
      <xdr:rowOff>171449</xdr:rowOff>
    </xdr:to>
    <xdr:sp macro="" textlink="">
      <xdr:nvSpPr>
        <xdr:cNvPr id="36312" name="169">
          <a:extLst>
            <a:ext uri="{FF2B5EF4-FFF2-40B4-BE49-F238E27FC236}">
              <a16:creationId xmlns:a16="http://schemas.microsoft.com/office/drawing/2014/main" id="{1C3BF2C1-E977-452D-998D-C9A646A730DB}"/>
            </a:ext>
          </a:extLst>
        </xdr:cNvPr>
        <xdr:cNvSpPr/>
      </xdr:nvSpPr>
      <xdr:spPr>
        <a:xfrm>
          <a:off x="19042380" y="39216329"/>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172</xdr:row>
      <xdr:rowOff>114299</xdr:rowOff>
    </xdr:from>
    <xdr:to>
      <xdr:col>63</xdr:col>
      <xdr:colOff>0</xdr:colOff>
      <xdr:row>172</xdr:row>
      <xdr:rowOff>114299</xdr:rowOff>
    </xdr:to>
    <xdr:cxnSp macro="">
      <xdr:nvCxnSpPr>
        <xdr:cNvPr id="36313" name="직선 화살표 연결선 36312">
          <a:extLst>
            <a:ext uri="{FF2B5EF4-FFF2-40B4-BE49-F238E27FC236}">
              <a16:creationId xmlns:a16="http://schemas.microsoft.com/office/drawing/2014/main" id="{696795BF-DEBA-485B-A6BC-5D7218737846}"/>
            </a:ext>
          </a:extLst>
        </xdr:cNvPr>
        <xdr:cNvCxnSpPr/>
      </xdr:nvCxnSpPr>
      <xdr:spPr>
        <a:xfrm>
          <a:off x="19042380" y="39273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171</xdr:row>
      <xdr:rowOff>57149</xdr:rowOff>
    </xdr:from>
    <xdr:to>
      <xdr:col>63</xdr:col>
      <xdr:colOff>104684</xdr:colOff>
      <xdr:row>171</xdr:row>
      <xdr:rowOff>171449</xdr:rowOff>
    </xdr:to>
    <xdr:sp macro="" textlink="">
      <xdr:nvSpPr>
        <xdr:cNvPr id="36314" name="168">
          <a:extLst>
            <a:ext uri="{FF2B5EF4-FFF2-40B4-BE49-F238E27FC236}">
              <a16:creationId xmlns:a16="http://schemas.microsoft.com/office/drawing/2014/main" id="{02A1A3D5-2937-4842-AE4C-9D64192EF710}"/>
            </a:ext>
          </a:extLst>
        </xdr:cNvPr>
        <xdr:cNvSpPr/>
      </xdr:nvSpPr>
      <xdr:spPr>
        <a:xfrm>
          <a:off x="19042380" y="38987729"/>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171</xdr:row>
      <xdr:rowOff>114299</xdr:rowOff>
    </xdr:from>
    <xdr:to>
      <xdr:col>63</xdr:col>
      <xdr:colOff>0</xdr:colOff>
      <xdr:row>171</xdr:row>
      <xdr:rowOff>114299</xdr:rowOff>
    </xdr:to>
    <xdr:cxnSp macro="">
      <xdr:nvCxnSpPr>
        <xdr:cNvPr id="36315" name="직선 화살표 연결선 36314">
          <a:extLst>
            <a:ext uri="{FF2B5EF4-FFF2-40B4-BE49-F238E27FC236}">
              <a16:creationId xmlns:a16="http://schemas.microsoft.com/office/drawing/2014/main" id="{F9054414-6B41-4281-9336-30B638AE7CAA}"/>
            </a:ext>
          </a:extLst>
        </xdr:cNvPr>
        <xdr:cNvCxnSpPr/>
      </xdr:nvCxnSpPr>
      <xdr:spPr>
        <a:xfrm>
          <a:off x="19042380" y="39044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170</xdr:row>
      <xdr:rowOff>57149</xdr:rowOff>
    </xdr:from>
    <xdr:to>
      <xdr:col>64</xdr:col>
      <xdr:colOff>1270</xdr:colOff>
      <xdr:row>170</xdr:row>
      <xdr:rowOff>171449</xdr:rowOff>
    </xdr:to>
    <xdr:sp macro="" textlink="">
      <xdr:nvSpPr>
        <xdr:cNvPr id="36316" name="167">
          <a:extLst>
            <a:ext uri="{FF2B5EF4-FFF2-40B4-BE49-F238E27FC236}">
              <a16:creationId xmlns:a16="http://schemas.microsoft.com/office/drawing/2014/main" id="{1B577165-C05E-4B57-8E2C-3E37169651A8}"/>
            </a:ext>
          </a:extLst>
        </xdr:cNvPr>
        <xdr:cNvSpPr/>
      </xdr:nvSpPr>
      <xdr:spPr>
        <a:xfrm>
          <a:off x="19042380" y="38759129"/>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170</xdr:row>
      <xdr:rowOff>114299</xdr:rowOff>
    </xdr:from>
    <xdr:to>
      <xdr:col>63</xdr:col>
      <xdr:colOff>0</xdr:colOff>
      <xdr:row>170</xdr:row>
      <xdr:rowOff>114299</xdr:rowOff>
    </xdr:to>
    <xdr:cxnSp macro="">
      <xdr:nvCxnSpPr>
        <xdr:cNvPr id="36317" name="직선 화살표 연결선 36316">
          <a:extLst>
            <a:ext uri="{FF2B5EF4-FFF2-40B4-BE49-F238E27FC236}">
              <a16:creationId xmlns:a16="http://schemas.microsoft.com/office/drawing/2014/main" id="{E8E92310-31E5-4C72-8AD3-C381755C08DA}"/>
            </a:ext>
          </a:extLst>
        </xdr:cNvPr>
        <xdr:cNvCxnSpPr/>
      </xdr:nvCxnSpPr>
      <xdr:spPr>
        <a:xfrm>
          <a:off x="19042380" y="38816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169</xdr:row>
      <xdr:rowOff>57149</xdr:rowOff>
    </xdr:from>
    <xdr:to>
      <xdr:col>62</xdr:col>
      <xdr:colOff>125368</xdr:colOff>
      <xdr:row>169</xdr:row>
      <xdr:rowOff>171449</xdr:rowOff>
    </xdr:to>
    <xdr:sp macro="" textlink="">
      <xdr:nvSpPr>
        <xdr:cNvPr id="36318" name="166">
          <a:extLst>
            <a:ext uri="{FF2B5EF4-FFF2-40B4-BE49-F238E27FC236}">
              <a16:creationId xmlns:a16="http://schemas.microsoft.com/office/drawing/2014/main" id="{432185FF-5CB1-406A-8B30-C68EE54A995F}"/>
            </a:ext>
          </a:extLst>
        </xdr:cNvPr>
        <xdr:cNvSpPr/>
      </xdr:nvSpPr>
      <xdr:spPr>
        <a:xfrm>
          <a:off x="18897600" y="38530529"/>
          <a:ext cx="125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169</xdr:row>
      <xdr:rowOff>114299</xdr:rowOff>
    </xdr:from>
    <xdr:to>
      <xdr:col>62</xdr:col>
      <xdr:colOff>0</xdr:colOff>
      <xdr:row>169</xdr:row>
      <xdr:rowOff>114299</xdr:rowOff>
    </xdr:to>
    <xdr:cxnSp macro="">
      <xdr:nvCxnSpPr>
        <xdr:cNvPr id="36319" name="직선 화살표 연결선 36318">
          <a:extLst>
            <a:ext uri="{FF2B5EF4-FFF2-40B4-BE49-F238E27FC236}">
              <a16:creationId xmlns:a16="http://schemas.microsoft.com/office/drawing/2014/main" id="{79511C0B-4A5A-4244-83AD-F05B1BC80E1B}"/>
            </a:ext>
          </a:extLst>
        </xdr:cNvPr>
        <xdr:cNvCxnSpPr/>
      </xdr:nvCxnSpPr>
      <xdr:spPr>
        <a:xfrm>
          <a:off x="18897600" y="38587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168</xdr:row>
      <xdr:rowOff>57149</xdr:rowOff>
    </xdr:from>
    <xdr:to>
      <xdr:col>62</xdr:col>
      <xdr:colOff>1270</xdr:colOff>
      <xdr:row>168</xdr:row>
      <xdr:rowOff>171449</xdr:rowOff>
    </xdr:to>
    <xdr:sp macro="" textlink="">
      <xdr:nvSpPr>
        <xdr:cNvPr id="36320" name="165">
          <a:extLst>
            <a:ext uri="{FF2B5EF4-FFF2-40B4-BE49-F238E27FC236}">
              <a16:creationId xmlns:a16="http://schemas.microsoft.com/office/drawing/2014/main" id="{B598B23F-7C53-426B-8159-591E5D5CAD65}"/>
            </a:ext>
          </a:extLst>
        </xdr:cNvPr>
        <xdr:cNvSpPr/>
      </xdr:nvSpPr>
      <xdr:spPr>
        <a:xfrm>
          <a:off x="18752820" y="38301929"/>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0</xdr:colOff>
      <xdr:row>168</xdr:row>
      <xdr:rowOff>114299</xdr:rowOff>
    </xdr:from>
    <xdr:to>
      <xdr:col>61</xdr:col>
      <xdr:colOff>0</xdr:colOff>
      <xdr:row>168</xdr:row>
      <xdr:rowOff>114299</xdr:rowOff>
    </xdr:to>
    <xdr:cxnSp macro="">
      <xdr:nvCxnSpPr>
        <xdr:cNvPr id="36321" name="직선 화살표 연결선 36320">
          <a:extLst>
            <a:ext uri="{FF2B5EF4-FFF2-40B4-BE49-F238E27FC236}">
              <a16:creationId xmlns:a16="http://schemas.microsoft.com/office/drawing/2014/main" id="{B59120BE-2422-406D-A080-D26D79DB1D22}"/>
            </a:ext>
          </a:extLst>
        </xdr:cNvPr>
        <xdr:cNvCxnSpPr/>
      </xdr:nvCxnSpPr>
      <xdr:spPr>
        <a:xfrm>
          <a:off x="18752820" y="38359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167</xdr:row>
      <xdr:rowOff>57149</xdr:rowOff>
    </xdr:from>
    <xdr:to>
      <xdr:col>65</xdr:col>
      <xdr:colOff>125367</xdr:colOff>
      <xdr:row>167</xdr:row>
      <xdr:rowOff>171449</xdr:rowOff>
    </xdr:to>
    <xdr:sp macro="" textlink="">
      <xdr:nvSpPr>
        <xdr:cNvPr id="36322" name="164">
          <a:extLst>
            <a:ext uri="{FF2B5EF4-FFF2-40B4-BE49-F238E27FC236}">
              <a16:creationId xmlns:a16="http://schemas.microsoft.com/office/drawing/2014/main" id="{E8C28CAE-AD9A-498C-9B4A-ECEC6EBEE680}"/>
            </a:ext>
          </a:extLst>
        </xdr:cNvPr>
        <xdr:cNvSpPr/>
      </xdr:nvSpPr>
      <xdr:spPr>
        <a:xfrm>
          <a:off x="18752820" y="38073329"/>
          <a:ext cx="7044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0</xdr:colOff>
      <xdr:row>167</xdr:row>
      <xdr:rowOff>114299</xdr:rowOff>
    </xdr:from>
    <xdr:to>
      <xdr:col>61</xdr:col>
      <xdr:colOff>0</xdr:colOff>
      <xdr:row>167</xdr:row>
      <xdr:rowOff>114299</xdr:rowOff>
    </xdr:to>
    <xdr:cxnSp macro="">
      <xdr:nvCxnSpPr>
        <xdr:cNvPr id="36323" name="직선 화살표 연결선 36322">
          <a:extLst>
            <a:ext uri="{FF2B5EF4-FFF2-40B4-BE49-F238E27FC236}">
              <a16:creationId xmlns:a16="http://schemas.microsoft.com/office/drawing/2014/main" id="{AF1B2A7E-C0A5-46E9-A79C-CA8572B29F35}"/>
            </a:ext>
          </a:extLst>
        </xdr:cNvPr>
        <xdr:cNvCxnSpPr/>
      </xdr:nvCxnSpPr>
      <xdr:spPr>
        <a:xfrm>
          <a:off x="18752820" y="38130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xdr:colOff>
      <xdr:row>166</xdr:row>
      <xdr:rowOff>57149</xdr:rowOff>
    </xdr:from>
    <xdr:to>
      <xdr:col>82</xdr:col>
      <xdr:colOff>104684</xdr:colOff>
      <xdr:row>166</xdr:row>
      <xdr:rowOff>171449</xdr:rowOff>
    </xdr:to>
    <xdr:sp macro="" textlink="">
      <xdr:nvSpPr>
        <xdr:cNvPr id="36324" name="163">
          <a:extLst>
            <a:ext uri="{FF2B5EF4-FFF2-40B4-BE49-F238E27FC236}">
              <a16:creationId xmlns:a16="http://schemas.microsoft.com/office/drawing/2014/main" id="{41627FC9-26A3-4845-AB66-8B68870CB471}"/>
            </a:ext>
          </a:extLst>
        </xdr:cNvPr>
        <xdr:cNvSpPr/>
      </xdr:nvSpPr>
      <xdr:spPr>
        <a:xfrm>
          <a:off x="20634961" y="3784472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xdr:colOff>
      <xdr:row>166</xdr:row>
      <xdr:rowOff>114299</xdr:rowOff>
    </xdr:from>
    <xdr:to>
      <xdr:col>74</xdr:col>
      <xdr:colOff>1</xdr:colOff>
      <xdr:row>166</xdr:row>
      <xdr:rowOff>114299</xdr:rowOff>
    </xdr:to>
    <xdr:cxnSp macro="">
      <xdr:nvCxnSpPr>
        <xdr:cNvPr id="36325" name="직선 화살표 연결선 36324">
          <a:extLst>
            <a:ext uri="{FF2B5EF4-FFF2-40B4-BE49-F238E27FC236}">
              <a16:creationId xmlns:a16="http://schemas.microsoft.com/office/drawing/2014/main" id="{3903A5AE-AE8E-43A0-A9CE-F2E7CC20AFF5}"/>
            </a:ext>
          </a:extLst>
        </xdr:cNvPr>
        <xdr:cNvCxnSpPr/>
      </xdr:nvCxnSpPr>
      <xdr:spPr>
        <a:xfrm>
          <a:off x="20634961" y="37901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165</xdr:row>
      <xdr:rowOff>57149</xdr:rowOff>
    </xdr:from>
    <xdr:to>
      <xdr:col>73</xdr:col>
      <xdr:colOff>104684</xdr:colOff>
      <xdr:row>165</xdr:row>
      <xdr:rowOff>171449</xdr:rowOff>
    </xdr:to>
    <xdr:sp macro="" textlink="">
      <xdr:nvSpPr>
        <xdr:cNvPr id="36326" name="162">
          <a:extLst>
            <a:ext uri="{FF2B5EF4-FFF2-40B4-BE49-F238E27FC236}">
              <a16:creationId xmlns:a16="http://schemas.microsoft.com/office/drawing/2014/main" id="{EBD18E42-1AEF-47CD-9D32-4A67FFB7E6A8}"/>
            </a:ext>
          </a:extLst>
        </xdr:cNvPr>
        <xdr:cNvSpPr/>
      </xdr:nvSpPr>
      <xdr:spPr>
        <a:xfrm>
          <a:off x="20200620" y="3761612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165</xdr:row>
      <xdr:rowOff>114299</xdr:rowOff>
    </xdr:from>
    <xdr:to>
      <xdr:col>71</xdr:col>
      <xdr:colOff>0</xdr:colOff>
      <xdr:row>165</xdr:row>
      <xdr:rowOff>114299</xdr:rowOff>
    </xdr:to>
    <xdr:cxnSp macro="">
      <xdr:nvCxnSpPr>
        <xdr:cNvPr id="36327" name="직선 화살표 연결선 36326">
          <a:extLst>
            <a:ext uri="{FF2B5EF4-FFF2-40B4-BE49-F238E27FC236}">
              <a16:creationId xmlns:a16="http://schemas.microsoft.com/office/drawing/2014/main" id="{464835CE-C24B-4794-A81C-4B60D9F17CB4}"/>
            </a:ext>
          </a:extLst>
        </xdr:cNvPr>
        <xdr:cNvCxnSpPr/>
      </xdr:nvCxnSpPr>
      <xdr:spPr>
        <a:xfrm>
          <a:off x="20200620" y="37673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164</xdr:row>
      <xdr:rowOff>57149</xdr:rowOff>
    </xdr:from>
    <xdr:to>
      <xdr:col>72</xdr:col>
      <xdr:colOff>104684</xdr:colOff>
      <xdr:row>164</xdr:row>
      <xdr:rowOff>171449</xdr:rowOff>
    </xdr:to>
    <xdr:sp macro="" textlink="">
      <xdr:nvSpPr>
        <xdr:cNvPr id="36328" name="161">
          <a:extLst>
            <a:ext uri="{FF2B5EF4-FFF2-40B4-BE49-F238E27FC236}">
              <a16:creationId xmlns:a16="http://schemas.microsoft.com/office/drawing/2014/main" id="{C06D7AA7-4964-465B-9825-A11727513D9A}"/>
            </a:ext>
          </a:extLst>
        </xdr:cNvPr>
        <xdr:cNvSpPr/>
      </xdr:nvSpPr>
      <xdr:spPr>
        <a:xfrm>
          <a:off x="20200620" y="3738752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164</xdr:row>
      <xdr:rowOff>114299</xdr:rowOff>
    </xdr:from>
    <xdr:to>
      <xdr:col>71</xdr:col>
      <xdr:colOff>0</xdr:colOff>
      <xdr:row>164</xdr:row>
      <xdr:rowOff>114299</xdr:rowOff>
    </xdr:to>
    <xdr:cxnSp macro="">
      <xdr:nvCxnSpPr>
        <xdr:cNvPr id="36329" name="직선 화살표 연결선 36328">
          <a:extLst>
            <a:ext uri="{FF2B5EF4-FFF2-40B4-BE49-F238E27FC236}">
              <a16:creationId xmlns:a16="http://schemas.microsoft.com/office/drawing/2014/main" id="{B33E99BE-3504-4F4A-8723-8B2C4750D5B8}"/>
            </a:ext>
          </a:extLst>
        </xdr:cNvPr>
        <xdr:cNvCxnSpPr/>
      </xdr:nvCxnSpPr>
      <xdr:spPr>
        <a:xfrm>
          <a:off x="20200620" y="37444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41366</xdr:colOff>
      <xdr:row>163</xdr:row>
      <xdr:rowOff>57149</xdr:rowOff>
    </xdr:from>
    <xdr:to>
      <xdr:col>70</xdr:col>
      <xdr:colOff>104684</xdr:colOff>
      <xdr:row>163</xdr:row>
      <xdr:rowOff>171449</xdr:rowOff>
    </xdr:to>
    <xdr:sp macro="" textlink="">
      <xdr:nvSpPr>
        <xdr:cNvPr id="36330" name="160">
          <a:extLst>
            <a:ext uri="{FF2B5EF4-FFF2-40B4-BE49-F238E27FC236}">
              <a16:creationId xmlns:a16="http://schemas.microsoft.com/office/drawing/2014/main" id="{41B40E08-3F88-402A-84A9-2105F07CA429}"/>
            </a:ext>
          </a:extLst>
        </xdr:cNvPr>
        <xdr:cNvSpPr/>
      </xdr:nvSpPr>
      <xdr:spPr>
        <a:xfrm>
          <a:off x="19952426" y="37158929"/>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41366</xdr:colOff>
      <xdr:row>163</xdr:row>
      <xdr:rowOff>114299</xdr:rowOff>
    </xdr:from>
    <xdr:to>
      <xdr:col>69</xdr:col>
      <xdr:colOff>41366</xdr:colOff>
      <xdr:row>163</xdr:row>
      <xdr:rowOff>114299</xdr:rowOff>
    </xdr:to>
    <xdr:cxnSp macro="">
      <xdr:nvCxnSpPr>
        <xdr:cNvPr id="36331" name="직선 화살표 연결선 36330">
          <a:extLst>
            <a:ext uri="{FF2B5EF4-FFF2-40B4-BE49-F238E27FC236}">
              <a16:creationId xmlns:a16="http://schemas.microsoft.com/office/drawing/2014/main" id="{973C6FF8-0984-4BF0-B90A-0E3A701A7B42}"/>
            </a:ext>
          </a:extLst>
        </xdr:cNvPr>
        <xdr:cNvCxnSpPr/>
      </xdr:nvCxnSpPr>
      <xdr:spPr>
        <a:xfrm>
          <a:off x="19952426" y="37216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62049</xdr:colOff>
      <xdr:row>162</xdr:row>
      <xdr:rowOff>57149</xdr:rowOff>
    </xdr:from>
    <xdr:to>
      <xdr:col>69</xdr:col>
      <xdr:colOff>104684</xdr:colOff>
      <xdr:row>162</xdr:row>
      <xdr:rowOff>171449</xdr:rowOff>
    </xdr:to>
    <xdr:sp macro="" textlink="">
      <xdr:nvSpPr>
        <xdr:cNvPr id="36332" name="159">
          <a:extLst>
            <a:ext uri="{FF2B5EF4-FFF2-40B4-BE49-F238E27FC236}">
              <a16:creationId xmlns:a16="http://schemas.microsoft.com/office/drawing/2014/main" id="{E175A66D-C747-4337-9643-295F2C373F89}"/>
            </a:ext>
          </a:extLst>
        </xdr:cNvPr>
        <xdr:cNvSpPr/>
      </xdr:nvSpPr>
      <xdr:spPr>
        <a:xfrm>
          <a:off x="19828329" y="36930329"/>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62049</xdr:colOff>
      <xdr:row>162</xdr:row>
      <xdr:rowOff>114299</xdr:rowOff>
    </xdr:from>
    <xdr:to>
      <xdr:col>68</xdr:col>
      <xdr:colOff>62049</xdr:colOff>
      <xdr:row>162</xdr:row>
      <xdr:rowOff>114299</xdr:rowOff>
    </xdr:to>
    <xdr:cxnSp macro="">
      <xdr:nvCxnSpPr>
        <xdr:cNvPr id="36333" name="직선 화살표 연결선 36332">
          <a:extLst>
            <a:ext uri="{FF2B5EF4-FFF2-40B4-BE49-F238E27FC236}">
              <a16:creationId xmlns:a16="http://schemas.microsoft.com/office/drawing/2014/main" id="{CFE6F66A-8BE6-4F99-AE5E-7B7A2363F92D}"/>
            </a:ext>
          </a:extLst>
        </xdr:cNvPr>
        <xdr:cNvCxnSpPr/>
      </xdr:nvCxnSpPr>
      <xdr:spPr>
        <a:xfrm>
          <a:off x="19828329" y="36987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41366</xdr:colOff>
      <xdr:row>161</xdr:row>
      <xdr:rowOff>57149</xdr:rowOff>
    </xdr:from>
    <xdr:to>
      <xdr:col>70</xdr:col>
      <xdr:colOff>104684</xdr:colOff>
      <xdr:row>161</xdr:row>
      <xdr:rowOff>171449</xdr:rowOff>
    </xdr:to>
    <xdr:sp macro="" textlink="">
      <xdr:nvSpPr>
        <xdr:cNvPr id="36334" name="158">
          <a:extLst>
            <a:ext uri="{FF2B5EF4-FFF2-40B4-BE49-F238E27FC236}">
              <a16:creationId xmlns:a16="http://schemas.microsoft.com/office/drawing/2014/main" id="{2814DD3B-70D5-4BA2-8060-59DBB99152A5}"/>
            </a:ext>
          </a:extLst>
        </xdr:cNvPr>
        <xdr:cNvSpPr/>
      </xdr:nvSpPr>
      <xdr:spPr>
        <a:xfrm>
          <a:off x="19952426" y="36701729"/>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41366</xdr:colOff>
      <xdr:row>161</xdr:row>
      <xdr:rowOff>114299</xdr:rowOff>
    </xdr:from>
    <xdr:to>
      <xdr:col>69</xdr:col>
      <xdr:colOff>41366</xdr:colOff>
      <xdr:row>161</xdr:row>
      <xdr:rowOff>114299</xdr:rowOff>
    </xdr:to>
    <xdr:cxnSp macro="">
      <xdr:nvCxnSpPr>
        <xdr:cNvPr id="36335" name="직선 화살표 연결선 36334">
          <a:extLst>
            <a:ext uri="{FF2B5EF4-FFF2-40B4-BE49-F238E27FC236}">
              <a16:creationId xmlns:a16="http://schemas.microsoft.com/office/drawing/2014/main" id="{CE0BD3C1-810F-49A9-821B-C3B4C50D47E8}"/>
            </a:ext>
          </a:extLst>
        </xdr:cNvPr>
        <xdr:cNvCxnSpPr/>
      </xdr:nvCxnSpPr>
      <xdr:spPr>
        <a:xfrm>
          <a:off x="19952426" y="36758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62049</xdr:colOff>
      <xdr:row>160</xdr:row>
      <xdr:rowOff>57149</xdr:rowOff>
    </xdr:from>
    <xdr:to>
      <xdr:col>69</xdr:col>
      <xdr:colOff>104684</xdr:colOff>
      <xdr:row>160</xdr:row>
      <xdr:rowOff>171449</xdr:rowOff>
    </xdr:to>
    <xdr:sp macro="" textlink="">
      <xdr:nvSpPr>
        <xdr:cNvPr id="36336" name="157">
          <a:extLst>
            <a:ext uri="{FF2B5EF4-FFF2-40B4-BE49-F238E27FC236}">
              <a16:creationId xmlns:a16="http://schemas.microsoft.com/office/drawing/2014/main" id="{64D75E8F-149E-4206-B732-7B9BAE25EF12}"/>
            </a:ext>
          </a:extLst>
        </xdr:cNvPr>
        <xdr:cNvSpPr/>
      </xdr:nvSpPr>
      <xdr:spPr>
        <a:xfrm>
          <a:off x="19828329" y="36473129"/>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62049</xdr:colOff>
      <xdr:row>160</xdr:row>
      <xdr:rowOff>114299</xdr:rowOff>
    </xdr:from>
    <xdr:to>
      <xdr:col>68</xdr:col>
      <xdr:colOff>62049</xdr:colOff>
      <xdr:row>160</xdr:row>
      <xdr:rowOff>114299</xdr:rowOff>
    </xdr:to>
    <xdr:cxnSp macro="">
      <xdr:nvCxnSpPr>
        <xdr:cNvPr id="36337" name="직선 화살표 연결선 36336">
          <a:extLst>
            <a:ext uri="{FF2B5EF4-FFF2-40B4-BE49-F238E27FC236}">
              <a16:creationId xmlns:a16="http://schemas.microsoft.com/office/drawing/2014/main" id="{0FD82DFE-9147-4F9D-BDEA-4D410D957946}"/>
            </a:ext>
          </a:extLst>
        </xdr:cNvPr>
        <xdr:cNvCxnSpPr/>
      </xdr:nvCxnSpPr>
      <xdr:spPr>
        <a:xfrm>
          <a:off x="19828329" y="36530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159</xdr:row>
      <xdr:rowOff>57149</xdr:rowOff>
    </xdr:from>
    <xdr:to>
      <xdr:col>67</xdr:col>
      <xdr:colOff>104684</xdr:colOff>
      <xdr:row>159</xdr:row>
      <xdr:rowOff>171449</xdr:rowOff>
    </xdr:to>
    <xdr:sp macro="" textlink="">
      <xdr:nvSpPr>
        <xdr:cNvPr id="36338" name="156">
          <a:extLst>
            <a:ext uri="{FF2B5EF4-FFF2-40B4-BE49-F238E27FC236}">
              <a16:creationId xmlns:a16="http://schemas.microsoft.com/office/drawing/2014/main" id="{1CEBFF3A-DDE4-409F-8195-90E8FF2F2253}"/>
            </a:ext>
          </a:extLst>
        </xdr:cNvPr>
        <xdr:cNvSpPr/>
      </xdr:nvSpPr>
      <xdr:spPr>
        <a:xfrm>
          <a:off x="19476720" y="3624452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0</xdr:colOff>
      <xdr:row>159</xdr:row>
      <xdr:rowOff>114299</xdr:rowOff>
    </xdr:from>
    <xdr:to>
      <xdr:col>66</xdr:col>
      <xdr:colOff>0</xdr:colOff>
      <xdr:row>159</xdr:row>
      <xdr:rowOff>114299</xdr:rowOff>
    </xdr:to>
    <xdr:cxnSp macro="">
      <xdr:nvCxnSpPr>
        <xdr:cNvPr id="36339" name="직선 화살표 연결선 36338">
          <a:extLst>
            <a:ext uri="{FF2B5EF4-FFF2-40B4-BE49-F238E27FC236}">
              <a16:creationId xmlns:a16="http://schemas.microsoft.com/office/drawing/2014/main" id="{F5CBBDDE-A49E-46FE-ADDE-AEBFAD2F8E18}"/>
            </a:ext>
          </a:extLst>
        </xdr:cNvPr>
        <xdr:cNvCxnSpPr/>
      </xdr:nvCxnSpPr>
      <xdr:spPr>
        <a:xfrm>
          <a:off x="19476720" y="36301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144779</xdr:colOff>
      <xdr:row>158</xdr:row>
      <xdr:rowOff>57149</xdr:rowOff>
    </xdr:from>
    <xdr:to>
      <xdr:col>65</xdr:col>
      <xdr:colOff>104684</xdr:colOff>
      <xdr:row>158</xdr:row>
      <xdr:rowOff>171449</xdr:rowOff>
    </xdr:to>
    <xdr:sp macro="" textlink="">
      <xdr:nvSpPr>
        <xdr:cNvPr id="36340" name="155">
          <a:extLst>
            <a:ext uri="{FF2B5EF4-FFF2-40B4-BE49-F238E27FC236}">
              <a16:creationId xmlns:a16="http://schemas.microsoft.com/office/drawing/2014/main" id="{ABDF878C-C39C-4CBE-8456-71E25C48992A}"/>
            </a:ext>
          </a:extLst>
        </xdr:cNvPr>
        <xdr:cNvSpPr/>
      </xdr:nvSpPr>
      <xdr:spPr>
        <a:xfrm>
          <a:off x="19331939" y="3601592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144779</xdr:colOff>
      <xdr:row>158</xdr:row>
      <xdr:rowOff>114299</xdr:rowOff>
    </xdr:from>
    <xdr:to>
      <xdr:col>64</xdr:col>
      <xdr:colOff>144779</xdr:colOff>
      <xdr:row>158</xdr:row>
      <xdr:rowOff>114299</xdr:rowOff>
    </xdr:to>
    <xdr:cxnSp macro="">
      <xdr:nvCxnSpPr>
        <xdr:cNvPr id="36341" name="직선 화살표 연결선 36340">
          <a:extLst>
            <a:ext uri="{FF2B5EF4-FFF2-40B4-BE49-F238E27FC236}">
              <a16:creationId xmlns:a16="http://schemas.microsoft.com/office/drawing/2014/main" id="{16F8899E-B481-48FB-A709-7504E3B113F6}"/>
            </a:ext>
          </a:extLst>
        </xdr:cNvPr>
        <xdr:cNvCxnSpPr/>
      </xdr:nvCxnSpPr>
      <xdr:spPr>
        <a:xfrm>
          <a:off x="19331939" y="36073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157</xdr:row>
      <xdr:rowOff>57149</xdr:rowOff>
    </xdr:from>
    <xdr:to>
      <xdr:col>64</xdr:col>
      <xdr:colOff>104684</xdr:colOff>
      <xdr:row>157</xdr:row>
      <xdr:rowOff>171449</xdr:rowOff>
    </xdr:to>
    <xdr:sp macro="" textlink="">
      <xdr:nvSpPr>
        <xdr:cNvPr id="36342" name="154">
          <a:extLst>
            <a:ext uri="{FF2B5EF4-FFF2-40B4-BE49-F238E27FC236}">
              <a16:creationId xmlns:a16="http://schemas.microsoft.com/office/drawing/2014/main" id="{2935D6CE-E061-49ED-AF7A-F0AB108247CD}"/>
            </a:ext>
          </a:extLst>
        </xdr:cNvPr>
        <xdr:cNvSpPr/>
      </xdr:nvSpPr>
      <xdr:spPr>
        <a:xfrm>
          <a:off x="19042380" y="3578732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157</xdr:row>
      <xdr:rowOff>114299</xdr:rowOff>
    </xdr:from>
    <xdr:to>
      <xdr:col>63</xdr:col>
      <xdr:colOff>0</xdr:colOff>
      <xdr:row>157</xdr:row>
      <xdr:rowOff>114299</xdr:rowOff>
    </xdr:to>
    <xdr:cxnSp macro="">
      <xdr:nvCxnSpPr>
        <xdr:cNvPr id="36343" name="직선 화살표 연결선 36342">
          <a:extLst>
            <a:ext uri="{FF2B5EF4-FFF2-40B4-BE49-F238E27FC236}">
              <a16:creationId xmlns:a16="http://schemas.microsoft.com/office/drawing/2014/main" id="{AF7D9191-550B-492A-BF98-9E474DA7AA3F}"/>
            </a:ext>
          </a:extLst>
        </xdr:cNvPr>
        <xdr:cNvCxnSpPr/>
      </xdr:nvCxnSpPr>
      <xdr:spPr>
        <a:xfrm>
          <a:off x="19042380" y="35844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156</xdr:row>
      <xdr:rowOff>57149</xdr:rowOff>
    </xdr:from>
    <xdr:to>
      <xdr:col>36</xdr:col>
      <xdr:colOff>63318</xdr:colOff>
      <xdr:row>156</xdr:row>
      <xdr:rowOff>171449</xdr:rowOff>
    </xdr:to>
    <xdr:sp macro="" textlink="">
      <xdr:nvSpPr>
        <xdr:cNvPr id="36344" name="153">
          <a:extLst>
            <a:ext uri="{FF2B5EF4-FFF2-40B4-BE49-F238E27FC236}">
              <a16:creationId xmlns:a16="http://schemas.microsoft.com/office/drawing/2014/main" id="{35B389A4-B90C-4B3C-8584-05F9A6AB5014}"/>
            </a:ext>
          </a:extLst>
        </xdr:cNvPr>
        <xdr:cNvSpPr/>
      </xdr:nvSpPr>
      <xdr:spPr>
        <a:xfrm>
          <a:off x="15029906" y="35558729"/>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156</xdr:row>
      <xdr:rowOff>114299</xdr:rowOff>
    </xdr:from>
    <xdr:to>
      <xdr:col>36</xdr:col>
      <xdr:colOff>41366</xdr:colOff>
      <xdr:row>156</xdr:row>
      <xdr:rowOff>114299</xdr:rowOff>
    </xdr:to>
    <xdr:cxnSp macro="">
      <xdr:nvCxnSpPr>
        <xdr:cNvPr id="36345" name="직선 화살표 연결선 36344">
          <a:extLst>
            <a:ext uri="{FF2B5EF4-FFF2-40B4-BE49-F238E27FC236}">
              <a16:creationId xmlns:a16="http://schemas.microsoft.com/office/drawing/2014/main" id="{B9A23267-B7AF-40AE-AF8D-49F04CE23C85}"/>
            </a:ext>
          </a:extLst>
        </xdr:cNvPr>
        <xdr:cNvCxnSpPr/>
      </xdr:nvCxnSpPr>
      <xdr:spPr>
        <a:xfrm>
          <a:off x="15133320" y="35615879"/>
          <a:ext cx="41366"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155</xdr:row>
      <xdr:rowOff>57149</xdr:rowOff>
    </xdr:from>
    <xdr:to>
      <xdr:col>35</xdr:col>
      <xdr:colOff>42636</xdr:colOff>
      <xdr:row>155</xdr:row>
      <xdr:rowOff>171449</xdr:rowOff>
    </xdr:to>
    <xdr:sp macro="" textlink="">
      <xdr:nvSpPr>
        <xdr:cNvPr id="36346" name="152">
          <a:extLst>
            <a:ext uri="{FF2B5EF4-FFF2-40B4-BE49-F238E27FC236}">
              <a16:creationId xmlns:a16="http://schemas.microsoft.com/office/drawing/2014/main" id="{DAFFBB59-9097-48D1-BEE4-E7574EBC4CEA}"/>
            </a:ext>
          </a:extLst>
        </xdr:cNvPr>
        <xdr:cNvSpPr/>
      </xdr:nvSpPr>
      <xdr:spPr>
        <a:xfrm>
          <a:off x="15009223" y="35330129"/>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155</xdr:row>
      <xdr:rowOff>114299</xdr:rowOff>
    </xdr:from>
    <xdr:to>
      <xdr:col>35</xdr:col>
      <xdr:colOff>41366</xdr:colOff>
      <xdr:row>155</xdr:row>
      <xdr:rowOff>114299</xdr:rowOff>
    </xdr:to>
    <xdr:cxnSp macro="">
      <xdr:nvCxnSpPr>
        <xdr:cNvPr id="36347" name="직선 화살표 연결선 36346">
          <a:extLst>
            <a:ext uri="{FF2B5EF4-FFF2-40B4-BE49-F238E27FC236}">
              <a16:creationId xmlns:a16="http://schemas.microsoft.com/office/drawing/2014/main" id="{D84DA375-4BD5-44A5-8D05-EEB7C46E5582}"/>
            </a:ext>
          </a:extLst>
        </xdr:cNvPr>
        <xdr:cNvCxnSpPr/>
      </xdr:nvCxnSpPr>
      <xdr:spPr>
        <a:xfrm>
          <a:off x="15009223" y="35387279"/>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144779</xdr:colOff>
      <xdr:row>154</xdr:row>
      <xdr:rowOff>57149</xdr:rowOff>
    </xdr:from>
    <xdr:to>
      <xdr:col>35</xdr:col>
      <xdr:colOff>21953</xdr:colOff>
      <xdr:row>154</xdr:row>
      <xdr:rowOff>171449</xdr:rowOff>
    </xdr:to>
    <xdr:sp macro="" textlink="">
      <xdr:nvSpPr>
        <xdr:cNvPr id="36348" name="151">
          <a:extLst>
            <a:ext uri="{FF2B5EF4-FFF2-40B4-BE49-F238E27FC236}">
              <a16:creationId xmlns:a16="http://schemas.microsoft.com/office/drawing/2014/main" id="{511E3BBF-63B5-45E1-8C71-BC37045D2497}"/>
            </a:ext>
          </a:extLst>
        </xdr:cNvPr>
        <xdr:cNvSpPr/>
      </xdr:nvSpPr>
      <xdr:spPr>
        <a:xfrm>
          <a:off x="14988539" y="351015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144779</xdr:colOff>
      <xdr:row>154</xdr:row>
      <xdr:rowOff>114299</xdr:rowOff>
    </xdr:from>
    <xdr:to>
      <xdr:col>35</xdr:col>
      <xdr:colOff>20683</xdr:colOff>
      <xdr:row>154</xdr:row>
      <xdr:rowOff>114299</xdr:rowOff>
    </xdr:to>
    <xdr:cxnSp macro="">
      <xdr:nvCxnSpPr>
        <xdr:cNvPr id="36349" name="직선 화살표 연결선 36348">
          <a:extLst>
            <a:ext uri="{FF2B5EF4-FFF2-40B4-BE49-F238E27FC236}">
              <a16:creationId xmlns:a16="http://schemas.microsoft.com/office/drawing/2014/main" id="{F1343A69-09A1-4039-9038-153529A92C5B}"/>
            </a:ext>
          </a:extLst>
        </xdr:cNvPr>
        <xdr:cNvCxnSpPr/>
      </xdr:nvCxnSpPr>
      <xdr:spPr>
        <a:xfrm>
          <a:off x="14988539" y="35158679"/>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144779</xdr:colOff>
      <xdr:row>153</xdr:row>
      <xdr:rowOff>57149</xdr:rowOff>
    </xdr:from>
    <xdr:to>
      <xdr:col>36</xdr:col>
      <xdr:colOff>63318</xdr:colOff>
      <xdr:row>153</xdr:row>
      <xdr:rowOff>171449</xdr:rowOff>
    </xdr:to>
    <xdr:sp macro="" textlink="">
      <xdr:nvSpPr>
        <xdr:cNvPr id="36350" name="150">
          <a:extLst>
            <a:ext uri="{FF2B5EF4-FFF2-40B4-BE49-F238E27FC236}">
              <a16:creationId xmlns:a16="http://schemas.microsoft.com/office/drawing/2014/main" id="{C6A468C5-885B-4505-A951-451E128CEA6C}"/>
            </a:ext>
          </a:extLst>
        </xdr:cNvPr>
        <xdr:cNvSpPr/>
      </xdr:nvSpPr>
      <xdr:spPr>
        <a:xfrm>
          <a:off x="14988539" y="34872929"/>
          <a:ext cx="2080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144779</xdr:colOff>
      <xdr:row>153</xdr:row>
      <xdr:rowOff>114299</xdr:rowOff>
    </xdr:from>
    <xdr:to>
      <xdr:col>36</xdr:col>
      <xdr:colOff>41366</xdr:colOff>
      <xdr:row>153</xdr:row>
      <xdr:rowOff>114299</xdr:rowOff>
    </xdr:to>
    <xdr:cxnSp macro="">
      <xdr:nvCxnSpPr>
        <xdr:cNvPr id="36351" name="직선 화살표 연결선 36350">
          <a:extLst>
            <a:ext uri="{FF2B5EF4-FFF2-40B4-BE49-F238E27FC236}">
              <a16:creationId xmlns:a16="http://schemas.microsoft.com/office/drawing/2014/main" id="{04473EBD-8AEB-416B-8146-F0A1C9447261}"/>
            </a:ext>
          </a:extLst>
        </xdr:cNvPr>
        <xdr:cNvCxnSpPr/>
      </xdr:nvCxnSpPr>
      <xdr:spPr>
        <a:xfrm>
          <a:off x="14988539" y="34930079"/>
          <a:ext cx="1861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144779</xdr:colOff>
      <xdr:row>152</xdr:row>
      <xdr:rowOff>57149</xdr:rowOff>
    </xdr:from>
    <xdr:to>
      <xdr:col>82</xdr:col>
      <xdr:colOff>104684</xdr:colOff>
      <xdr:row>152</xdr:row>
      <xdr:rowOff>171449</xdr:rowOff>
    </xdr:to>
    <xdr:sp macro="" textlink="">
      <xdr:nvSpPr>
        <xdr:cNvPr id="36352" name="149">
          <a:extLst>
            <a:ext uri="{FF2B5EF4-FFF2-40B4-BE49-F238E27FC236}">
              <a16:creationId xmlns:a16="http://schemas.microsoft.com/office/drawing/2014/main" id="{E2E20227-F2EA-4251-AAE4-D5A6EB585FE4}"/>
            </a:ext>
          </a:extLst>
        </xdr:cNvPr>
        <xdr:cNvSpPr/>
      </xdr:nvSpPr>
      <xdr:spPr>
        <a:xfrm>
          <a:off x="14988539" y="34644329"/>
          <a:ext cx="69093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144779</xdr:colOff>
      <xdr:row>152</xdr:row>
      <xdr:rowOff>114299</xdr:rowOff>
    </xdr:from>
    <xdr:to>
      <xdr:col>39</xdr:col>
      <xdr:colOff>116657</xdr:colOff>
      <xdr:row>152</xdr:row>
      <xdr:rowOff>114299</xdr:rowOff>
    </xdr:to>
    <xdr:cxnSp macro="">
      <xdr:nvCxnSpPr>
        <xdr:cNvPr id="36353" name="직선 화살표 연결선 36352">
          <a:extLst>
            <a:ext uri="{FF2B5EF4-FFF2-40B4-BE49-F238E27FC236}">
              <a16:creationId xmlns:a16="http://schemas.microsoft.com/office/drawing/2014/main" id="{A6D6700A-531D-4544-846E-475664146DC1}"/>
            </a:ext>
          </a:extLst>
        </xdr:cNvPr>
        <xdr:cNvCxnSpPr/>
      </xdr:nvCxnSpPr>
      <xdr:spPr>
        <a:xfrm>
          <a:off x="14988539" y="34701479"/>
          <a:ext cx="6957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0</xdr:colOff>
      <xdr:row>151</xdr:row>
      <xdr:rowOff>57149</xdr:rowOff>
    </xdr:from>
    <xdr:to>
      <xdr:col>92</xdr:col>
      <xdr:colOff>104684</xdr:colOff>
      <xdr:row>151</xdr:row>
      <xdr:rowOff>171449</xdr:rowOff>
    </xdr:to>
    <xdr:sp macro="" textlink="">
      <xdr:nvSpPr>
        <xdr:cNvPr id="36354" name="148">
          <a:extLst>
            <a:ext uri="{FF2B5EF4-FFF2-40B4-BE49-F238E27FC236}">
              <a16:creationId xmlns:a16="http://schemas.microsoft.com/office/drawing/2014/main" id="{D1214941-632D-4D0F-A7B1-77A27BE85EE2}"/>
            </a:ext>
          </a:extLst>
        </xdr:cNvPr>
        <xdr:cNvSpPr/>
      </xdr:nvSpPr>
      <xdr:spPr>
        <a:xfrm>
          <a:off x="23241000" y="3441572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92</xdr:col>
      <xdr:colOff>0</xdr:colOff>
      <xdr:row>151</xdr:row>
      <xdr:rowOff>114299</xdr:rowOff>
    </xdr:from>
    <xdr:to>
      <xdr:col>92</xdr:col>
      <xdr:colOff>0</xdr:colOff>
      <xdr:row>151</xdr:row>
      <xdr:rowOff>114299</xdr:rowOff>
    </xdr:to>
    <xdr:cxnSp macro="">
      <xdr:nvCxnSpPr>
        <xdr:cNvPr id="36355" name="직선 화살표 연결선 36354">
          <a:extLst>
            <a:ext uri="{FF2B5EF4-FFF2-40B4-BE49-F238E27FC236}">
              <a16:creationId xmlns:a16="http://schemas.microsoft.com/office/drawing/2014/main" id="{58E17F46-8401-4479-BD6C-238430BDCDA0}"/>
            </a:ext>
          </a:extLst>
        </xdr:cNvPr>
        <xdr:cNvCxnSpPr/>
      </xdr:nvCxnSpPr>
      <xdr:spPr>
        <a:xfrm>
          <a:off x="23241000" y="34472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xdr:colOff>
      <xdr:row>150</xdr:row>
      <xdr:rowOff>57149</xdr:rowOff>
    </xdr:from>
    <xdr:to>
      <xdr:col>79</xdr:col>
      <xdr:colOff>104684</xdr:colOff>
      <xdr:row>150</xdr:row>
      <xdr:rowOff>171449</xdr:rowOff>
    </xdr:to>
    <xdr:sp macro="" textlink="">
      <xdr:nvSpPr>
        <xdr:cNvPr id="36356" name="147">
          <a:extLst>
            <a:ext uri="{FF2B5EF4-FFF2-40B4-BE49-F238E27FC236}">
              <a16:creationId xmlns:a16="http://schemas.microsoft.com/office/drawing/2014/main" id="{598A9001-C375-4E6D-B4C2-394D21689ACD}"/>
            </a:ext>
          </a:extLst>
        </xdr:cNvPr>
        <xdr:cNvSpPr/>
      </xdr:nvSpPr>
      <xdr:spPr>
        <a:xfrm>
          <a:off x="20634961" y="34187129"/>
          <a:ext cx="8285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xdr:colOff>
      <xdr:row>150</xdr:row>
      <xdr:rowOff>114299</xdr:rowOff>
    </xdr:from>
    <xdr:to>
      <xdr:col>74</xdr:col>
      <xdr:colOff>1</xdr:colOff>
      <xdr:row>150</xdr:row>
      <xdr:rowOff>114299</xdr:rowOff>
    </xdr:to>
    <xdr:cxnSp macro="">
      <xdr:nvCxnSpPr>
        <xdr:cNvPr id="36357" name="직선 화살표 연결선 36356">
          <a:extLst>
            <a:ext uri="{FF2B5EF4-FFF2-40B4-BE49-F238E27FC236}">
              <a16:creationId xmlns:a16="http://schemas.microsoft.com/office/drawing/2014/main" id="{094FE0F7-D0D3-4260-97D2-A4D35E20DB65}"/>
            </a:ext>
          </a:extLst>
        </xdr:cNvPr>
        <xdr:cNvCxnSpPr/>
      </xdr:nvCxnSpPr>
      <xdr:spPr>
        <a:xfrm>
          <a:off x="20634961" y="34244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149</xdr:row>
      <xdr:rowOff>57149</xdr:rowOff>
    </xdr:from>
    <xdr:to>
      <xdr:col>73</xdr:col>
      <xdr:colOff>104684</xdr:colOff>
      <xdr:row>149</xdr:row>
      <xdr:rowOff>171449</xdr:rowOff>
    </xdr:to>
    <xdr:sp macro="" textlink="">
      <xdr:nvSpPr>
        <xdr:cNvPr id="36358" name="146">
          <a:extLst>
            <a:ext uri="{FF2B5EF4-FFF2-40B4-BE49-F238E27FC236}">
              <a16:creationId xmlns:a16="http://schemas.microsoft.com/office/drawing/2014/main" id="{AE4A813F-0054-4B0C-AACF-9348016B9619}"/>
            </a:ext>
          </a:extLst>
        </xdr:cNvPr>
        <xdr:cNvSpPr/>
      </xdr:nvSpPr>
      <xdr:spPr>
        <a:xfrm>
          <a:off x="20200620" y="3395852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149</xdr:row>
      <xdr:rowOff>114299</xdr:rowOff>
    </xdr:from>
    <xdr:to>
      <xdr:col>71</xdr:col>
      <xdr:colOff>0</xdr:colOff>
      <xdr:row>149</xdr:row>
      <xdr:rowOff>114299</xdr:rowOff>
    </xdr:to>
    <xdr:cxnSp macro="">
      <xdr:nvCxnSpPr>
        <xdr:cNvPr id="36359" name="직선 화살표 연결선 36358">
          <a:extLst>
            <a:ext uri="{FF2B5EF4-FFF2-40B4-BE49-F238E27FC236}">
              <a16:creationId xmlns:a16="http://schemas.microsoft.com/office/drawing/2014/main" id="{7E1384E2-FB9F-48A5-85C1-EC80BAAF6797}"/>
            </a:ext>
          </a:extLst>
        </xdr:cNvPr>
        <xdr:cNvCxnSpPr/>
      </xdr:nvCxnSpPr>
      <xdr:spPr>
        <a:xfrm>
          <a:off x="20200620" y="34015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148</xdr:row>
      <xdr:rowOff>57149</xdr:rowOff>
    </xdr:from>
    <xdr:to>
      <xdr:col>71</xdr:col>
      <xdr:colOff>104683</xdr:colOff>
      <xdr:row>148</xdr:row>
      <xdr:rowOff>171449</xdr:rowOff>
    </xdr:to>
    <xdr:sp macro="" textlink="">
      <xdr:nvSpPr>
        <xdr:cNvPr id="36360" name="145">
          <a:extLst>
            <a:ext uri="{FF2B5EF4-FFF2-40B4-BE49-F238E27FC236}">
              <a16:creationId xmlns:a16="http://schemas.microsoft.com/office/drawing/2014/main" id="{685B437B-0DE0-4E55-9672-548D371D9A83}"/>
            </a:ext>
          </a:extLst>
        </xdr:cNvPr>
        <xdr:cNvSpPr/>
      </xdr:nvSpPr>
      <xdr:spPr>
        <a:xfrm>
          <a:off x="20200620" y="3372992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148</xdr:row>
      <xdr:rowOff>114299</xdr:rowOff>
    </xdr:from>
    <xdr:to>
      <xdr:col>71</xdr:col>
      <xdr:colOff>0</xdr:colOff>
      <xdr:row>148</xdr:row>
      <xdr:rowOff>114299</xdr:rowOff>
    </xdr:to>
    <xdr:cxnSp macro="">
      <xdr:nvCxnSpPr>
        <xdr:cNvPr id="36361" name="직선 화살표 연결선 36360">
          <a:extLst>
            <a:ext uri="{FF2B5EF4-FFF2-40B4-BE49-F238E27FC236}">
              <a16:creationId xmlns:a16="http://schemas.microsoft.com/office/drawing/2014/main" id="{BE90F6AE-8FB4-4BD0-807F-7F1F97DF62FA}"/>
            </a:ext>
          </a:extLst>
        </xdr:cNvPr>
        <xdr:cNvCxnSpPr/>
      </xdr:nvCxnSpPr>
      <xdr:spPr>
        <a:xfrm>
          <a:off x="20200620" y="33787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144779</xdr:colOff>
      <xdr:row>147</xdr:row>
      <xdr:rowOff>57149</xdr:rowOff>
    </xdr:from>
    <xdr:to>
      <xdr:col>70</xdr:col>
      <xdr:colOff>104684</xdr:colOff>
      <xdr:row>147</xdr:row>
      <xdr:rowOff>171449</xdr:rowOff>
    </xdr:to>
    <xdr:sp macro="" textlink="">
      <xdr:nvSpPr>
        <xdr:cNvPr id="36362" name="144">
          <a:extLst>
            <a:ext uri="{FF2B5EF4-FFF2-40B4-BE49-F238E27FC236}">
              <a16:creationId xmlns:a16="http://schemas.microsoft.com/office/drawing/2014/main" id="{B2F59D2D-8428-49A7-80EB-83530AE626E6}"/>
            </a:ext>
          </a:extLst>
        </xdr:cNvPr>
        <xdr:cNvSpPr/>
      </xdr:nvSpPr>
      <xdr:spPr>
        <a:xfrm>
          <a:off x="20055839" y="3350132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144779</xdr:colOff>
      <xdr:row>147</xdr:row>
      <xdr:rowOff>114299</xdr:rowOff>
    </xdr:from>
    <xdr:to>
      <xdr:col>69</xdr:col>
      <xdr:colOff>144779</xdr:colOff>
      <xdr:row>147</xdr:row>
      <xdr:rowOff>114299</xdr:rowOff>
    </xdr:to>
    <xdr:cxnSp macro="">
      <xdr:nvCxnSpPr>
        <xdr:cNvPr id="36363" name="직선 화살표 연결선 36362">
          <a:extLst>
            <a:ext uri="{FF2B5EF4-FFF2-40B4-BE49-F238E27FC236}">
              <a16:creationId xmlns:a16="http://schemas.microsoft.com/office/drawing/2014/main" id="{051E16A9-2611-41F7-8A20-69E03516EF67}"/>
            </a:ext>
          </a:extLst>
        </xdr:cNvPr>
        <xdr:cNvCxnSpPr/>
      </xdr:nvCxnSpPr>
      <xdr:spPr>
        <a:xfrm>
          <a:off x="20055839" y="33558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144779</xdr:colOff>
      <xdr:row>146</xdr:row>
      <xdr:rowOff>57149</xdr:rowOff>
    </xdr:from>
    <xdr:to>
      <xdr:col>70</xdr:col>
      <xdr:colOff>104684</xdr:colOff>
      <xdr:row>146</xdr:row>
      <xdr:rowOff>171449</xdr:rowOff>
    </xdr:to>
    <xdr:sp macro="" textlink="">
      <xdr:nvSpPr>
        <xdr:cNvPr id="36364" name="143">
          <a:extLst>
            <a:ext uri="{FF2B5EF4-FFF2-40B4-BE49-F238E27FC236}">
              <a16:creationId xmlns:a16="http://schemas.microsoft.com/office/drawing/2014/main" id="{E0165E05-5F77-409B-B9F1-4F250F685EE9}"/>
            </a:ext>
          </a:extLst>
        </xdr:cNvPr>
        <xdr:cNvSpPr/>
      </xdr:nvSpPr>
      <xdr:spPr>
        <a:xfrm>
          <a:off x="20055839" y="3327272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144779</xdr:colOff>
      <xdr:row>146</xdr:row>
      <xdr:rowOff>114299</xdr:rowOff>
    </xdr:from>
    <xdr:to>
      <xdr:col>69</xdr:col>
      <xdr:colOff>144779</xdr:colOff>
      <xdr:row>146</xdr:row>
      <xdr:rowOff>114299</xdr:rowOff>
    </xdr:to>
    <xdr:cxnSp macro="">
      <xdr:nvCxnSpPr>
        <xdr:cNvPr id="36365" name="직선 화살표 연결선 36364">
          <a:extLst>
            <a:ext uri="{FF2B5EF4-FFF2-40B4-BE49-F238E27FC236}">
              <a16:creationId xmlns:a16="http://schemas.microsoft.com/office/drawing/2014/main" id="{69E1AE5F-E285-4CDA-9771-AD4043153E67}"/>
            </a:ext>
          </a:extLst>
        </xdr:cNvPr>
        <xdr:cNvCxnSpPr/>
      </xdr:nvCxnSpPr>
      <xdr:spPr>
        <a:xfrm>
          <a:off x="20055839" y="33329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1</xdr:colOff>
      <xdr:row>145</xdr:row>
      <xdr:rowOff>57149</xdr:rowOff>
    </xdr:from>
    <xdr:to>
      <xdr:col>69</xdr:col>
      <xdr:colOff>104684</xdr:colOff>
      <xdr:row>145</xdr:row>
      <xdr:rowOff>171449</xdr:rowOff>
    </xdr:to>
    <xdr:sp macro="" textlink="">
      <xdr:nvSpPr>
        <xdr:cNvPr id="36366" name="142">
          <a:extLst>
            <a:ext uri="{FF2B5EF4-FFF2-40B4-BE49-F238E27FC236}">
              <a16:creationId xmlns:a16="http://schemas.microsoft.com/office/drawing/2014/main" id="{DA8F55D8-2981-43DE-893C-8D750281C8C1}"/>
            </a:ext>
          </a:extLst>
        </xdr:cNvPr>
        <xdr:cNvSpPr/>
      </xdr:nvSpPr>
      <xdr:spPr>
        <a:xfrm>
          <a:off x="19911061" y="3304412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1</xdr:colOff>
      <xdr:row>145</xdr:row>
      <xdr:rowOff>114299</xdr:rowOff>
    </xdr:from>
    <xdr:to>
      <xdr:col>69</xdr:col>
      <xdr:colOff>1</xdr:colOff>
      <xdr:row>145</xdr:row>
      <xdr:rowOff>114299</xdr:rowOff>
    </xdr:to>
    <xdr:cxnSp macro="">
      <xdr:nvCxnSpPr>
        <xdr:cNvPr id="36367" name="직선 화살표 연결선 36366">
          <a:extLst>
            <a:ext uri="{FF2B5EF4-FFF2-40B4-BE49-F238E27FC236}">
              <a16:creationId xmlns:a16="http://schemas.microsoft.com/office/drawing/2014/main" id="{EE4E81EE-C10A-4668-8816-5DA3259F650E}"/>
            </a:ext>
          </a:extLst>
        </xdr:cNvPr>
        <xdr:cNvCxnSpPr/>
      </xdr:nvCxnSpPr>
      <xdr:spPr>
        <a:xfrm>
          <a:off x="19911061" y="33101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1</xdr:colOff>
      <xdr:row>144</xdr:row>
      <xdr:rowOff>57149</xdr:rowOff>
    </xdr:from>
    <xdr:to>
      <xdr:col>69</xdr:col>
      <xdr:colOff>104684</xdr:colOff>
      <xdr:row>144</xdr:row>
      <xdr:rowOff>171449</xdr:rowOff>
    </xdr:to>
    <xdr:sp macro="" textlink="">
      <xdr:nvSpPr>
        <xdr:cNvPr id="36368" name="141">
          <a:extLst>
            <a:ext uri="{FF2B5EF4-FFF2-40B4-BE49-F238E27FC236}">
              <a16:creationId xmlns:a16="http://schemas.microsoft.com/office/drawing/2014/main" id="{8DAF1B88-F5DD-4241-9DBB-F56B461E1590}"/>
            </a:ext>
          </a:extLst>
        </xdr:cNvPr>
        <xdr:cNvSpPr/>
      </xdr:nvSpPr>
      <xdr:spPr>
        <a:xfrm>
          <a:off x="19911061" y="3281552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1</xdr:colOff>
      <xdr:row>144</xdr:row>
      <xdr:rowOff>114299</xdr:rowOff>
    </xdr:from>
    <xdr:to>
      <xdr:col>69</xdr:col>
      <xdr:colOff>1</xdr:colOff>
      <xdr:row>144</xdr:row>
      <xdr:rowOff>114299</xdr:rowOff>
    </xdr:to>
    <xdr:cxnSp macro="">
      <xdr:nvCxnSpPr>
        <xdr:cNvPr id="36369" name="직선 화살표 연결선 36368">
          <a:extLst>
            <a:ext uri="{FF2B5EF4-FFF2-40B4-BE49-F238E27FC236}">
              <a16:creationId xmlns:a16="http://schemas.microsoft.com/office/drawing/2014/main" id="{EA8A8D79-33B2-4475-9092-E3D7CCDE33FB}"/>
            </a:ext>
          </a:extLst>
        </xdr:cNvPr>
        <xdr:cNvCxnSpPr/>
      </xdr:nvCxnSpPr>
      <xdr:spPr>
        <a:xfrm>
          <a:off x="19911061" y="32872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82731</xdr:colOff>
      <xdr:row>143</xdr:row>
      <xdr:rowOff>57149</xdr:rowOff>
    </xdr:from>
    <xdr:to>
      <xdr:col>67</xdr:col>
      <xdr:colOff>64951</xdr:colOff>
      <xdr:row>143</xdr:row>
      <xdr:rowOff>184149</xdr:rowOff>
    </xdr:to>
    <xdr:sp macro="" textlink="">
      <xdr:nvSpPr>
        <xdr:cNvPr id="36370" name="다이아몬드 36369">
          <a:extLst>
            <a:ext uri="{FF2B5EF4-FFF2-40B4-BE49-F238E27FC236}">
              <a16:creationId xmlns:a16="http://schemas.microsoft.com/office/drawing/2014/main" id="{72FD593E-6F74-4000-BC68-0DABEF4038C7}"/>
            </a:ext>
          </a:extLst>
        </xdr:cNvPr>
        <xdr:cNvSpPr/>
      </xdr:nvSpPr>
      <xdr:spPr>
        <a:xfrm>
          <a:off x="19559451" y="32586929"/>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0</xdr:colOff>
      <xdr:row>142</xdr:row>
      <xdr:rowOff>57149</xdr:rowOff>
    </xdr:from>
    <xdr:to>
      <xdr:col>61</xdr:col>
      <xdr:colOff>104683</xdr:colOff>
      <xdr:row>142</xdr:row>
      <xdr:rowOff>171449</xdr:rowOff>
    </xdr:to>
    <xdr:sp macro="" textlink="">
      <xdr:nvSpPr>
        <xdr:cNvPr id="36371" name="139">
          <a:extLst>
            <a:ext uri="{FF2B5EF4-FFF2-40B4-BE49-F238E27FC236}">
              <a16:creationId xmlns:a16="http://schemas.microsoft.com/office/drawing/2014/main" id="{6E7FBE03-3604-44A6-A55B-816B106B5307}"/>
            </a:ext>
          </a:extLst>
        </xdr:cNvPr>
        <xdr:cNvSpPr/>
      </xdr:nvSpPr>
      <xdr:spPr>
        <a:xfrm>
          <a:off x="18752820" y="3235832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0</xdr:colOff>
      <xdr:row>142</xdr:row>
      <xdr:rowOff>114299</xdr:rowOff>
    </xdr:from>
    <xdr:to>
      <xdr:col>61</xdr:col>
      <xdr:colOff>0</xdr:colOff>
      <xdr:row>142</xdr:row>
      <xdr:rowOff>114299</xdr:rowOff>
    </xdr:to>
    <xdr:cxnSp macro="">
      <xdr:nvCxnSpPr>
        <xdr:cNvPr id="36372" name="직선 화살표 연결선 36371">
          <a:extLst>
            <a:ext uri="{FF2B5EF4-FFF2-40B4-BE49-F238E27FC236}">
              <a16:creationId xmlns:a16="http://schemas.microsoft.com/office/drawing/2014/main" id="{08DA8DE6-842A-4F24-B70B-B74E5A01FDD7}"/>
            </a:ext>
          </a:extLst>
        </xdr:cNvPr>
        <xdr:cNvCxnSpPr/>
      </xdr:nvCxnSpPr>
      <xdr:spPr>
        <a:xfrm>
          <a:off x="18752820" y="32415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141</xdr:row>
      <xdr:rowOff>57149</xdr:rowOff>
    </xdr:from>
    <xdr:to>
      <xdr:col>67</xdr:col>
      <xdr:colOff>104684</xdr:colOff>
      <xdr:row>141</xdr:row>
      <xdr:rowOff>171449</xdr:rowOff>
    </xdr:to>
    <xdr:sp macro="" textlink="">
      <xdr:nvSpPr>
        <xdr:cNvPr id="36373" name="138">
          <a:extLst>
            <a:ext uri="{FF2B5EF4-FFF2-40B4-BE49-F238E27FC236}">
              <a16:creationId xmlns:a16="http://schemas.microsoft.com/office/drawing/2014/main" id="{7164163D-7B80-4205-83C9-94E7B2023A17}"/>
            </a:ext>
          </a:extLst>
        </xdr:cNvPr>
        <xdr:cNvSpPr/>
      </xdr:nvSpPr>
      <xdr:spPr>
        <a:xfrm>
          <a:off x="19621500" y="3212972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141</xdr:row>
      <xdr:rowOff>114299</xdr:rowOff>
    </xdr:from>
    <xdr:to>
      <xdr:col>67</xdr:col>
      <xdr:colOff>0</xdr:colOff>
      <xdr:row>141</xdr:row>
      <xdr:rowOff>114299</xdr:rowOff>
    </xdr:to>
    <xdr:cxnSp macro="">
      <xdr:nvCxnSpPr>
        <xdr:cNvPr id="36374" name="직선 화살표 연결선 36373">
          <a:extLst>
            <a:ext uri="{FF2B5EF4-FFF2-40B4-BE49-F238E27FC236}">
              <a16:creationId xmlns:a16="http://schemas.microsoft.com/office/drawing/2014/main" id="{797723CC-5672-4AAC-9EE6-29F4029E34F3}"/>
            </a:ext>
          </a:extLst>
        </xdr:cNvPr>
        <xdr:cNvCxnSpPr/>
      </xdr:nvCxnSpPr>
      <xdr:spPr>
        <a:xfrm>
          <a:off x="19621500" y="32186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xdr:colOff>
      <xdr:row>140</xdr:row>
      <xdr:rowOff>57149</xdr:rowOff>
    </xdr:from>
    <xdr:to>
      <xdr:col>66</xdr:col>
      <xdr:colOff>104683</xdr:colOff>
      <xdr:row>140</xdr:row>
      <xdr:rowOff>171449</xdr:rowOff>
    </xdr:to>
    <xdr:sp macro="" textlink="">
      <xdr:nvSpPr>
        <xdr:cNvPr id="36375" name="137">
          <a:extLst>
            <a:ext uri="{FF2B5EF4-FFF2-40B4-BE49-F238E27FC236}">
              <a16:creationId xmlns:a16="http://schemas.microsoft.com/office/drawing/2014/main" id="{700B10B6-FB60-4B98-811D-CDEB0AA4A287}"/>
            </a:ext>
          </a:extLst>
        </xdr:cNvPr>
        <xdr:cNvSpPr/>
      </xdr:nvSpPr>
      <xdr:spPr>
        <a:xfrm>
          <a:off x="19187161" y="31901129"/>
          <a:ext cx="394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xdr:colOff>
      <xdr:row>140</xdr:row>
      <xdr:rowOff>114299</xdr:rowOff>
    </xdr:from>
    <xdr:to>
      <xdr:col>64</xdr:col>
      <xdr:colOff>1</xdr:colOff>
      <xdr:row>140</xdr:row>
      <xdr:rowOff>114299</xdr:rowOff>
    </xdr:to>
    <xdr:cxnSp macro="">
      <xdr:nvCxnSpPr>
        <xdr:cNvPr id="36376" name="직선 화살표 연결선 36375">
          <a:extLst>
            <a:ext uri="{FF2B5EF4-FFF2-40B4-BE49-F238E27FC236}">
              <a16:creationId xmlns:a16="http://schemas.microsoft.com/office/drawing/2014/main" id="{BF11C56B-1B2C-4C91-AB5A-B88E27F938F3}"/>
            </a:ext>
          </a:extLst>
        </xdr:cNvPr>
        <xdr:cNvCxnSpPr/>
      </xdr:nvCxnSpPr>
      <xdr:spPr>
        <a:xfrm>
          <a:off x="19187161" y="31958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139</xdr:row>
      <xdr:rowOff>57149</xdr:rowOff>
    </xdr:from>
    <xdr:to>
      <xdr:col>92</xdr:col>
      <xdr:colOff>104684</xdr:colOff>
      <xdr:row>139</xdr:row>
      <xdr:rowOff>171449</xdr:rowOff>
    </xdr:to>
    <xdr:sp macro="" textlink="">
      <xdr:nvSpPr>
        <xdr:cNvPr id="36377" name="136">
          <a:extLst>
            <a:ext uri="{FF2B5EF4-FFF2-40B4-BE49-F238E27FC236}">
              <a16:creationId xmlns:a16="http://schemas.microsoft.com/office/drawing/2014/main" id="{B0612280-30E5-4BE1-BA6B-DF4ABD7C972F}"/>
            </a:ext>
          </a:extLst>
        </xdr:cNvPr>
        <xdr:cNvSpPr/>
      </xdr:nvSpPr>
      <xdr:spPr>
        <a:xfrm>
          <a:off x="18752820" y="31672529"/>
          <a:ext cx="45928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0</xdr:colOff>
      <xdr:row>139</xdr:row>
      <xdr:rowOff>114299</xdr:rowOff>
    </xdr:from>
    <xdr:to>
      <xdr:col>61</xdr:col>
      <xdr:colOff>0</xdr:colOff>
      <xdr:row>139</xdr:row>
      <xdr:rowOff>114299</xdr:rowOff>
    </xdr:to>
    <xdr:cxnSp macro="">
      <xdr:nvCxnSpPr>
        <xdr:cNvPr id="36378" name="직선 화살표 연결선 36377">
          <a:extLst>
            <a:ext uri="{FF2B5EF4-FFF2-40B4-BE49-F238E27FC236}">
              <a16:creationId xmlns:a16="http://schemas.microsoft.com/office/drawing/2014/main" id="{AD0A4C0A-D233-4D35-BF3E-109E6B84B380}"/>
            </a:ext>
          </a:extLst>
        </xdr:cNvPr>
        <xdr:cNvCxnSpPr/>
      </xdr:nvCxnSpPr>
      <xdr:spPr>
        <a:xfrm>
          <a:off x="18752820" y="31729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144779</xdr:colOff>
      <xdr:row>138</xdr:row>
      <xdr:rowOff>57149</xdr:rowOff>
    </xdr:from>
    <xdr:to>
      <xdr:col>92</xdr:col>
      <xdr:colOff>104684</xdr:colOff>
      <xdr:row>138</xdr:row>
      <xdr:rowOff>171449</xdr:rowOff>
    </xdr:to>
    <xdr:sp macro="" textlink="">
      <xdr:nvSpPr>
        <xdr:cNvPr id="36379" name="135">
          <a:extLst>
            <a:ext uri="{FF2B5EF4-FFF2-40B4-BE49-F238E27FC236}">
              <a16:creationId xmlns:a16="http://schemas.microsoft.com/office/drawing/2014/main" id="{43DE877F-9497-4100-AA0A-2E90A012EBE6}"/>
            </a:ext>
          </a:extLst>
        </xdr:cNvPr>
        <xdr:cNvSpPr/>
      </xdr:nvSpPr>
      <xdr:spPr>
        <a:xfrm>
          <a:off x="14988539" y="31443929"/>
          <a:ext cx="8357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144779</xdr:colOff>
      <xdr:row>138</xdr:row>
      <xdr:rowOff>114299</xdr:rowOff>
    </xdr:from>
    <xdr:to>
      <xdr:col>37</xdr:col>
      <xdr:colOff>89022</xdr:colOff>
      <xdr:row>138</xdr:row>
      <xdr:rowOff>114299</xdr:rowOff>
    </xdr:to>
    <xdr:cxnSp macro="">
      <xdr:nvCxnSpPr>
        <xdr:cNvPr id="36380" name="직선 화살표 연결선 36379">
          <a:extLst>
            <a:ext uri="{FF2B5EF4-FFF2-40B4-BE49-F238E27FC236}">
              <a16:creationId xmlns:a16="http://schemas.microsoft.com/office/drawing/2014/main" id="{33D2AB24-FF89-4BB3-8D72-C35268FF1529}"/>
            </a:ext>
          </a:extLst>
        </xdr:cNvPr>
        <xdr:cNvCxnSpPr/>
      </xdr:nvCxnSpPr>
      <xdr:spPr>
        <a:xfrm>
          <a:off x="14988539" y="31501079"/>
          <a:ext cx="3785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xdr:colOff>
      <xdr:row>136</xdr:row>
      <xdr:rowOff>57149</xdr:rowOff>
    </xdr:from>
    <xdr:to>
      <xdr:col>82</xdr:col>
      <xdr:colOff>104684</xdr:colOff>
      <xdr:row>136</xdr:row>
      <xdr:rowOff>171449</xdr:rowOff>
    </xdr:to>
    <xdr:sp macro="" textlink="">
      <xdr:nvSpPr>
        <xdr:cNvPr id="36381" name="133">
          <a:extLst>
            <a:ext uri="{FF2B5EF4-FFF2-40B4-BE49-F238E27FC236}">
              <a16:creationId xmlns:a16="http://schemas.microsoft.com/office/drawing/2014/main" id="{87AE2A3F-F998-4CC1-8B98-B0A10E980EE3}"/>
            </a:ext>
          </a:extLst>
        </xdr:cNvPr>
        <xdr:cNvSpPr/>
      </xdr:nvSpPr>
      <xdr:spPr>
        <a:xfrm>
          <a:off x="20634961" y="3098672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xdr:colOff>
      <xdr:row>136</xdr:row>
      <xdr:rowOff>114299</xdr:rowOff>
    </xdr:from>
    <xdr:to>
      <xdr:col>74</xdr:col>
      <xdr:colOff>1</xdr:colOff>
      <xdr:row>136</xdr:row>
      <xdr:rowOff>114299</xdr:rowOff>
    </xdr:to>
    <xdr:cxnSp macro="">
      <xdr:nvCxnSpPr>
        <xdr:cNvPr id="36382" name="직선 화살표 연결선 36381">
          <a:extLst>
            <a:ext uri="{FF2B5EF4-FFF2-40B4-BE49-F238E27FC236}">
              <a16:creationId xmlns:a16="http://schemas.microsoft.com/office/drawing/2014/main" id="{ED5B5095-ADC1-447D-A909-270829DF566F}"/>
            </a:ext>
          </a:extLst>
        </xdr:cNvPr>
        <xdr:cNvCxnSpPr/>
      </xdr:nvCxnSpPr>
      <xdr:spPr>
        <a:xfrm>
          <a:off x="20634961" y="31043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135</xdr:row>
      <xdr:rowOff>57149</xdr:rowOff>
    </xdr:from>
    <xdr:to>
      <xdr:col>37</xdr:col>
      <xdr:colOff>104684</xdr:colOff>
      <xdr:row>135</xdr:row>
      <xdr:rowOff>171449</xdr:rowOff>
    </xdr:to>
    <xdr:sp macro="" textlink="">
      <xdr:nvSpPr>
        <xdr:cNvPr id="36383" name="132">
          <a:extLst>
            <a:ext uri="{FF2B5EF4-FFF2-40B4-BE49-F238E27FC236}">
              <a16:creationId xmlns:a16="http://schemas.microsoft.com/office/drawing/2014/main" id="{2456D20C-4C76-49A7-BDAD-8CC840DF5B3F}"/>
            </a:ext>
          </a:extLst>
        </xdr:cNvPr>
        <xdr:cNvSpPr/>
      </xdr:nvSpPr>
      <xdr:spPr>
        <a:xfrm>
          <a:off x="15278100" y="3075812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135</xdr:row>
      <xdr:rowOff>114299</xdr:rowOff>
    </xdr:from>
    <xdr:to>
      <xdr:col>37</xdr:col>
      <xdr:colOff>0</xdr:colOff>
      <xdr:row>135</xdr:row>
      <xdr:rowOff>114299</xdr:rowOff>
    </xdr:to>
    <xdr:cxnSp macro="">
      <xdr:nvCxnSpPr>
        <xdr:cNvPr id="36384" name="직선 화살표 연결선 36383">
          <a:extLst>
            <a:ext uri="{FF2B5EF4-FFF2-40B4-BE49-F238E27FC236}">
              <a16:creationId xmlns:a16="http://schemas.microsoft.com/office/drawing/2014/main" id="{350A3BE9-D658-4587-9DC2-FBB70508600B}"/>
            </a:ext>
          </a:extLst>
        </xdr:cNvPr>
        <xdr:cNvCxnSpPr/>
      </xdr:nvCxnSpPr>
      <xdr:spPr>
        <a:xfrm>
          <a:off x="15278100" y="30815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134</xdr:row>
      <xdr:rowOff>57149</xdr:rowOff>
    </xdr:from>
    <xdr:to>
      <xdr:col>82</xdr:col>
      <xdr:colOff>104684</xdr:colOff>
      <xdr:row>134</xdr:row>
      <xdr:rowOff>171449</xdr:rowOff>
    </xdr:to>
    <xdr:sp macro="" textlink="">
      <xdr:nvSpPr>
        <xdr:cNvPr id="36385" name="131">
          <a:extLst>
            <a:ext uri="{FF2B5EF4-FFF2-40B4-BE49-F238E27FC236}">
              <a16:creationId xmlns:a16="http://schemas.microsoft.com/office/drawing/2014/main" id="{2523E4CC-5789-4276-9B1F-7051F3A52305}"/>
            </a:ext>
          </a:extLst>
        </xdr:cNvPr>
        <xdr:cNvSpPr/>
      </xdr:nvSpPr>
      <xdr:spPr>
        <a:xfrm>
          <a:off x="15278100" y="30529529"/>
          <a:ext cx="66197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134</xdr:row>
      <xdr:rowOff>114299</xdr:rowOff>
    </xdr:from>
    <xdr:to>
      <xdr:col>37</xdr:col>
      <xdr:colOff>0</xdr:colOff>
      <xdr:row>134</xdr:row>
      <xdr:rowOff>114299</xdr:rowOff>
    </xdr:to>
    <xdr:cxnSp macro="">
      <xdr:nvCxnSpPr>
        <xdr:cNvPr id="36386" name="직선 화살표 연결선 36385">
          <a:extLst>
            <a:ext uri="{FF2B5EF4-FFF2-40B4-BE49-F238E27FC236}">
              <a16:creationId xmlns:a16="http://schemas.microsoft.com/office/drawing/2014/main" id="{1862D27D-8A7F-43FB-976A-E8A61EFC747A}"/>
            </a:ext>
          </a:extLst>
        </xdr:cNvPr>
        <xdr:cNvCxnSpPr/>
      </xdr:nvCxnSpPr>
      <xdr:spPr>
        <a:xfrm>
          <a:off x="15278100" y="30586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133</xdr:row>
      <xdr:rowOff>57149</xdr:rowOff>
    </xdr:from>
    <xdr:to>
      <xdr:col>91</xdr:col>
      <xdr:colOff>21952</xdr:colOff>
      <xdr:row>133</xdr:row>
      <xdr:rowOff>171449</xdr:rowOff>
    </xdr:to>
    <xdr:sp macro="" textlink="">
      <xdr:nvSpPr>
        <xdr:cNvPr id="36387" name="130">
          <a:extLst>
            <a:ext uri="{FF2B5EF4-FFF2-40B4-BE49-F238E27FC236}">
              <a16:creationId xmlns:a16="http://schemas.microsoft.com/office/drawing/2014/main" id="{0843EBCC-5A65-456D-ABE7-2608F1C1C581}"/>
            </a:ext>
          </a:extLst>
        </xdr:cNvPr>
        <xdr:cNvSpPr/>
      </xdr:nvSpPr>
      <xdr:spPr>
        <a:xfrm>
          <a:off x="21255445" y="30300929"/>
          <a:ext cx="18627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133</xdr:row>
      <xdr:rowOff>114299</xdr:rowOff>
    </xdr:from>
    <xdr:to>
      <xdr:col>78</xdr:col>
      <xdr:colOff>41365</xdr:colOff>
      <xdr:row>133</xdr:row>
      <xdr:rowOff>114299</xdr:rowOff>
    </xdr:to>
    <xdr:cxnSp macro="">
      <xdr:nvCxnSpPr>
        <xdr:cNvPr id="36388" name="직선 화살표 연결선 36387">
          <a:extLst>
            <a:ext uri="{FF2B5EF4-FFF2-40B4-BE49-F238E27FC236}">
              <a16:creationId xmlns:a16="http://schemas.microsoft.com/office/drawing/2014/main" id="{05DEFC84-F627-4A08-B177-ADFBF9FECA44}"/>
            </a:ext>
          </a:extLst>
        </xdr:cNvPr>
        <xdr:cNvCxnSpPr/>
      </xdr:nvCxnSpPr>
      <xdr:spPr>
        <a:xfrm>
          <a:off x="21255445" y="30358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132</xdr:row>
      <xdr:rowOff>57149</xdr:rowOff>
    </xdr:from>
    <xdr:to>
      <xdr:col>91</xdr:col>
      <xdr:colOff>21952</xdr:colOff>
      <xdr:row>132</xdr:row>
      <xdr:rowOff>171449</xdr:rowOff>
    </xdr:to>
    <xdr:sp macro="" textlink="">
      <xdr:nvSpPr>
        <xdr:cNvPr id="36389" name="129">
          <a:extLst>
            <a:ext uri="{FF2B5EF4-FFF2-40B4-BE49-F238E27FC236}">
              <a16:creationId xmlns:a16="http://schemas.microsoft.com/office/drawing/2014/main" id="{ED7A85AA-87A6-4032-B42A-2DF3917C25FA}"/>
            </a:ext>
          </a:extLst>
        </xdr:cNvPr>
        <xdr:cNvSpPr/>
      </xdr:nvSpPr>
      <xdr:spPr>
        <a:xfrm>
          <a:off x="21255445" y="30072329"/>
          <a:ext cx="18627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132</xdr:row>
      <xdr:rowOff>114299</xdr:rowOff>
    </xdr:from>
    <xdr:to>
      <xdr:col>78</xdr:col>
      <xdr:colOff>41365</xdr:colOff>
      <xdr:row>132</xdr:row>
      <xdr:rowOff>114299</xdr:rowOff>
    </xdr:to>
    <xdr:cxnSp macro="">
      <xdr:nvCxnSpPr>
        <xdr:cNvPr id="36390" name="직선 화살표 연결선 36389">
          <a:extLst>
            <a:ext uri="{FF2B5EF4-FFF2-40B4-BE49-F238E27FC236}">
              <a16:creationId xmlns:a16="http://schemas.microsoft.com/office/drawing/2014/main" id="{5244281F-2A9C-43BC-8F4D-A44B748AC986}"/>
            </a:ext>
          </a:extLst>
        </xdr:cNvPr>
        <xdr:cNvCxnSpPr/>
      </xdr:nvCxnSpPr>
      <xdr:spPr>
        <a:xfrm>
          <a:off x="21255445" y="30129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131</xdr:row>
      <xdr:rowOff>57149</xdr:rowOff>
    </xdr:from>
    <xdr:to>
      <xdr:col>91</xdr:col>
      <xdr:colOff>21952</xdr:colOff>
      <xdr:row>131</xdr:row>
      <xdr:rowOff>171449</xdr:rowOff>
    </xdr:to>
    <xdr:sp macro="" textlink="">
      <xdr:nvSpPr>
        <xdr:cNvPr id="36391" name="128">
          <a:extLst>
            <a:ext uri="{FF2B5EF4-FFF2-40B4-BE49-F238E27FC236}">
              <a16:creationId xmlns:a16="http://schemas.microsoft.com/office/drawing/2014/main" id="{AC788339-04F0-4065-8D86-23357EA0CF75}"/>
            </a:ext>
          </a:extLst>
        </xdr:cNvPr>
        <xdr:cNvSpPr/>
      </xdr:nvSpPr>
      <xdr:spPr>
        <a:xfrm>
          <a:off x="21255445" y="29843729"/>
          <a:ext cx="18627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131</xdr:row>
      <xdr:rowOff>114299</xdr:rowOff>
    </xdr:from>
    <xdr:to>
      <xdr:col>78</xdr:col>
      <xdr:colOff>41365</xdr:colOff>
      <xdr:row>131</xdr:row>
      <xdr:rowOff>114299</xdr:rowOff>
    </xdr:to>
    <xdr:cxnSp macro="">
      <xdr:nvCxnSpPr>
        <xdr:cNvPr id="36392" name="직선 화살표 연결선 36391">
          <a:extLst>
            <a:ext uri="{FF2B5EF4-FFF2-40B4-BE49-F238E27FC236}">
              <a16:creationId xmlns:a16="http://schemas.microsoft.com/office/drawing/2014/main" id="{9E29A9B9-AAC9-44A0-929A-BD8CF73303CA}"/>
            </a:ext>
          </a:extLst>
        </xdr:cNvPr>
        <xdr:cNvCxnSpPr/>
      </xdr:nvCxnSpPr>
      <xdr:spPr>
        <a:xfrm>
          <a:off x="21255445" y="29900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144779</xdr:colOff>
      <xdr:row>130</xdr:row>
      <xdr:rowOff>57149</xdr:rowOff>
    </xdr:from>
    <xdr:to>
      <xdr:col>82</xdr:col>
      <xdr:colOff>104684</xdr:colOff>
      <xdr:row>130</xdr:row>
      <xdr:rowOff>171449</xdr:rowOff>
    </xdr:to>
    <xdr:sp macro="" textlink="">
      <xdr:nvSpPr>
        <xdr:cNvPr id="36393" name="127">
          <a:extLst>
            <a:ext uri="{FF2B5EF4-FFF2-40B4-BE49-F238E27FC236}">
              <a16:creationId xmlns:a16="http://schemas.microsoft.com/office/drawing/2014/main" id="{DB46B534-1089-4F46-9AD9-CBE27621EC1A}"/>
            </a:ext>
          </a:extLst>
        </xdr:cNvPr>
        <xdr:cNvSpPr/>
      </xdr:nvSpPr>
      <xdr:spPr>
        <a:xfrm>
          <a:off x="20055839" y="29615129"/>
          <a:ext cx="18420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144779</xdr:colOff>
      <xdr:row>130</xdr:row>
      <xdr:rowOff>114299</xdr:rowOff>
    </xdr:from>
    <xdr:to>
      <xdr:col>69</xdr:col>
      <xdr:colOff>144779</xdr:colOff>
      <xdr:row>130</xdr:row>
      <xdr:rowOff>114299</xdr:rowOff>
    </xdr:to>
    <xdr:cxnSp macro="">
      <xdr:nvCxnSpPr>
        <xdr:cNvPr id="36394" name="직선 화살표 연결선 36393">
          <a:extLst>
            <a:ext uri="{FF2B5EF4-FFF2-40B4-BE49-F238E27FC236}">
              <a16:creationId xmlns:a16="http://schemas.microsoft.com/office/drawing/2014/main" id="{365E209C-75CA-48BA-A643-8CD1E2D719F9}"/>
            </a:ext>
          </a:extLst>
        </xdr:cNvPr>
        <xdr:cNvCxnSpPr/>
      </xdr:nvCxnSpPr>
      <xdr:spPr>
        <a:xfrm>
          <a:off x="20055839" y="29672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129</xdr:row>
      <xdr:rowOff>57149</xdr:rowOff>
    </xdr:from>
    <xdr:to>
      <xdr:col>78</xdr:col>
      <xdr:colOff>42635</xdr:colOff>
      <xdr:row>129</xdr:row>
      <xdr:rowOff>171449</xdr:rowOff>
    </xdr:to>
    <xdr:sp macro="" textlink="">
      <xdr:nvSpPr>
        <xdr:cNvPr id="36395" name="126">
          <a:extLst>
            <a:ext uri="{FF2B5EF4-FFF2-40B4-BE49-F238E27FC236}">
              <a16:creationId xmlns:a16="http://schemas.microsoft.com/office/drawing/2014/main" id="{BC5C745F-06FE-4719-BFA2-06277AF41DA5}"/>
            </a:ext>
          </a:extLst>
        </xdr:cNvPr>
        <xdr:cNvSpPr/>
      </xdr:nvSpPr>
      <xdr:spPr>
        <a:xfrm>
          <a:off x="18090969" y="29386529"/>
          <a:ext cx="316574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129</xdr:row>
      <xdr:rowOff>114299</xdr:rowOff>
    </xdr:from>
    <xdr:to>
      <xdr:col>56</xdr:col>
      <xdr:colOff>62049</xdr:colOff>
      <xdr:row>129</xdr:row>
      <xdr:rowOff>114299</xdr:rowOff>
    </xdr:to>
    <xdr:cxnSp macro="">
      <xdr:nvCxnSpPr>
        <xdr:cNvPr id="36396" name="직선 화살표 연결선 36395">
          <a:extLst>
            <a:ext uri="{FF2B5EF4-FFF2-40B4-BE49-F238E27FC236}">
              <a16:creationId xmlns:a16="http://schemas.microsoft.com/office/drawing/2014/main" id="{7236BD0F-9664-4CD6-807F-2A815BEA9131}"/>
            </a:ext>
          </a:extLst>
        </xdr:cNvPr>
        <xdr:cNvCxnSpPr/>
      </xdr:nvCxnSpPr>
      <xdr:spPr>
        <a:xfrm>
          <a:off x="18090969" y="29443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128</xdr:row>
      <xdr:rowOff>57149</xdr:rowOff>
    </xdr:from>
    <xdr:to>
      <xdr:col>43</xdr:col>
      <xdr:colOff>42635</xdr:colOff>
      <xdr:row>128</xdr:row>
      <xdr:rowOff>171449</xdr:rowOff>
    </xdr:to>
    <xdr:sp macro="" textlink="">
      <xdr:nvSpPr>
        <xdr:cNvPr id="36397" name="125">
          <a:extLst>
            <a:ext uri="{FF2B5EF4-FFF2-40B4-BE49-F238E27FC236}">
              <a16:creationId xmlns:a16="http://schemas.microsoft.com/office/drawing/2014/main" id="{F62CF45E-B8E7-4C6A-8C67-BE0DC049186C}"/>
            </a:ext>
          </a:extLst>
        </xdr:cNvPr>
        <xdr:cNvSpPr/>
      </xdr:nvSpPr>
      <xdr:spPr>
        <a:xfrm>
          <a:off x="16167463" y="291579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128</xdr:row>
      <xdr:rowOff>114299</xdr:rowOff>
    </xdr:from>
    <xdr:to>
      <xdr:col>43</xdr:col>
      <xdr:colOff>20683</xdr:colOff>
      <xdr:row>128</xdr:row>
      <xdr:rowOff>114299</xdr:rowOff>
    </xdr:to>
    <xdr:cxnSp macro="">
      <xdr:nvCxnSpPr>
        <xdr:cNvPr id="36398" name="직선 화살표 연결선 36397">
          <a:extLst>
            <a:ext uri="{FF2B5EF4-FFF2-40B4-BE49-F238E27FC236}">
              <a16:creationId xmlns:a16="http://schemas.microsoft.com/office/drawing/2014/main" id="{CDB5CA36-3CFA-4577-9A84-8A966298F077}"/>
            </a:ext>
          </a:extLst>
        </xdr:cNvPr>
        <xdr:cNvCxnSpPr/>
      </xdr:nvCxnSpPr>
      <xdr:spPr>
        <a:xfrm>
          <a:off x="16167463" y="29215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20682</xdr:colOff>
      <xdr:row>127</xdr:row>
      <xdr:rowOff>57149</xdr:rowOff>
    </xdr:from>
    <xdr:to>
      <xdr:col>42</xdr:col>
      <xdr:colOff>42636</xdr:colOff>
      <xdr:row>127</xdr:row>
      <xdr:rowOff>171449</xdr:rowOff>
    </xdr:to>
    <xdr:sp macro="" textlink="">
      <xdr:nvSpPr>
        <xdr:cNvPr id="36399" name="124">
          <a:extLst>
            <a:ext uri="{FF2B5EF4-FFF2-40B4-BE49-F238E27FC236}">
              <a16:creationId xmlns:a16="http://schemas.microsoft.com/office/drawing/2014/main" id="{C931360E-D5C4-4129-9DDC-7DB33EB2054E}"/>
            </a:ext>
          </a:extLst>
        </xdr:cNvPr>
        <xdr:cNvSpPr/>
      </xdr:nvSpPr>
      <xdr:spPr>
        <a:xfrm>
          <a:off x="16022682" y="289293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20682</xdr:colOff>
      <xdr:row>127</xdr:row>
      <xdr:rowOff>114299</xdr:rowOff>
    </xdr:from>
    <xdr:to>
      <xdr:col>42</xdr:col>
      <xdr:colOff>20682</xdr:colOff>
      <xdr:row>127</xdr:row>
      <xdr:rowOff>114299</xdr:rowOff>
    </xdr:to>
    <xdr:cxnSp macro="">
      <xdr:nvCxnSpPr>
        <xdr:cNvPr id="36400" name="직선 화살표 연결선 36399">
          <a:extLst>
            <a:ext uri="{FF2B5EF4-FFF2-40B4-BE49-F238E27FC236}">
              <a16:creationId xmlns:a16="http://schemas.microsoft.com/office/drawing/2014/main" id="{67E26A1B-E4DB-4590-A580-33A40D1CC294}"/>
            </a:ext>
          </a:extLst>
        </xdr:cNvPr>
        <xdr:cNvCxnSpPr/>
      </xdr:nvCxnSpPr>
      <xdr:spPr>
        <a:xfrm>
          <a:off x="16022682" y="28986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20682</xdr:colOff>
      <xdr:row>126</xdr:row>
      <xdr:rowOff>57149</xdr:rowOff>
    </xdr:from>
    <xdr:to>
      <xdr:col>41</xdr:col>
      <xdr:colOff>42636</xdr:colOff>
      <xdr:row>126</xdr:row>
      <xdr:rowOff>171449</xdr:rowOff>
    </xdr:to>
    <xdr:sp macro="" textlink="">
      <xdr:nvSpPr>
        <xdr:cNvPr id="36401" name="123">
          <a:extLst>
            <a:ext uri="{FF2B5EF4-FFF2-40B4-BE49-F238E27FC236}">
              <a16:creationId xmlns:a16="http://schemas.microsoft.com/office/drawing/2014/main" id="{ECADC5DD-7AAB-444C-BF80-6DE2AA57035E}"/>
            </a:ext>
          </a:extLst>
        </xdr:cNvPr>
        <xdr:cNvSpPr/>
      </xdr:nvSpPr>
      <xdr:spPr>
        <a:xfrm>
          <a:off x="15877902" y="287007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20682</xdr:colOff>
      <xdr:row>126</xdr:row>
      <xdr:rowOff>114299</xdr:rowOff>
    </xdr:from>
    <xdr:to>
      <xdr:col>41</xdr:col>
      <xdr:colOff>20682</xdr:colOff>
      <xdr:row>126</xdr:row>
      <xdr:rowOff>114299</xdr:rowOff>
    </xdr:to>
    <xdr:cxnSp macro="">
      <xdr:nvCxnSpPr>
        <xdr:cNvPr id="36402" name="직선 화살표 연결선 36401">
          <a:extLst>
            <a:ext uri="{FF2B5EF4-FFF2-40B4-BE49-F238E27FC236}">
              <a16:creationId xmlns:a16="http://schemas.microsoft.com/office/drawing/2014/main" id="{8C3E4200-BAB2-45A7-93A2-7D98FEECD721}"/>
            </a:ext>
          </a:extLst>
        </xdr:cNvPr>
        <xdr:cNvCxnSpPr/>
      </xdr:nvCxnSpPr>
      <xdr:spPr>
        <a:xfrm>
          <a:off x="15877902" y="28757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125</xdr:row>
      <xdr:rowOff>57149</xdr:rowOff>
    </xdr:from>
    <xdr:to>
      <xdr:col>40</xdr:col>
      <xdr:colOff>42636</xdr:colOff>
      <xdr:row>125</xdr:row>
      <xdr:rowOff>171449</xdr:rowOff>
    </xdr:to>
    <xdr:sp macro="" textlink="">
      <xdr:nvSpPr>
        <xdr:cNvPr id="36403" name="122">
          <a:extLst>
            <a:ext uri="{FF2B5EF4-FFF2-40B4-BE49-F238E27FC236}">
              <a16:creationId xmlns:a16="http://schemas.microsoft.com/office/drawing/2014/main" id="{F42218E2-A2F3-44AD-80DB-F185BDC780A1}"/>
            </a:ext>
          </a:extLst>
        </xdr:cNvPr>
        <xdr:cNvSpPr/>
      </xdr:nvSpPr>
      <xdr:spPr>
        <a:xfrm>
          <a:off x="15733123" y="28472129"/>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125</xdr:row>
      <xdr:rowOff>114299</xdr:rowOff>
    </xdr:from>
    <xdr:to>
      <xdr:col>40</xdr:col>
      <xdr:colOff>20683</xdr:colOff>
      <xdr:row>125</xdr:row>
      <xdr:rowOff>114299</xdr:rowOff>
    </xdr:to>
    <xdr:cxnSp macro="">
      <xdr:nvCxnSpPr>
        <xdr:cNvPr id="36404" name="직선 화살표 연결선 36403">
          <a:extLst>
            <a:ext uri="{FF2B5EF4-FFF2-40B4-BE49-F238E27FC236}">
              <a16:creationId xmlns:a16="http://schemas.microsoft.com/office/drawing/2014/main" id="{EAE71510-8FAC-4862-87B7-0509D61CD201}"/>
            </a:ext>
          </a:extLst>
        </xdr:cNvPr>
        <xdr:cNvCxnSpPr/>
      </xdr:nvCxnSpPr>
      <xdr:spPr>
        <a:xfrm>
          <a:off x="15733123" y="28529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124</xdr:row>
      <xdr:rowOff>57149</xdr:rowOff>
    </xdr:from>
    <xdr:to>
      <xdr:col>39</xdr:col>
      <xdr:colOff>42635</xdr:colOff>
      <xdr:row>124</xdr:row>
      <xdr:rowOff>171449</xdr:rowOff>
    </xdr:to>
    <xdr:sp macro="" textlink="">
      <xdr:nvSpPr>
        <xdr:cNvPr id="36405" name="121">
          <a:extLst>
            <a:ext uri="{FF2B5EF4-FFF2-40B4-BE49-F238E27FC236}">
              <a16:creationId xmlns:a16="http://schemas.microsoft.com/office/drawing/2014/main" id="{CC5414ED-A300-4663-BB07-35FC93DDECC6}"/>
            </a:ext>
          </a:extLst>
        </xdr:cNvPr>
        <xdr:cNvSpPr/>
      </xdr:nvSpPr>
      <xdr:spPr>
        <a:xfrm>
          <a:off x="15588343" y="282435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124</xdr:row>
      <xdr:rowOff>114299</xdr:rowOff>
    </xdr:from>
    <xdr:to>
      <xdr:col>39</xdr:col>
      <xdr:colOff>20683</xdr:colOff>
      <xdr:row>124</xdr:row>
      <xdr:rowOff>114299</xdr:rowOff>
    </xdr:to>
    <xdr:cxnSp macro="">
      <xdr:nvCxnSpPr>
        <xdr:cNvPr id="36406" name="직선 화살표 연결선 36405">
          <a:extLst>
            <a:ext uri="{FF2B5EF4-FFF2-40B4-BE49-F238E27FC236}">
              <a16:creationId xmlns:a16="http://schemas.microsoft.com/office/drawing/2014/main" id="{2C7C452D-E9D6-4FB9-9120-1570FBD98FBF}"/>
            </a:ext>
          </a:extLst>
        </xdr:cNvPr>
        <xdr:cNvCxnSpPr/>
      </xdr:nvCxnSpPr>
      <xdr:spPr>
        <a:xfrm>
          <a:off x="15588343" y="28300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123</xdr:row>
      <xdr:rowOff>57149</xdr:rowOff>
    </xdr:from>
    <xdr:to>
      <xdr:col>38</xdr:col>
      <xdr:colOff>42635</xdr:colOff>
      <xdr:row>123</xdr:row>
      <xdr:rowOff>171449</xdr:rowOff>
    </xdr:to>
    <xdr:sp macro="" textlink="">
      <xdr:nvSpPr>
        <xdr:cNvPr id="36407" name="120">
          <a:extLst>
            <a:ext uri="{FF2B5EF4-FFF2-40B4-BE49-F238E27FC236}">
              <a16:creationId xmlns:a16="http://schemas.microsoft.com/office/drawing/2014/main" id="{2550B58E-238F-4C60-BD82-D6DA4268EBFD}"/>
            </a:ext>
          </a:extLst>
        </xdr:cNvPr>
        <xdr:cNvSpPr/>
      </xdr:nvSpPr>
      <xdr:spPr>
        <a:xfrm>
          <a:off x="15443563" y="28014929"/>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123</xdr:row>
      <xdr:rowOff>114299</xdr:rowOff>
    </xdr:from>
    <xdr:to>
      <xdr:col>38</xdr:col>
      <xdr:colOff>20683</xdr:colOff>
      <xdr:row>123</xdr:row>
      <xdr:rowOff>114299</xdr:rowOff>
    </xdr:to>
    <xdr:cxnSp macro="">
      <xdr:nvCxnSpPr>
        <xdr:cNvPr id="36408" name="직선 화살표 연결선 36407">
          <a:extLst>
            <a:ext uri="{FF2B5EF4-FFF2-40B4-BE49-F238E27FC236}">
              <a16:creationId xmlns:a16="http://schemas.microsoft.com/office/drawing/2014/main" id="{C66E070D-C0E4-48FB-A542-05F3C9A490E5}"/>
            </a:ext>
          </a:extLst>
        </xdr:cNvPr>
        <xdr:cNvCxnSpPr/>
      </xdr:nvCxnSpPr>
      <xdr:spPr>
        <a:xfrm>
          <a:off x="15443563" y="28072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20682</xdr:colOff>
      <xdr:row>122</xdr:row>
      <xdr:rowOff>57149</xdr:rowOff>
    </xdr:from>
    <xdr:to>
      <xdr:col>37</xdr:col>
      <xdr:colOff>42636</xdr:colOff>
      <xdr:row>122</xdr:row>
      <xdr:rowOff>171449</xdr:rowOff>
    </xdr:to>
    <xdr:sp macro="" textlink="">
      <xdr:nvSpPr>
        <xdr:cNvPr id="36409" name="119">
          <a:extLst>
            <a:ext uri="{FF2B5EF4-FFF2-40B4-BE49-F238E27FC236}">
              <a16:creationId xmlns:a16="http://schemas.microsoft.com/office/drawing/2014/main" id="{7637D620-62AC-4861-AFB3-623814FFFD49}"/>
            </a:ext>
          </a:extLst>
        </xdr:cNvPr>
        <xdr:cNvSpPr/>
      </xdr:nvSpPr>
      <xdr:spPr>
        <a:xfrm>
          <a:off x="15298782" y="277863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20682</xdr:colOff>
      <xdr:row>122</xdr:row>
      <xdr:rowOff>114299</xdr:rowOff>
    </xdr:from>
    <xdr:to>
      <xdr:col>37</xdr:col>
      <xdr:colOff>20682</xdr:colOff>
      <xdr:row>122</xdr:row>
      <xdr:rowOff>114299</xdr:rowOff>
    </xdr:to>
    <xdr:cxnSp macro="">
      <xdr:nvCxnSpPr>
        <xdr:cNvPr id="36410" name="직선 화살표 연결선 36409">
          <a:extLst>
            <a:ext uri="{FF2B5EF4-FFF2-40B4-BE49-F238E27FC236}">
              <a16:creationId xmlns:a16="http://schemas.microsoft.com/office/drawing/2014/main" id="{035CB5E6-BD9C-4926-9587-A90806B48B9C}"/>
            </a:ext>
          </a:extLst>
        </xdr:cNvPr>
        <xdr:cNvCxnSpPr/>
      </xdr:nvCxnSpPr>
      <xdr:spPr>
        <a:xfrm>
          <a:off x="15298782" y="27843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20682</xdr:colOff>
      <xdr:row>121</xdr:row>
      <xdr:rowOff>57149</xdr:rowOff>
    </xdr:from>
    <xdr:to>
      <xdr:col>36</xdr:col>
      <xdr:colOff>42636</xdr:colOff>
      <xdr:row>121</xdr:row>
      <xdr:rowOff>171449</xdr:rowOff>
    </xdr:to>
    <xdr:sp macro="" textlink="">
      <xdr:nvSpPr>
        <xdr:cNvPr id="36411" name="118">
          <a:extLst>
            <a:ext uri="{FF2B5EF4-FFF2-40B4-BE49-F238E27FC236}">
              <a16:creationId xmlns:a16="http://schemas.microsoft.com/office/drawing/2014/main" id="{AD8AB2EA-BA6B-47C8-98C2-DE3FAEB71C81}"/>
            </a:ext>
          </a:extLst>
        </xdr:cNvPr>
        <xdr:cNvSpPr/>
      </xdr:nvSpPr>
      <xdr:spPr>
        <a:xfrm>
          <a:off x="15154002" y="27557729"/>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20682</xdr:colOff>
      <xdr:row>121</xdr:row>
      <xdr:rowOff>114299</xdr:rowOff>
    </xdr:from>
    <xdr:to>
      <xdr:col>36</xdr:col>
      <xdr:colOff>41366</xdr:colOff>
      <xdr:row>121</xdr:row>
      <xdr:rowOff>114299</xdr:rowOff>
    </xdr:to>
    <xdr:cxnSp macro="">
      <xdr:nvCxnSpPr>
        <xdr:cNvPr id="36412" name="직선 화살표 연결선 36411">
          <a:extLst>
            <a:ext uri="{FF2B5EF4-FFF2-40B4-BE49-F238E27FC236}">
              <a16:creationId xmlns:a16="http://schemas.microsoft.com/office/drawing/2014/main" id="{C36F3069-8019-487C-9C25-5065398FAB3D}"/>
            </a:ext>
          </a:extLst>
        </xdr:cNvPr>
        <xdr:cNvCxnSpPr/>
      </xdr:nvCxnSpPr>
      <xdr:spPr>
        <a:xfrm>
          <a:off x="15154002" y="27614879"/>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20682</xdr:colOff>
      <xdr:row>120</xdr:row>
      <xdr:rowOff>57149</xdr:rowOff>
    </xdr:from>
    <xdr:to>
      <xdr:col>43</xdr:col>
      <xdr:colOff>42635</xdr:colOff>
      <xdr:row>120</xdr:row>
      <xdr:rowOff>171449</xdr:rowOff>
    </xdr:to>
    <xdr:sp macro="" textlink="">
      <xdr:nvSpPr>
        <xdr:cNvPr id="36413" name="117">
          <a:extLst>
            <a:ext uri="{FF2B5EF4-FFF2-40B4-BE49-F238E27FC236}">
              <a16:creationId xmlns:a16="http://schemas.microsoft.com/office/drawing/2014/main" id="{448192EE-DA1E-4664-8378-DD410C59E1A0}"/>
            </a:ext>
          </a:extLst>
        </xdr:cNvPr>
        <xdr:cNvSpPr/>
      </xdr:nvSpPr>
      <xdr:spPr>
        <a:xfrm>
          <a:off x="15154002" y="27329129"/>
          <a:ext cx="10354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20682</xdr:colOff>
      <xdr:row>120</xdr:row>
      <xdr:rowOff>114299</xdr:rowOff>
    </xdr:from>
    <xdr:to>
      <xdr:col>37</xdr:col>
      <xdr:colOff>5170</xdr:colOff>
      <xdr:row>120</xdr:row>
      <xdr:rowOff>114299</xdr:rowOff>
    </xdr:to>
    <xdr:cxnSp macro="">
      <xdr:nvCxnSpPr>
        <xdr:cNvPr id="36414" name="직선 화살표 연결선 36413">
          <a:extLst>
            <a:ext uri="{FF2B5EF4-FFF2-40B4-BE49-F238E27FC236}">
              <a16:creationId xmlns:a16="http://schemas.microsoft.com/office/drawing/2014/main" id="{97DF5980-F824-4A63-9BFE-141785645D8E}"/>
            </a:ext>
          </a:extLst>
        </xdr:cNvPr>
        <xdr:cNvCxnSpPr/>
      </xdr:nvCxnSpPr>
      <xdr:spPr>
        <a:xfrm>
          <a:off x="15154002" y="27386279"/>
          <a:ext cx="1292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20682</xdr:colOff>
      <xdr:row>119</xdr:row>
      <xdr:rowOff>57149</xdr:rowOff>
    </xdr:from>
    <xdr:to>
      <xdr:col>82</xdr:col>
      <xdr:colOff>104684</xdr:colOff>
      <xdr:row>119</xdr:row>
      <xdr:rowOff>171449</xdr:rowOff>
    </xdr:to>
    <xdr:sp macro="" textlink="">
      <xdr:nvSpPr>
        <xdr:cNvPr id="36415" name="116">
          <a:extLst>
            <a:ext uri="{FF2B5EF4-FFF2-40B4-BE49-F238E27FC236}">
              <a16:creationId xmlns:a16="http://schemas.microsoft.com/office/drawing/2014/main" id="{D77D1CBE-3360-4C15-96F9-B6EBEE4E1AA5}"/>
            </a:ext>
          </a:extLst>
        </xdr:cNvPr>
        <xdr:cNvSpPr/>
      </xdr:nvSpPr>
      <xdr:spPr>
        <a:xfrm>
          <a:off x="15154002" y="27100529"/>
          <a:ext cx="67438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20682</xdr:colOff>
      <xdr:row>119</xdr:row>
      <xdr:rowOff>114299</xdr:rowOff>
    </xdr:from>
    <xdr:to>
      <xdr:col>36</xdr:col>
      <xdr:colOff>58350</xdr:colOff>
      <xdr:row>119</xdr:row>
      <xdr:rowOff>114299</xdr:rowOff>
    </xdr:to>
    <xdr:cxnSp macro="">
      <xdr:nvCxnSpPr>
        <xdr:cNvPr id="36416" name="직선 화살표 연결선 36415">
          <a:extLst>
            <a:ext uri="{FF2B5EF4-FFF2-40B4-BE49-F238E27FC236}">
              <a16:creationId xmlns:a16="http://schemas.microsoft.com/office/drawing/2014/main" id="{637DFEFF-7D0D-461F-B862-66C0E41E6B3A}"/>
            </a:ext>
          </a:extLst>
        </xdr:cNvPr>
        <xdr:cNvCxnSpPr/>
      </xdr:nvCxnSpPr>
      <xdr:spPr>
        <a:xfrm>
          <a:off x="15154002" y="27157679"/>
          <a:ext cx="376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xdr:colOff>
      <xdr:row>118</xdr:row>
      <xdr:rowOff>57149</xdr:rowOff>
    </xdr:from>
    <xdr:to>
      <xdr:col>86</xdr:col>
      <xdr:colOff>104683</xdr:colOff>
      <xdr:row>118</xdr:row>
      <xdr:rowOff>171449</xdr:rowOff>
    </xdr:to>
    <xdr:sp macro="" textlink="">
      <xdr:nvSpPr>
        <xdr:cNvPr id="36417" name="115">
          <a:extLst>
            <a:ext uri="{FF2B5EF4-FFF2-40B4-BE49-F238E27FC236}">
              <a16:creationId xmlns:a16="http://schemas.microsoft.com/office/drawing/2014/main" id="{4D6CF2B1-3F63-4A62-ACFF-C36DA4D24E5C}"/>
            </a:ext>
          </a:extLst>
        </xdr:cNvPr>
        <xdr:cNvSpPr/>
      </xdr:nvSpPr>
      <xdr:spPr>
        <a:xfrm>
          <a:off x="20634961" y="26871929"/>
          <a:ext cx="18420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xdr:colOff>
      <xdr:row>118</xdr:row>
      <xdr:rowOff>114299</xdr:rowOff>
    </xdr:from>
    <xdr:to>
      <xdr:col>74</xdr:col>
      <xdr:colOff>1</xdr:colOff>
      <xdr:row>118</xdr:row>
      <xdr:rowOff>114299</xdr:rowOff>
    </xdr:to>
    <xdr:cxnSp macro="">
      <xdr:nvCxnSpPr>
        <xdr:cNvPr id="36418" name="직선 화살표 연결선 36417">
          <a:extLst>
            <a:ext uri="{FF2B5EF4-FFF2-40B4-BE49-F238E27FC236}">
              <a16:creationId xmlns:a16="http://schemas.microsoft.com/office/drawing/2014/main" id="{E2728086-AE56-4118-BD87-04D6C8118A0E}"/>
            </a:ext>
          </a:extLst>
        </xdr:cNvPr>
        <xdr:cNvCxnSpPr/>
      </xdr:nvCxnSpPr>
      <xdr:spPr>
        <a:xfrm>
          <a:off x="20634961" y="269290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117</xdr:row>
      <xdr:rowOff>57149</xdr:rowOff>
    </xdr:from>
    <xdr:to>
      <xdr:col>73</xdr:col>
      <xdr:colOff>104684</xdr:colOff>
      <xdr:row>117</xdr:row>
      <xdr:rowOff>171449</xdr:rowOff>
    </xdr:to>
    <xdr:sp macro="" textlink="">
      <xdr:nvSpPr>
        <xdr:cNvPr id="36419" name="114">
          <a:extLst>
            <a:ext uri="{FF2B5EF4-FFF2-40B4-BE49-F238E27FC236}">
              <a16:creationId xmlns:a16="http://schemas.microsoft.com/office/drawing/2014/main" id="{EB3E1270-1E62-4658-806B-275B3368DC7C}"/>
            </a:ext>
          </a:extLst>
        </xdr:cNvPr>
        <xdr:cNvSpPr/>
      </xdr:nvSpPr>
      <xdr:spPr>
        <a:xfrm>
          <a:off x="17449800" y="26643329"/>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117</xdr:row>
      <xdr:rowOff>114299</xdr:rowOff>
    </xdr:from>
    <xdr:to>
      <xdr:col>52</xdr:col>
      <xdr:colOff>0</xdr:colOff>
      <xdr:row>117</xdr:row>
      <xdr:rowOff>114299</xdr:rowOff>
    </xdr:to>
    <xdr:cxnSp macro="">
      <xdr:nvCxnSpPr>
        <xdr:cNvPr id="36420" name="직선 화살표 연결선 36419">
          <a:extLst>
            <a:ext uri="{FF2B5EF4-FFF2-40B4-BE49-F238E27FC236}">
              <a16:creationId xmlns:a16="http://schemas.microsoft.com/office/drawing/2014/main" id="{7B05E4F9-B741-4594-AE79-85F5DC7D4F4C}"/>
            </a:ext>
          </a:extLst>
        </xdr:cNvPr>
        <xdr:cNvCxnSpPr/>
      </xdr:nvCxnSpPr>
      <xdr:spPr>
        <a:xfrm>
          <a:off x="17449800" y="267004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116</xdr:row>
      <xdr:rowOff>57149</xdr:rowOff>
    </xdr:from>
    <xdr:to>
      <xdr:col>51</xdr:col>
      <xdr:colOff>104683</xdr:colOff>
      <xdr:row>116</xdr:row>
      <xdr:rowOff>171449</xdr:rowOff>
    </xdr:to>
    <xdr:sp macro="" textlink="">
      <xdr:nvSpPr>
        <xdr:cNvPr id="36421" name="113">
          <a:extLst>
            <a:ext uri="{FF2B5EF4-FFF2-40B4-BE49-F238E27FC236}">
              <a16:creationId xmlns:a16="http://schemas.microsoft.com/office/drawing/2014/main" id="{C2DFE524-8C7B-4D02-AF78-7A770CDA9C27}"/>
            </a:ext>
          </a:extLst>
        </xdr:cNvPr>
        <xdr:cNvSpPr/>
      </xdr:nvSpPr>
      <xdr:spPr>
        <a:xfrm>
          <a:off x="15588343" y="26414729"/>
          <a:ext cx="1821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116</xdr:row>
      <xdr:rowOff>114299</xdr:rowOff>
    </xdr:from>
    <xdr:to>
      <xdr:col>39</xdr:col>
      <xdr:colOff>20683</xdr:colOff>
      <xdr:row>116</xdr:row>
      <xdr:rowOff>114299</xdr:rowOff>
    </xdr:to>
    <xdr:cxnSp macro="">
      <xdr:nvCxnSpPr>
        <xdr:cNvPr id="36422" name="직선 화살표 연결선 36421">
          <a:extLst>
            <a:ext uri="{FF2B5EF4-FFF2-40B4-BE49-F238E27FC236}">
              <a16:creationId xmlns:a16="http://schemas.microsoft.com/office/drawing/2014/main" id="{0C6A932A-7CA2-4E7E-ACC2-D0338413419E}"/>
            </a:ext>
          </a:extLst>
        </xdr:cNvPr>
        <xdr:cNvCxnSpPr/>
      </xdr:nvCxnSpPr>
      <xdr:spPr>
        <a:xfrm>
          <a:off x="15588343" y="264718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115</xdr:row>
      <xdr:rowOff>57149</xdr:rowOff>
    </xdr:from>
    <xdr:to>
      <xdr:col>86</xdr:col>
      <xdr:colOff>104683</xdr:colOff>
      <xdr:row>115</xdr:row>
      <xdr:rowOff>171449</xdr:rowOff>
    </xdr:to>
    <xdr:sp macro="" textlink="">
      <xdr:nvSpPr>
        <xdr:cNvPr id="36423" name="112">
          <a:extLst>
            <a:ext uri="{FF2B5EF4-FFF2-40B4-BE49-F238E27FC236}">
              <a16:creationId xmlns:a16="http://schemas.microsoft.com/office/drawing/2014/main" id="{3A8790FA-EB52-433B-A413-42FFD3265479}"/>
            </a:ext>
          </a:extLst>
        </xdr:cNvPr>
        <xdr:cNvSpPr/>
      </xdr:nvSpPr>
      <xdr:spPr>
        <a:xfrm>
          <a:off x="15588343" y="26186129"/>
          <a:ext cx="68886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115</xdr:row>
      <xdr:rowOff>114299</xdr:rowOff>
    </xdr:from>
    <xdr:to>
      <xdr:col>39</xdr:col>
      <xdr:colOff>20683</xdr:colOff>
      <xdr:row>115</xdr:row>
      <xdr:rowOff>114299</xdr:rowOff>
    </xdr:to>
    <xdr:cxnSp macro="">
      <xdr:nvCxnSpPr>
        <xdr:cNvPr id="36424" name="직선 화살표 연결선 36423">
          <a:extLst>
            <a:ext uri="{FF2B5EF4-FFF2-40B4-BE49-F238E27FC236}">
              <a16:creationId xmlns:a16="http://schemas.microsoft.com/office/drawing/2014/main" id="{FEC58246-D770-474E-B161-2DC4D0FC4574}"/>
            </a:ext>
          </a:extLst>
        </xdr:cNvPr>
        <xdr:cNvCxnSpPr/>
      </xdr:nvCxnSpPr>
      <xdr:spPr>
        <a:xfrm>
          <a:off x="15588343" y="262432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114</xdr:row>
      <xdr:rowOff>57150</xdr:rowOff>
    </xdr:from>
    <xdr:to>
      <xdr:col>95</xdr:col>
      <xdr:colOff>84000</xdr:colOff>
      <xdr:row>114</xdr:row>
      <xdr:rowOff>171449</xdr:rowOff>
    </xdr:to>
    <xdr:sp macro="" textlink="">
      <xdr:nvSpPr>
        <xdr:cNvPr id="36425" name="111">
          <a:extLst>
            <a:ext uri="{FF2B5EF4-FFF2-40B4-BE49-F238E27FC236}">
              <a16:creationId xmlns:a16="http://schemas.microsoft.com/office/drawing/2014/main" id="{B0E01ACE-CD51-4685-93AB-ED1007ED2B49}"/>
            </a:ext>
          </a:extLst>
        </xdr:cNvPr>
        <xdr:cNvSpPr/>
      </xdr:nvSpPr>
      <xdr:spPr>
        <a:xfrm>
          <a:off x="21937980" y="25957530"/>
          <a:ext cx="1821360" cy="114299"/>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83</xdr:col>
      <xdr:colOff>0</xdr:colOff>
      <xdr:row>114</xdr:row>
      <xdr:rowOff>114299</xdr:rowOff>
    </xdr:from>
    <xdr:to>
      <xdr:col>83</xdr:col>
      <xdr:colOff>0</xdr:colOff>
      <xdr:row>114</xdr:row>
      <xdr:rowOff>114299</xdr:rowOff>
    </xdr:to>
    <xdr:cxnSp macro="">
      <xdr:nvCxnSpPr>
        <xdr:cNvPr id="36426" name="직선 화살표 연결선 36425">
          <a:extLst>
            <a:ext uri="{FF2B5EF4-FFF2-40B4-BE49-F238E27FC236}">
              <a16:creationId xmlns:a16="http://schemas.microsoft.com/office/drawing/2014/main" id="{372A2ECF-B476-412F-809C-5F4B965AF31F}"/>
            </a:ext>
          </a:extLst>
        </xdr:cNvPr>
        <xdr:cNvCxnSpPr/>
      </xdr:nvCxnSpPr>
      <xdr:spPr>
        <a:xfrm>
          <a:off x="21937980" y="26014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113</xdr:row>
      <xdr:rowOff>57150</xdr:rowOff>
    </xdr:from>
    <xdr:to>
      <xdr:col>95</xdr:col>
      <xdr:colOff>84000</xdr:colOff>
      <xdr:row>113</xdr:row>
      <xdr:rowOff>171450</xdr:rowOff>
    </xdr:to>
    <xdr:sp macro="" textlink="">
      <xdr:nvSpPr>
        <xdr:cNvPr id="36427" name="110">
          <a:extLst>
            <a:ext uri="{FF2B5EF4-FFF2-40B4-BE49-F238E27FC236}">
              <a16:creationId xmlns:a16="http://schemas.microsoft.com/office/drawing/2014/main" id="{5699B6AF-E490-48BC-A3B3-50E2BD6F21F9}"/>
            </a:ext>
          </a:extLst>
        </xdr:cNvPr>
        <xdr:cNvSpPr/>
      </xdr:nvSpPr>
      <xdr:spPr>
        <a:xfrm>
          <a:off x="21937980" y="25728930"/>
          <a:ext cx="18213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83</xdr:col>
      <xdr:colOff>0</xdr:colOff>
      <xdr:row>113</xdr:row>
      <xdr:rowOff>114300</xdr:rowOff>
    </xdr:from>
    <xdr:to>
      <xdr:col>83</xdr:col>
      <xdr:colOff>0</xdr:colOff>
      <xdr:row>113</xdr:row>
      <xdr:rowOff>114300</xdr:rowOff>
    </xdr:to>
    <xdr:cxnSp macro="">
      <xdr:nvCxnSpPr>
        <xdr:cNvPr id="36428" name="직선 화살표 연결선 36427">
          <a:extLst>
            <a:ext uri="{FF2B5EF4-FFF2-40B4-BE49-F238E27FC236}">
              <a16:creationId xmlns:a16="http://schemas.microsoft.com/office/drawing/2014/main" id="{0DF0D05B-4EA2-4842-9C29-06DD991EEEB0}"/>
            </a:ext>
          </a:extLst>
        </xdr:cNvPr>
        <xdr:cNvCxnSpPr/>
      </xdr:nvCxnSpPr>
      <xdr:spPr>
        <a:xfrm>
          <a:off x="21937980" y="25786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112</xdr:row>
      <xdr:rowOff>57150</xdr:rowOff>
    </xdr:from>
    <xdr:to>
      <xdr:col>83</xdr:col>
      <xdr:colOff>21952</xdr:colOff>
      <xdr:row>112</xdr:row>
      <xdr:rowOff>171450</xdr:rowOff>
    </xdr:to>
    <xdr:sp macro="" textlink="">
      <xdr:nvSpPr>
        <xdr:cNvPr id="36429" name="109">
          <a:extLst>
            <a:ext uri="{FF2B5EF4-FFF2-40B4-BE49-F238E27FC236}">
              <a16:creationId xmlns:a16="http://schemas.microsoft.com/office/drawing/2014/main" id="{D76989DA-068F-4E7F-8E4E-03A0E6794514}"/>
            </a:ext>
          </a:extLst>
        </xdr:cNvPr>
        <xdr:cNvSpPr/>
      </xdr:nvSpPr>
      <xdr:spPr>
        <a:xfrm>
          <a:off x="21937980" y="25500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83</xdr:col>
      <xdr:colOff>0</xdr:colOff>
      <xdr:row>112</xdr:row>
      <xdr:rowOff>114300</xdr:rowOff>
    </xdr:from>
    <xdr:to>
      <xdr:col>83</xdr:col>
      <xdr:colOff>0</xdr:colOff>
      <xdr:row>112</xdr:row>
      <xdr:rowOff>114300</xdr:rowOff>
    </xdr:to>
    <xdr:cxnSp macro="">
      <xdr:nvCxnSpPr>
        <xdr:cNvPr id="36430" name="직선 화살표 연결선 36429">
          <a:extLst>
            <a:ext uri="{FF2B5EF4-FFF2-40B4-BE49-F238E27FC236}">
              <a16:creationId xmlns:a16="http://schemas.microsoft.com/office/drawing/2014/main" id="{2CDD728E-2875-412F-A56A-A14EEC94A925}"/>
            </a:ext>
          </a:extLst>
        </xdr:cNvPr>
        <xdr:cNvCxnSpPr/>
      </xdr:nvCxnSpPr>
      <xdr:spPr>
        <a:xfrm>
          <a:off x="21937980" y="25557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111</xdr:row>
      <xdr:rowOff>57150</xdr:rowOff>
    </xdr:from>
    <xdr:to>
      <xdr:col>83</xdr:col>
      <xdr:colOff>21952</xdr:colOff>
      <xdr:row>111</xdr:row>
      <xdr:rowOff>171450</xdr:rowOff>
    </xdr:to>
    <xdr:sp macro="" textlink="">
      <xdr:nvSpPr>
        <xdr:cNvPr id="36431" name="108">
          <a:extLst>
            <a:ext uri="{FF2B5EF4-FFF2-40B4-BE49-F238E27FC236}">
              <a16:creationId xmlns:a16="http://schemas.microsoft.com/office/drawing/2014/main" id="{5A6FB914-1B7E-402C-9BDF-9FF379A4D313}"/>
            </a:ext>
          </a:extLst>
        </xdr:cNvPr>
        <xdr:cNvSpPr/>
      </xdr:nvSpPr>
      <xdr:spPr>
        <a:xfrm>
          <a:off x="21937980" y="252717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83</xdr:col>
      <xdr:colOff>0</xdr:colOff>
      <xdr:row>111</xdr:row>
      <xdr:rowOff>114300</xdr:rowOff>
    </xdr:from>
    <xdr:to>
      <xdr:col>83</xdr:col>
      <xdr:colOff>0</xdr:colOff>
      <xdr:row>111</xdr:row>
      <xdr:rowOff>114300</xdr:rowOff>
    </xdr:to>
    <xdr:cxnSp macro="">
      <xdr:nvCxnSpPr>
        <xdr:cNvPr id="36432" name="직선 화살표 연결선 36431">
          <a:extLst>
            <a:ext uri="{FF2B5EF4-FFF2-40B4-BE49-F238E27FC236}">
              <a16:creationId xmlns:a16="http://schemas.microsoft.com/office/drawing/2014/main" id="{011EAD58-C5C8-4850-8AFC-7D54FEB067FC}"/>
            </a:ext>
          </a:extLst>
        </xdr:cNvPr>
        <xdr:cNvCxnSpPr/>
      </xdr:nvCxnSpPr>
      <xdr:spPr>
        <a:xfrm>
          <a:off x="21937980" y="25328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144779</xdr:colOff>
      <xdr:row>110</xdr:row>
      <xdr:rowOff>57150</xdr:rowOff>
    </xdr:from>
    <xdr:to>
      <xdr:col>82</xdr:col>
      <xdr:colOff>104684</xdr:colOff>
      <xdr:row>110</xdr:row>
      <xdr:rowOff>171450</xdr:rowOff>
    </xdr:to>
    <xdr:sp macro="" textlink="">
      <xdr:nvSpPr>
        <xdr:cNvPr id="36433" name="107">
          <a:extLst>
            <a:ext uri="{FF2B5EF4-FFF2-40B4-BE49-F238E27FC236}">
              <a16:creationId xmlns:a16="http://schemas.microsoft.com/office/drawing/2014/main" id="{072747C7-F0EC-4E83-8B67-0E941A6BC45A}"/>
            </a:ext>
          </a:extLst>
        </xdr:cNvPr>
        <xdr:cNvSpPr/>
      </xdr:nvSpPr>
      <xdr:spPr>
        <a:xfrm>
          <a:off x="21503639" y="25043130"/>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144779</xdr:colOff>
      <xdr:row>110</xdr:row>
      <xdr:rowOff>114300</xdr:rowOff>
    </xdr:from>
    <xdr:to>
      <xdr:col>79</xdr:col>
      <xdr:colOff>144779</xdr:colOff>
      <xdr:row>110</xdr:row>
      <xdr:rowOff>114300</xdr:rowOff>
    </xdr:to>
    <xdr:cxnSp macro="">
      <xdr:nvCxnSpPr>
        <xdr:cNvPr id="36434" name="직선 화살표 연결선 36433">
          <a:extLst>
            <a:ext uri="{FF2B5EF4-FFF2-40B4-BE49-F238E27FC236}">
              <a16:creationId xmlns:a16="http://schemas.microsoft.com/office/drawing/2014/main" id="{2E714CA2-2526-4EAA-AF6A-885B59BDB4E4}"/>
            </a:ext>
          </a:extLst>
        </xdr:cNvPr>
        <xdr:cNvCxnSpPr/>
      </xdr:nvCxnSpPr>
      <xdr:spPr>
        <a:xfrm>
          <a:off x="21503639" y="25100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144779</xdr:colOff>
      <xdr:row>109</xdr:row>
      <xdr:rowOff>57150</xdr:rowOff>
    </xdr:from>
    <xdr:to>
      <xdr:col>82</xdr:col>
      <xdr:colOff>104684</xdr:colOff>
      <xdr:row>109</xdr:row>
      <xdr:rowOff>171450</xdr:rowOff>
    </xdr:to>
    <xdr:sp macro="" textlink="">
      <xdr:nvSpPr>
        <xdr:cNvPr id="36435" name="106">
          <a:extLst>
            <a:ext uri="{FF2B5EF4-FFF2-40B4-BE49-F238E27FC236}">
              <a16:creationId xmlns:a16="http://schemas.microsoft.com/office/drawing/2014/main" id="{5E6F8E69-4E53-4DC5-BCA8-A2936FC41010}"/>
            </a:ext>
          </a:extLst>
        </xdr:cNvPr>
        <xdr:cNvSpPr/>
      </xdr:nvSpPr>
      <xdr:spPr>
        <a:xfrm>
          <a:off x="21503639" y="248145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144779</xdr:colOff>
      <xdr:row>109</xdr:row>
      <xdr:rowOff>114300</xdr:rowOff>
    </xdr:from>
    <xdr:to>
      <xdr:col>79</xdr:col>
      <xdr:colOff>144779</xdr:colOff>
      <xdr:row>109</xdr:row>
      <xdr:rowOff>114300</xdr:rowOff>
    </xdr:to>
    <xdr:cxnSp macro="">
      <xdr:nvCxnSpPr>
        <xdr:cNvPr id="36436" name="직선 화살표 연결선 36435">
          <a:extLst>
            <a:ext uri="{FF2B5EF4-FFF2-40B4-BE49-F238E27FC236}">
              <a16:creationId xmlns:a16="http://schemas.microsoft.com/office/drawing/2014/main" id="{476074D4-A19C-410E-A4BD-E44E53198B42}"/>
            </a:ext>
          </a:extLst>
        </xdr:cNvPr>
        <xdr:cNvCxnSpPr/>
      </xdr:nvCxnSpPr>
      <xdr:spPr>
        <a:xfrm>
          <a:off x="21503639" y="24871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144779</xdr:colOff>
      <xdr:row>108</xdr:row>
      <xdr:rowOff>57150</xdr:rowOff>
    </xdr:from>
    <xdr:to>
      <xdr:col>81</xdr:col>
      <xdr:colOff>104683</xdr:colOff>
      <xdr:row>108</xdr:row>
      <xdr:rowOff>171450</xdr:rowOff>
    </xdr:to>
    <xdr:sp macro="" textlink="">
      <xdr:nvSpPr>
        <xdr:cNvPr id="36437" name="105">
          <a:extLst>
            <a:ext uri="{FF2B5EF4-FFF2-40B4-BE49-F238E27FC236}">
              <a16:creationId xmlns:a16="http://schemas.microsoft.com/office/drawing/2014/main" id="{3232A5D4-BC09-469B-BE0B-DB090DA765CA}"/>
            </a:ext>
          </a:extLst>
        </xdr:cNvPr>
        <xdr:cNvSpPr/>
      </xdr:nvSpPr>
      <xdr:spPr>
        <a:xfrm>
          <a:off x="21503639" y="2458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144779</xdr:colOff>
      <xdr:row>108</xdr:row>
      <xdr:rowOff>114300</xdr:rowOff>
    </xdr:from>
    <xdr:to>
      <xdr:col>79</xdr:col>
      <xdr:colOff>144779</xdr:colOff>
      <xdr:row>108</xdr:row>
      <xdr:rowOff>114300</xdr:rowOff>
    </xdr:to>
    <xdr:cxnSp macro="">
      <xdr:nvCxnSpPr>
        <xdr:cNvPr id="36438" name="직선 화살표 연결선 36437">
          <a:extLst>
            <a:ext uri="{FF2B5EF4-FFF2-40B4-BE49-F238E27FC236}">
              <a16:creationId xmlns:a16="http://schemas.microsoft.com/office/drawing/2014/main" id="{30310091-3907-4A03-81F9-9B55CC00DA4A}"/>
            </a:ext>
          </a:extLst>
        </xdr:cNvPr>
        <xdr:cNvCxnSpPr/>
      </xdr:nvCxnSpPr>
      <xdr:spPr>
        <a:xfrm>
          <a:off x="21503639" y="24643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xdr:colOff>
      <xdr:row>107</xdr:row>
      <xdr:rowOff>57150</xdr:rowOff>
    </xdr:from>
    <xdr:to>
      <xdr:col>79</xdr:col>
      <xdr:colOff>104684</xdr:colOff>
      <xdr:row>107</xdr:row>
      <xdr:rowOff>171450</xdr:rowOff>
    </xdr:to>
    <xdr:sp macro="" textlink="">
      <xdr:nvSpPr>
        <xdr:cNvPr id="36439" name="104">
          <a:extLst>
            <a:ext uri="{FF2B5EF4-FFF2-40B4-BE49-F238E27FC236}">
              <a16:creationId xmlns:a16="http://schemas.microsoft.com/office/drawing/2014/main" id="{FC136D8E-0902-4670-9426-74FF842B849E}"/>
            </a:ext>
          </a:extLst>
        </xdr:cNvPr>
        <xdr:cNvSpPr/>
      </xdr:nvSpPr>
      <xdr:spPr>
        <a:xfrm>
          <a:off x="21358861" y="243573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1</xdr:colOff>
      <xdr:row>107</xdr:row>
      <xdr:rowOff>114300</xdr:rowOff>
    </xdr:from>
    <xdr:to>
      <xdr:col>79</xdr:col>
      <xdr:colOff>1</xdr:colOff>
      <xdr:row>107</xdr:row>
      <xdr:rowOff>114300</xdr:rowOff>
    </xdr:to>
    <xdr:cxnSp macro="">
      <xdr:nvCxnSpPr>
        <xdr:cNvPr id="36440" name="직선 화살표 연결선 36439">
          <a:extLst>
            <a:ext uri="{FF2B5EF4-FFF2-40B4-BE49-F238E27FC236}">
              <a16:creationId xmlns:a16="http://schemas.microsoft.com/office/drawing/2014/main" id="{FC82E9DF-6069-4546-937F-B0B9215F8547}"/>
            </a:ext>
          </a:extLst>
        </xdr:cNvPr>
        <xdr:cNvCxnSpPr/>
      </xdr:nvCxnSpPr>
      <xdr:spPr>
        <a:xfrm>
          <a:off x="21358861" y="24414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106</xdr:row>
      <xdr:rowOff>57150</xdr:rowOff>
    </xdr:from>
    <xdr:to>
      <xdr:col>78</xdr:col>
      <xdr:colOff>104684</xdr:colOff>
      <xdr:row>106</xdr:row>
      <xdr:rowOff>171450</xdr:rowOff>
    </xdr:to>
    <xdr:sp macro="" textlink="">
      <xdr:nvSpPr>
        <xdr:cNvPr id="36441" name="103">
          <a:extLst>
            <a:ext uri="{FF2B5EF4-FFF2-40B4-BE49-F238E27FC236}">
              <a16:creationId xmlns:a16="http://schemas.microsoft.com/office/drawing/2014/main" id="{9341546C-EF10-4384-863D-67AB1FAE1A59}"/>
            </a:ext>
          </a:extLst>
        </xdr:cNvPr>
        <xdr:cNvSpPr/>
      </xdr:nvSpPr>
      <xdr:spPr>
        <a:xfrm>
          <a:off x="21255445" y="241287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106</xdr:row>
      <xdr:rowOff>114300</xdr:rowOff>
    </xdr:from>
    <xdr:to>
      <xdr:col>78</xdr:col>
      <xdr:colOff>41365</xdr:colOff>
      <xdr:row>106</xdr:row>
      <xdr:rowOff>114300</xdr:rowOff>
    </xdr:to>
    <xdr:cxnSp macro="">
      <xdr:nvCxnSpPr>
        <xdr:cNvPr id="36442" name="직선 화살표 연결선 36441">
          <a:extLst>
            <a:ext uri="{FF2B5EF4-FFF2-40B4-BE49-F238E27FC236}">
              <a16:creationId xmlns:a16="http://schemas.microsoft.com/office/drawing/2014/main" id="{DAE79F0F-4862-46AC-B8F8-7E59A2072876}"/>
            </a:ext>
          </a:extLst>
        </xdr:cNvPr>
        <xdr:cNvCxnSpPr/>
      </xdr:nvCxnSpPr>
      <xdr:spPr>
        <a:xfrm>
          <a:off x="21255445" y="24185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105</xdr:row>
      <xdr:rowOff>57150</xdr:rowOff>
    </xdr:from>
    <xdr:to>
      <xdr:col>81</xdr:col>
      <xdr:colOff>104683</xdr:colOff>
      <xdr:row>105</xdr:row>
      <xdr:rowOff>171450</xdr:rowOff>
    </xdr:to>
    <xdr:sp macro="" textlink="">
      <xdr:nvSpPr>
        <xdr:cNvPr id="36443" name="102">
          <a:extLst>
            <a:ext uri="{FF2B5EF4-FFF2-40B4-BE49-F238E27FC236}">
              <a16:creationId xmlns:a16="http://schemas.microsoft.com/office/drawing/2014/main" id="{3595F92A-CA8D-43A6-B875-07357BF27FE5}"/>
            </a:ext>
          </a:extLst>
        </xdr:cNvPr>
        <xdr:cNvSpPr/>
      </xdr:nvSpPr>
      <xdr:spPr>
        <a:xfrm>
          <a:off x="21255445" y="23900130"/>
          <a:ext cx="4976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105</xdr:row>
      <xdr:rowOff>114300</xdr:rowOff>
    </xdr:from>
    <xdr:to>
      <xdr:col>78</xdr:col>
      <xdr:colOff>41365</xdr:colOff>
      <xdr:row>105</xdr:row>
      <xdr:rowOff>114300</xdr:rowOff>
    </xdr:to>
    <xdr:cxnSp macro="">
      <xdr:nvCxnSpPr>
        <xdr:cNvPr id="36444" name="직선 화살표 연결선 36443">
          <a:extLst>
            <a:ext uri="{FF2B5EF4-FFF2-40B4-BE49-F238E27FC236}">
              <a16:creationId xmlns:a16="http://schemas.microsoft.com/office/drawing/2014/main" id="{F3A57111-B442-4AAC-92FE-31EFA4E000CD}"/>
            </a:ext>
          </a:extLst>
        </xdr:cNvPr>
        <xdr:cNvCxnSpPr/>
      </xdr:nvCxnSpPr>
      <xdr:spPr>
        <a:xfrm>
          <a:off x="21255445" y="23957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104</xdr:row>
      <xdr:rowOff>57150</xdr:rowOff>
    </xdr:from>
    <xdr:to>
      <xdr:col>83</xdr:col>
      <xdr:colOff>21952</xdr:colOff>
      <xdr:row>104</xdr:row>
      <xdr:rowOff>171450</xdr:rowOff>
    </xdr:to>
    <xdr:sp macro="" textlink="">
      <xdr:nvSpPr>
        <xdr:cNvPr id="36445" name="101">
          <a:extLst>
            <a:ext uri="{FF2B5EF4-FFF2-40B4-BE49-F238E27FC236}">
              <a16:creationId xmlns:a16="http://schemas.microsoft.com/office/drawing/2014/main" id="{2E0452F5-8F45-4EC9-ADA1-DBF3B019818C}"/>
            </a:ext>
          </a:extLst>
        </xdr:cNvPr>
        <xdr:cNvSpPr/>
      </xdr:nvSpPr>
      <xdr:spPr>
        <a:xfrm>
          <a:off x="21255445" y="23671530"/>
          <a:ext cx="7044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104</xdr:row>
      <xdr:rowOff>114300</xdr:rowOff>
    </xdr:from>
    <xdr:to>
      <xdr:col>78</xdr:col>
      <xdr:colOff>41365</xdr:colOff>
      <xdr:row>104</xdr:row>
      <xdr:rowOff>114300</xdr:rowOff>
    </xdr:to>
    <xdr:cxnSp macro="">
      <xdr:nvCxnSpPr>
        <xdr:cNvPr id="36446" name="직선 화살표 연결선 36445">
          <a:extLst>
            <a:ext uri="{FF2B5EF4-FFF2-40B4-BE49-F238E27FC236}">
              <a16:creationId xmlns:a16="http://schemas.microsoft.com/office/drawing/2014/main" id="{3E7F9ECC-ED55-4BCD-B53D-B11BB8CC3D30}"/>
            </a:ext>
          </a:extLst>
        </xdr:cNvPr>
        <xdr:cNvCxnSpPr/>
      </xdr:nvCxnSpPr>
      <xdr:spPr>
        <a:xfrm>
          <a:off x="21255445" y="23728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82732</xdr:colOff>
      <xdr:row>103</xdr:row>
      <xdr:rowOff>57150</xdr:rowOff>
    </xdr:from>
    <xdr:to>
      <xdr:col>82</xdr:col>
      <xdr:colOff>104684</xdr:colOff>
      <xdr:row>103</xdr:row>
      <xdr:rowOff>171450</xdr:rowOff>
    </xdr:to>
    <xdr:sp macro="" textlink="">
      <xdr:nvSpPr>
        <xdr:cNvPr id="36447" name="100">
          <a:extLst>
            <a:ext uri="{FF2B5EF4-FFF2-40B4-BE49-F238E27FC236}">
              <a16:creationId xmlns:a16="http://schemas.microsoft.com/office/drawing/2014/main" id="{C4364486-D910-4C36-96CC-059B3798A9B9}"/>
            </a:ext>
          </a:extLst>
        </xdr:cNvPr>
        <xdr:cNvSpPr/>
      </xdr:nvSpPr>
      <xdr:spPr>
        <a:xfrm>
          <a:off x="21441592" y="23442930"/>
          <a:ext cx="4562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82732</xdr:colOff>
      <xdr:row>103</xdr:row>
      <xdr:rowOff>114300</xdr:rowOff>
    </xdr:from>
    <xdr:to>
      <xdr:col>79</xdr:col>
      <xdr:colOff>82732</xdr:colOff>
      <xdr:row>103</xdr:row>
      <xdr:rowOff>114300</xdr:rowOff>
    </xdr:to>
    <xdr:cxnSp macro="">
      <xdr:nvCxnSpPr>
        <xdr:cNvPr id="36448" name="직선 화살표 연결선 36447">
          <a:extLst>
            <a:ext uri="{FF2B5EF4-FFF2-40B4-BE49-F238E27FC236}">
              <a16:creationId xmlns:a16="http://schemas.microsoft.com/office/drawing/2014/main" id="{23183080-FD34-4A31-9DEA-8B02EC54BB26}"/>
            </a:ext>
          </a:extLst>
        </xdr:cNvPr>
        <xdr:cNvCxnSpPr/>
      </xdr:nvCxnSpPr>
      <xdr:spPr>
        <a:xfrm>
          <a:off x="21441592" y="23500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102</xdr:row>
      <xdr:rowOff>57150</xdr:rowOff>
    </xdr:from>
    <xdr:to>
      <xdr:col>79</xdr:col>
      <xdr:colOff>104684</xdr:colOff>
      <xdr:row>102</xdr:row>
      <xdr:rowOff>171450</xdr:rowOff>
    </xdr:to>
    <xdr:sp macro="" textlink="">
      <xdr:nvSpPr>
        <xdr:cNvPr id="36449" name="99">
          <a:extLst>
            <a:ext uri="{FF2B5EF4-FFF2-40B4-BE49-F238E27FC236}">
              <a16:creationId xmlns:a16="http://schemas.microsoft.com/office/drawing/2014/main" id="{4D14FD39-5210-4D18-AFCD-39B503A97471}"/>
            </a:ext>
          </a:extLst>
        </xdr:cNvPr>
        <xdr:cNvSpPr/>
      </xdr:nvSpPr>
      <xdr:spPr>
        <a:xfrm>
          <a:off x="21069300" y="232143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102</xdr:row>
      <xdr:rowOff>114300</xdr:rowOff>
    </xdr:from>
    <xdr:to>
      <xdr:col>77</xdr:col>
      <xdr:colOff>0</xdr:colOff>
      <xdr:row>102</xdr:row>
      <xdr:rowOff>114300</xdr:rowOff>
    </xdr:to>
    <xdr:cxnSp macro="">
      <xdr:nvCxnSpPr>
        <xdr:cNvPr id="36450" name="직선 화살표 연결선 36449">
          <a:extLst>
            <a:ext uri="{FF2B5EF4-FFF2-40B4-BE49-F238E27FC236}">
              <a16:creationId xmlns:a16="http://schemas.microsoft.com/office/drawing/2014/main" id="{F9D885A8-33C9-4A7E-8CDB-1FD07E264402}"/>
            </a:ext>
          </a:extLst>
        </xdr:cNvPr>
        <xdr:cNvCxnSpPr/>
      </xdr:nvCxnSpPr>
      <xdr:spPr>
        <a:xfrm>
          <a:off x="21069300" y="23271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101</xdr:row>
      <xdr:rowOff>57150</xdr:rowOff>
    </xdr:from>
    <xdr:to>
      <xdr:col>76</xdr:col>
      <xdr:colOff>104683</xdr:colOff>
      <xdr:row>101</xdr:row>
      <xdr:rowOff>171450</xdr:rowOff>
    </xdr:to>
    <xdr:sp macro="" textlink="">
      <xdr:nvSpPr>
        <xdr:cNvPr id="36451" name="98">
          <a:extLst>
            <a:ext uri="{FF2B5EF4-FFF2-40B4-BE49-F238E27FC236}">
              <a16:creationId xmlns:a16="http://schemas.microsoft.com/office/drawing/2014/main" id="{EFE18986-AC25-4D2C-8E42-0D894506FF03}"/>
            </a:ext>
          </a:extLst>
        </xdr:cNvPr>
        <xdr:cNvSpPr/>
      </xdr:nvSpPr>
      <xdr:spPr>
        <a:xfrm>
          <a:off x="20924520" y="229857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101</xdr:row>
      <xdr:rowOff>114300</xdr:rowOff>
    </xdr:from>
    <xdr:to>
      <xdr:col>76</xdr:col>
      <xdr:colOff>0</xdr:colOff>
      <xdr:row>101</xdr:row>
      <xdr:rowOff>114300</xdr:rowOff>
    </xdr:to>
    <xdr:cxnSp macro="">
      <xdr:nvCxnSpPr>
        <xdr:cNvPr id="36452" name="직선 화살표 연결선 36451">
          <a:extLst>
            <a:ext uri="{FF2B5EF4-FFF2-40B4-BE49-F238E27FC236}">
              <a16:creationId xmlns:a16="http://schemas.microsoft.com/office/drawing/2014/main" id="{2B09A44C-8161-4C7B-931A-94D51FAD7AC3}"/>
            </a:ext>
          </a:extLst>
        </xdr:cNvPr>
        <xdr:cNvCxnSpPr/>
      </xdr:nvCxnSpPr>
      <xdr:spPr>
        <a:xfrm>
          <a:off x="20924520" y="23042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100</xdr:row>
      <xdr:rowOff>57150</xdr:rowOff>
    </xdr:from>
    <xdr:to>
      <xdr:col>82</xdr:col>
      <xdr:colOff>104684</xdr:colOff>
      <xdr:row>100</xdr:row>
      <xdr:rowOff>171450</xdr:rowOff>
    </xdr:to>
    <xdr:sp macro="" textlink="">
      <xdr:nvSpPr>
        <xdr:cNvPr id="36453" name="97">
          <a:extLst>
            <a:ext uri="{FF2B5EF4-FFF2-40B4-BE49-F238E27FC236}">
              <a16:creationId xmlns:a16="http://schemas.microsoft.com/office/drawing/2014/main" id="{A6103471-06B0-4B0C-A30C-3C9ED0D754B9}"/>
            </a:ext>
          </a:extLst>
        </xdr:cNvPr>
        <xdr:cNvSpPr/>
      </xdr:nvSpPr>
      <xdr:spPr>
        <a:xfrm>
          <a:off x="20924520" y="227571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100</xdr:row>
      <xdr:rowOff>114300</xdr:rowOff>
    </xdr:from>
    <xdr:to>
      <xdr:col>76</xdr:col>
      <xdr:colOff>0</xdr:colOff>
      <xdr:row>100</xdr:row>
      <xdr:rowOff>114300</xdr:rowOff>
    </xdr:to>
    <xdr:cxnSp macro="">
      <xdr:nvCxnSpPr>
        <xdr:cNvPr id="36454" name="직선 화살표 연결선 36453">
          <a:extLst>
            <a:ext uri="{FF2B5EF4-FFF2-40B4-BE49-F238E27FC236}">
              <a16:creationId xmlns:a16="http://schemas.microsoft.com/office/drawing/2014/main" id="{DDA49A79-2B16-4487-B4CF-C47D7820C25E}"/>
            </a:ext>
          </a:extLst>
        </xdr:cNvPr>
        <xdr:cNvCxnSpPr/>
      </xdr:nvCxnSpPr>
      <xdr:spPr>
        <a:xfrm>
          <a:off x="20924520" y="22814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99</xdr:row>
      <xdr:rowOff>57150</xdr:rowOff>
    </xdr:from>
    <xdr:to>
      <xdr:col>82</xdr:col>
      <xdr:colOff>104684</xdr:colOff>
      <xdr:row>99</xdr:row>
      <xdr:rowOff>171450</xdr:rowOff>
    </xdr:to>
    <xdr:sp macro="" textlink="">
      <xdr:nvSpPr>
        <xdr:cNvPr id="36455" name="96">
          <a:extLst>
            <a:ext uri="{FF2B5EF4-FFF2-40B4-BE49-F238E27FC236}">
              <a16:creationId xmlns:a16="http://schemas.microsoft.com/office/drawing/2014/main" id="{A9A5E7B2-C675-45EB-A259-AE73CCEF673F}"/>
            </a:ext>
          </a:extLst>
        </xdr:cNvPr>
        <xdr:cNvSpPr/>
      </xdr:nvSpPr>
      <xdr:spPr>
        <a:xfrm>
          <a:off x="20924520" y="225285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99</xdr:row>
      <xdr:rowOff>114300</xdr:rowOff>
    </xdr:from>
    <xdr:to>
      <xdr:col>76</xdr:col>
      <xdr:colOff>0</xdr:colOff>
      <xdr:row>99</xdr:row>
      <xdr:rowOff>114300</xdr:rowOff>
    </xdr:to>
    <xdr:cxnSp macro="">
      <xdr:nvCxnSpPr>
        <xdr:cNvPr id="36456" name="직선 화살표 연결선 36455">
          <a:extLst>
            <a:ext uri="{FF2B5EF4-FFF2-40B4-BE49-F238E27FC236}">
              <a16:creationId xmlns:a16="http://schemas.microsoft.com/office/drawing/2014/main" id="{833D9F63-2956-4CB8-BBAE-E78A3E06AA79}"/>
            </a:ext>
          </a:extLst>
        </xdr:cNvPr>
        <xdr:cNvCxnSpPr/>
      </xdr:nvCxnSpPr>
      <xdr:spPr>
        <a:xfrm>
          <a:off x="20924520" y="22585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82732</xdr:colOff>
      <xdr:row>98</xdr:row>
      <xdr:rowOff>57150</xdr:rowOff>
    </xdr:from>
    <xdr:to>
      <xdr:col>75</xdr:col>
      <xdr:colOff>104684</xdr:colOff>
      <xdr:row>98</xdr:row>
      <xdr:rowOff>171450</xdr:rowOff>
    </xdr:to>
    <xdr:sp macro="" textlink="">
      <xdr:nvSpPr>
        <xdr:cNvPr id="36457" name="95">
          <a:extLst>
            <a:ext uri="{FF2B5EF4-FFF2-40B4-BE49-F238E27FC236}">
              <a16:creationId xmlns:a16="http://schemas.microsoft.com/office/drawing/2014/main" id="{99EB577B-D382-4673-BBCA-5886B73F3938}"/>
            </a:ext>
          </a:extLst>
        </xdr:cNvPr>
        <xdr:cNvSpPr/>
      </xdr:nvSpPr>
      <xdr:spPr>
        <a:xfrm>
          <a:off x="19993792" y="22299930"/>
          <a:ext cx="8906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82732</xdr:colOff>
      <xdr:row>98</xdr:row>
      <xdr:rowOff>114300</xdr:rowOff>
    </xdr:from>
    <xdr:to>
      <xdr:col>69</xdr:col>
      <xdr:colOff>82732</xdr:colOff>
      <xdr:row>98</xdr:row>
      <xdr:rowOff>114300</xdr:rowOff>
    </xdr:to>
    <xdr:cxnSp macro="">
      <xdr:nvCxnSpPr>
        <xdr:cNvPr id="36458" name="직선 화살표 연결선 36457">
          <a:extLst>
            <a:ext uri="{FF2B5EF4-FFF2-40B4-BE49-F238E27FC236}">
              <a16:creationId xmlns:a16="http://schemas.microsoft.com/office/drawing/2014/main" id="{43F32D95-CA3D-4878-826E-0BAAD70C7F1B}"/>
            </a:ext>
          </a:extLst>
        </xdr:cNvPr>
        <xdr:cNvCxnSpPr/>
      </xdr:nvCxnSpPr>
      <xdr:spPr>
        <a:xfrm>
          <a:off x="19993792" y="22357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20682</xdr:colOff>
      <xdr:row>97</xdr:row>
      <xdr:rowOff>57150</xdr:rowOff>
    </xdr:from>
    <xdr:to>
      <xdr:col>73</xdr:col>
      <xdr:colOff>104684</xdr:colOff>
      <xdr:row>97</xdr:row>
      <xdr:rowOff>171450</xdr:rowOff>
    </xdr:to>
    <xdr:sp macro="" textlink="">
      <xdr:nvSpPr>
        <xdr:cNvPr id="36459" name="94">
          <a:extLst>
            <a:ext uri="{FF2B5EF4-FFF2-40B4-BE49-F238E27FC236}">
              <a16:creationId xmlns:a16="http://schemas.microsoft.com/office/drawing/2014/main" id="{9C1729A8-C294-430B-A215-6CCF653BC117}"/>
            </a:ext>
          </a:extLst>
        </xdr:cNvPr>
        <xdr:cNvSpPr/>
      </xdr:nvSpPr>
      <xdr:spPr>
        <a:xfrm>
          <a:off x="17470482" y="22071330"/>
          <a:ext cx="31243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20682</xdr:colOff>
      <xdr:row>97</xdr:row>
      <xdr:rowOff>114300</xdr:rowOff>
    </xdr:from>
    <xdr:to>
      <xdr:col>52</xdr:col>
      <xdr:colOff>20682</xdr:colOff>
      <xdr:row>97</xdr:row>
      <xdr:rowOff>114300</xdr:rowOff>
    </xdr:to>
    <xdr:cxnSp macro="">
      <xdr:nvCxnSpPr>
        <xdr:cNvPr id="36460" name="직선 화살표 연결선 36459">
          <a:extLst>
            <a:ext uri="{FF2B5EF4-FFF2-40B4-BE49-F238E27FC236}">
              <a16:creationId xmlns:a16="http://schemas.microsoft.com/office/drawing/2014/main" id="{D8CAD919-5150-4ED7-88F5-9BC7AFA09B1F}"/>
            </a:ext>
          </a:extLst>
        </xdr:cNvPr>
        <xdr:cNvCxnSpPr/>
      </xdr:nvCxnSpPr>
      <xdr:spPr>
        <a:xfrm>
          <a:off x="17470482" y="22128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xdr:colOff>
      <xdr:row>96</xdr:row>
      <xdr:rowOff>57150</xdr:rowOff>
    </xdr:from>
    <xdr:to>
      <xdr:col>51</xdr:col>
      <xdr:colOff>104683</xdr:colOff>
      <xdr:row>96</xdr:row>
      <xdr:rowOff>171450</xdr:rowOff>
    </xdr:to>
    <xdr:sp macro="" textlink="">
      <xdr:nvSpPr>
        <xdr:cNvPr id="36461" name="93">
          <a:extLst>
            <a:ext uri="{FF2B5EF4-FFF2-40B4-BE49-F238E27FC236}">
              <a16:creationId xmlns:a16="http://schemas.microsoft.com/office/drawing/2014/main" id="{FE2A7E69-4403-4E72-A68E-5F2EC03BB3F5}"/>
            </a:ext>
          </a:extLst>
        </xdr:cNvPr>
        <xdr:cNvSpPr/>
      </xdr:nvSpPr>
      <xdr:spPr>
        <a:xfrm>
          <a:off x="17015461" y="21842730"/>
          <a:ext cx="394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xdr:colOff>
      <xdr:row>96</xdr:row>
      <xdr:rowOff>114300</xdr:rowOff>
    </xdr:from>
    <xdr:to>
      <xdr:col>49</xdr:col>
      <xdr:colOff>1</xdr:colOff>
      <xdr:row>96</xdr:row>
      <xdr:rowOff>114300</xdr:rowOff>
    </xdr:to>
    <xdr:cxnSp macro="">
      <xdr:nvCxnSpPr>
        <xdr:cNvPr id="36462" name="직선 화살표 연결선 36461">
          <a:extLst>
            <a:ext uri="{FF2B5EF4-FFF2-40B4-BE49-F238E27FC236}">
              <a16:creationId xmlns:a16="http://schemas.microsoft.com/office/drawing/2014/main" id="{AC992E0D-9F5F-478E-B8C8-D8CA2BDB0885}"/>
            </a:ext>
          </a:extLst>
        </xdr:cNvPr>
        <xdr:cNvCxnSpPr/>
      </xdr:nvCxnSpPr>
      <xdr:spPr>
        <a:xfrm>
          <a:off x="17015461" y="21899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xdr:colOff>
      <xdr:row>95</xdr:row>
      <xdr:rowOff>57150</xdr:rowOff>
    </xdr:from>
    <xdr:to>
      <xdr:col>51</xdr:col>
      <xdr:colOff>104683</xdr:colOff>
      <xdr:row>95</xdr:row>
      <xdr:rowOff>171450</xdr:rowOff>
    </xdr:to>
    <xdr:sp macro="" textlink="">
      <xdr:nvSpPr>
        <xdr:cNvPr id="36463" name="92">
          <a:extLst>
            <a:ext uri="{FF2B5EF4-FFF2-40B4-BE49-F238E27FC236}">
              <a16:creationId xmlns:a16="http://schemas.microsoft.com/office/drawing/2014/main" id="{46203140-7B2B-4B11-851C-A07FC123B17F}"/>
            </a:ext>
          </a:extLst>
        </xdr:cNvPr>
        <xdr:cNvSpPr/>
      </xdr:nvSpPr>
      <xdr:spPr>
        <a:xfrm>
          <a:off x="17015461" y="21614130"/>
          <a:ext cx="394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xdr:colOff>
      <xdr:row>95</xdr:row>
      <xdr:rowOff>114300</xdr:rowOff>
    </xdr:from>
    <xdr:to>
      <xdr:col>49</xdr:col>
      <xdr:colOff>1</xdr:colOff>
      <xdr:row>95</xdr:row>
      <xdr:rowOff>114300</xdr:rowOff>
    </xdr:to>
    <xdr:cxnSp macro="">
      <xdr:nvCxnSpPr>
        <xdr:cNvPr id="36464" name="직선 화살표 연결선 36463">
          <a:extLst>
            <a:ext uri="{FF2B5EF4-FFF2-40B4-BE49-F238E27FC236}">
              <a16:creationId xmlns:a16="http://schemas.microsoft.com/office/drawing/2014/main" id="{5DFDABA8-06C0-4329-B16C-F3B8525BF0D6}"/>
            </a:ext>
          </a:extLst>
        </xdr:cNvPr>
        <xdr:cNvCxnSpPr/>
      </xdr:nvCxnSpPr>
      <xdr:spPr>
        <a:xfrm>
          <a:off x="17015461" y="21671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xdr:colOff>
      <xdr:row>94</xdr:row>
      <xdr:rowOff>57150</xdr:rowOff>
    </xdr:from>
    <xdr:to>
      <xdr:col>75</xdr:col>
      <xdr:colOff>104684</xdr:colOff>
      <xdr:row>94</xdr:row>
      <xdr:rowOff>171450</xdr:rowOff>
    </xdr:to>
    <xdr:sp macro="" textlink="">
      <xdr:nvSpPr>
        <xdr:cNvPr id="36465" name="91">
          <a:extLst>
            <a:ext uri="{FF2B5EF4-FFF2-40B4-BE49-F238E27FC236}">
              <a16:creationId xmlns:a16="http://schemas.microsoft.com/office/drawing/2014/main" id="{CA1D37EF-77D4-47C5-994A-A3FE78E38749}"/>
            </a:ext>
          </a:extLst>
        </xdr:cNvPr>
        <xdr:cNvSpPr/>
      </xdr:nvSpPr>
      <xdr:spPr>
        <a:xfrm>
          <a:off x="17015461" y="21385530"/>
          <a:ext cx="38689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xdr:colOff>
      <xdr:row>94</xdr:row>
      <xdr:rowOff>114300</xdr:rowOff>
    </xdr:from>
    <xdr:to>
      <xdr:col>49</xdr:col>
      <xdr:colOff>1</xdr:colOff>
      <xdr:row>94</xdr:row>
      <xdr:rowOff>114300</xdr:rowOff>
    </xdr:to>
    <xdr:cxnSp macro="">
      <xdr:nvCxnSpPr>
        <xdr:cNvPr id="36466" name="직선 화살표 연결선 36465">
          <a:extLst>
            <a:ext uri="{FF2B5EF4-FFF2-40B4-BE49-F238E27FC236}">
              <a16:creationId xmlns:a16="http://schemas.microsoft.com/office/drawing/2014/main" id="{168328F1-012D-46D5-B4DC-5A6CAD893A3A}"/>
            </a:ext>
          </a:extLst>
        </xdr:cNvPr>
        <xdr:cNvCxnSpPr/>
      </xdr:nvCxnSpPr>
      <xdr:spPr>
        <a:xfrm>
          <a:off x="17015461" y="21442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144779</xdr:colOff>
      <xdr:row>93</xdr:row>
      <xdr:rowOff>57150</xdr:rowOff>
    </xdr:from>
    <xdr:to>
      <xdr:col>51</xdr:col>
      <xdr:colOff>104683</xdr:colOff>
      <xdr:row>93</xdr:row>
      <xdr:rowOff>171450</xdr:rowOff>
    </xdr:to>
    <xdr:sp macro="" textlink="">
      <xdr:nvSpPr>
        <xdr:cNvPr id="36467" name="90">
          <a:extLst>
            <a:ext uri="{FF2B5EF4-FFF2-40B4-BE49-F238E27FC236}">
              <a16:creationId xmlns:a16="http://schemas.microsoft.com/office/drawing/2014/main" id="{BE8144E3-1614-4567-B40E-EA64694C46DB}"/>
            </a:ext>
          </a:extLst>
        </xdr:cNvPr>
        <xdr:cNvSpPr/>
      </xdr:nvSpPr>
      <xdr:spPr>
        <a:xfrm>
          <a:off x="17160239" y="21156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144779</xdr:colOff>
      <xdr:row>93</xdr:row>
      <xdr:rowOff>114300</xdr:rowOff>
    </xdr:from>
    <xdr:to>
      <xdr:col>49</xdr:col>
      <xdr:colOff>144779</xdr:colOff>
      <xdr:row>93</xdr:row>
      <xdr:rowOff>114300</xdr:rowOff>
    </xdr:to>
    <xdr:cxnSp macro="">
      <xdr:nvCxnSpPr>
        <xdr:cNvPr id="36468" name="직선 화살표 연결선 36467">
          <a:extLst>
            <a:ext uri="{FF2B5EF4-FFF2-40B4-BE49-F238E27FC236}">
              <a16:creationId xmlns:a16="http://schemas.microsoft.com/office/drawing/2014/main" id="{F9D741BA-672F-4815-9C6E-CEBCB9C9D671}"/>
            </a:ext>
          </a:extLst>
        </xdr:cNvPr>
        <xdr:cNvCxnSpPr/>
      </xdr:nvCxnSpPr>
      <xdr:spPr>
        <a:xfrm>
          <a:off x="17160239" y="21214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144779</xdr:colOff>
      <xdr:row>92</xdr:row>
      <xdr:rowOff>57150</xdr:rowOff>
    </xdr:from>
    <xdr:to>
      <xdr:col>51</xdr:col>
      <xdr:colOff>104683</xdr:colOff>
      <xdr:row>92</xdr:row>
      <xdr:rowOff>171450</xdr:rowOff>
    </xdr:to>
    <xdr:sp macro="" textlink="">
      <xdr:nvSpPr>
        <xdr:cNvPr id="36469" name="89">
          <a:extLst>
            <a:ext uri="{FF2B5EF4-FFF2-40B4-BE49-F238E27FC236}">
              <a16:creationId xmlns:a16="http://schemas.microsoft.com/office/drawing/2014/main" id="{67BABE15-F674-440D-9DE5-D22330B5C530}"/>
            </a:ext>
          </a:extLst>
        </xdr:cNvPr>
        <xdr:cNvSpPr/>
      </xdr:nvSpPr>
      <xdr:spPr>
        <a:xfrm>
          <a:off x="17160239" y="209283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144779</xdr:colOff>
      <xdr:row>92</xdr:row>
      <xdr:rowOff>114300</xdr:rowOff>
    </xdr:from>
    <xdr:to>
      <xdr:col>49</xdr:col>
      <xdr:colOff>144779</xdr:colOff>
      <xdr:row>92</xdr:row>
      <xdr:rowOff>114300</xdr:rowOff>
    </xdr:to>
    <xdr:cxnSp macro="">
      <xdr:nvCxnSpPr>
        <xdr:cNvPr id="36470" name="직선 화살표 연결선 36469">
          <a:extLst>
            <a:ext uri="{FF2B5EF4-FFF2-40B4-BE49-F238E27FC236}">
              <a16:creationId xmlns:a16="http://schemas.microsoft.com/office/drawing/2014/main" id="{04542D25-91CF-4D15-AA8C-3ACB310EFBBE}"/>
            </a:ext>
          </a:extLst>
        </xdr:cNvPr>
        <xdr:cNvCxnSpPr/>
      </xdr:nvCxnSpPr>
      <xdr:spPr>
        <a:xfrm>
          <a:off x="17160239" y="20985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xdr:colOff>
      <xdr:row>91</xdr:row>
      <xdr:rowOff>57150</xdr:rowOff>
    </xdr:from>
    <xdr:to>
      <xdr:col>49</xdr:col>
      <xdr:colOff>104684</xdr:colOff>
      <xdr:row>91</xdr:row>
      <xdr:rowOff>171450</xdr:rowOff>
    </xdr:to>
    <xdr:sp macro="" textlink="">
      <xdr:nvSpPr>
        <xdr:cNvPr id="36471" name="88">
          <a:extLst>
            <a:ext uri="{FF2B5EF4-FFF2-40B4-BE49-F238E27FC236}">
              <a16:creationId xmlns:a16="http://schemas.microsoft.com/office/drawing/2014/main" id="{9F576877-A580-4B73-BF8F-736D9D029095}"/>
            </a:ext>
          </a:extLst>
        </xdr:cNvPr>
        <xdr:cNvSpPr/>
      </xdr:nvSpPr>
      <xdr:spPr>
        <a:xfrm>
          <a:off x="17015461" y="206997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xdr:colOff>
      <xdr:row>91</xdr:row>
      <xdr:rowOff>114300</xdr:rowOff>
    </xdr:from>
    <xdr:to>
      <xdr:col>49</xdr:col>
      <xdr:colOff>1</xdr:colOff>
      <xdr:row>91</xdr:row>
      <xdr:rowOff>114300</xdr:rowOff>
    </xdr:to>
    <xdr:cxnSp macro="">
      <xdr:nvCxnSpPr>
        <xdr:cNvPr id="36472" name="직선 화살표 연결선 36471">
          <a:extLst>
            <a:ext uri="{FF2B5EF4-FFF2-40B4-BE49-F238E27FC236}">
              <a16:creationId xmlns:a16="http://schemas.microsoft.com/office/drawing/2014/main" id="{FF72F2DC-E60F-4762-8DA5-1CA1B5FAF697}"/>
            </a:ext>
          </a:extLst>
        </xdr:cNvPr>
        <xdr:cNvCxnSpPr/>
      </xdr:nvCxnSpPr>
      <xdr:spPr>
        <a:xfrm>
          <a:off x="17015461" y="20756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90</xdr:row>
      <xdr:rowOff>57150</xdr:rowOff>
    </xdr:from>
    <xdr:to>
      <xdr:col>48</xdr:col>
      <xdr:colOff>104684</xdr:colOff>
      <xdr:row>90</xdr:row>
      <xdr:rowOff>171450</xdr:rowOff>
    </xdr:to>
    <xdr:sp macro="" textlink="">
      <xdr:nvSpPr>
        <xdr:cNvPr id="36473" name="87">
          <a:extLst>
            <a:ext uri="{FF2B5EF4-FFF2-40B4-BE49-F238E27FC236}">
              <a16:creationId xmlns:a16="http://schemas.microsoft.com/office/drawing/2014/main" id="{28CE9D37-5816-4950-B2B2-58FF94082EF8}"/>
            </a:ext>
          </a:extLst>
        </xdr:cNvPr>
        <xdr:cNvSpPr/>
      </xdr:nvSpPr>
      <xdr:spPr>
        <a:xfrm>
          <a:off x="16870680" y="204711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90</xdr:row>
      <xdr:rowOff>114300</xdr:rowOff>
    </xdr:from>
    <xdr:to>
      <xdr:col>48</xdr:col>
      <xdr:colOff>0</xdr:colOff>
      <xdr:row>90</xdr:row>
      <xdr:rowOff>114300</xdr:rowOff>
    </xdr:to>
    <xdr:cxnSp macro="">
      <xdr:nvCxnSpPr>
        <xdr:cNvPr id="36474" name="직선 화살표 연결선 36473">
          <a:extLst>
            <a:ext uri="{FF2B5EF4-FFF2-40B4-BE49-F238E27FC236}">
              <a16:creationId xmlns:a16="http://schemas.microsoft.com/office/drawing/2014/main" id="{F2037F71-799A-474F-A1EE-7A8C59E2880C}"/>
            </a:ext>
          </a:extLst>
        </xdr:cNvPr>
        <xdr:cNvCxnSpPr/>
      </xdr:nvCxnSpPr>
      <xdr:spPr>
        <a:xfrm>
          <a:off x="16870680" y="20528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89</xdr:row>
      <xdr:rowOff>57150</xdr:rowOff>
    </xdr:from>
    <xdr:to>
      <xdr:col>49</xdr:col>
      <xdr:colOff>104684</xdr:colOff>
      <xdr:row>89</xdr:row>
      <xdr:rowOff>171450</xdr:rowOff>
    </xdr:to>
    <xdr:sp macro="" textlink="">
      <xdr:nvSpPr>
        <xdr:cNvPr id="36475" name="86">
          <a:extLst>
            <a:ext uri="{FF2B5EF4-FFF2-40B4-BE49-F238E27FC236}">
              <a16:creationId xmlns:a16="http://schemas.microsoft.com/office/drawing/2014/main" id="{A1C3B865-5CD1-4A81-B50D-06D0393CE5E8}"/>
            </a:ext>
          </a:extLst>
        </xdr:cNvPr>
        <xdr:cNvSpPr/>
      </xdr:nvSpPr>
      <xdr:spPr>
        <a:xfrm>
          <a:off x="16870680" y="202425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89</xdr:row>
      <xdr:rowOff>114300</xdr:rowOff>
    </xdr:from>
    <xdr:to>
      <xdr:col>48</xdr:col>
      <xdr:colOff>0</xdr:colOff>
      <xdr:row>89</xdr:row>
      <xdr:rowOff>114300</xdr:rowOff>
    </xdr:to>
    <xdr:cxnSp macro="">
      <xdr:nvCxnSpPr>
        <xdr:cNvPr id="36476" name="직선 화살표 연결선 36475">
          <a:extLst>
            <a:ext uri="{FF2B5EF4-FFF2-40B4-BE49-F238E27FC236}">
              <a16:creationId xmlns:a16="http://schemas.microsoft.com/office/drawing/2014/main" id="{7D6CCA60-E566-4595-A0F1-68D1FBEAB313}"/>
            </a:ext>
          </a:extLst>
        </xdr:cNvPr>
        <xdr:cNvCxnSpPr/>
      </xdr:nvCxnSpPr>
      <xdr:spPr>
        <a:xfrm>
          <a:off x="16870680" y="20299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88</xdr:row>
      <xdr:rowOff>57150</xdr:rowOff>
    </xdr:from>
    <xdr:to>
      <xdr:col>75</xdr:col>
      <xdr:colOff>104684</xdr:colOff>
      <xdr:row>88</xdr:row>
      <xdr:rowOff>171450</xdr:rowOff>
    </xdr:to>
    <xdr:sp macro="" textlink="">
      <xdr:nvSpPr>
        <xdr:cNvPr id="36477" name="85">
          <a:extLst>
            <a:ext uri="{FF2B5EF4-FFF2-40B4-BE49-F238E27FC236}">
              <a16:creationId xmlns:a16="http://schemas.microsoft.com/office/drawing/2014/main" id="{7D953179-F19C-4944-96D7-E87A2BA8525C}"/>
            </a:ext>
          </a:extLst>
        </xdr:cNvPr>
        <xdr:cNvSpPr/>
      </xdr:nvSpPr>
      <xdr:spPr>
        <a:xfrm>
          <a:off x="16870680" y="20013930"/>
          <a:ext cx="40137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88</xdr:row>
      <xdr:rowOff>114300</xdr:rowOff>
    </xdr:from>
    <xdr:to>
      <xdr:col>48</xdr:col>
      <xdr:colOff>0</xdr:colOff>
      <xdr:row>88</xdr:row>
      <xdr:rowOff>114300</xdr:rowOff>
    </xdr:to>
    <xdr:cxnSp macro="">
      <xdr:nvCxnSpPr>
        <xdr:cNvPr id="36478" name="직선 화살표 연결선 36477">
          <a:extLst>
            <a:ext uri="{FF2B5EF4-FFF2-40B4-BE49-F238E27FC236}">
              <a16:creationId xmlns:a16="http://schemas.microsoft.com/office/drawing/2014/main" id="{833EBB1B-BF19-4F00-965A-05810DA67613}"/>
            </a:ext>
          </a:extLst>
        </xdr:cNvPr>
        <xdr:cNvCxnSpPr/>
      </xdr:nvCxnSpPr>
      <xdr:spPr>
        <a:xfrm>
          <a:off x="16870680" y="20071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xdr:colOff>
      <xdr:row>87</xdr:row>
      <xdr:rowOff>57150</xdr:rowOff>
    </xdr:from>
    <xdr:to>
      <xdr:col>44</xdr:col>
      <xdr:colOff>63318</xdr:colOff>
      <xdr:row>87</xdr:row>
      <xdr:rowOff>171450</xdr:rowOff>
    </xdr:to>
    <xdr:sp macro="" textlink="">
      <xdr:nvSpPr>
        <xdr:cNvPr id="36479" name="84">
          <a:extLst>
            <a:ext uri="{FF2B5EF4-FFF2-40B4-BE49-F238E27FC236}">
              <a16:creationId xmlns:a16="http://schemas.microsoft.com/office/drawing/2014/main" id="{97A23A4B-9664-498D-906D-8FE71FE980CB}"/>
            </a:ext>
          </a:extLst>
        </xdr:cNvPr>
        <xdr:cNvSpPr/>
      </xdr:nvSpPr>
      <xdr:spPr>
        <a:xfrm>
          <a:off x="16291561" y="19785330"/>
          <a:ext cx="633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xdr:colOff>
      <xdr:row>87</xdr:row>
      <xdr:rowOff>114300</xdr:rowOff>
    </xdr:from>
    <xdr:to>
      <xdr:col>44</xdr:col>
      <xdr:colOff>1</xdr:colOff>
      <xdr:row>87</xdr:row>
      <xdr:rowOff>114300</xdr:rowOff>
    </xdr:to>
    <xdr:cxnSp macro="">
      <xdr:nvCxnSpPr>
        <xdr:cNvPr id="36480" name="직선 화살표 연결선 36479">
          <a:extLst>
            <a:ext uri="{FF2B5EF4-FFF2-40B4-BE49-F238E27FC236}">
              <a16:creationId xmlns:a16="http://schemas.microsoft.com/office/drawing/2014/main" id="{C2832DB6-40B3-410A-BB83-1E9708BB8438}"/>
            </a:ext>
          </a:extLst>
        </xdr:cNvPr>
        <xdr:cNvCxnSpPr/>
      </xdr:nvCxnSpPr>
      <xdr:spPr>
        <a:xfrm>
          <a:off x="16291561" y="19842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xdr:colOff>
      <xdr:row>86</xdr:row>
      <xdr:rowOff>57150</xdr:rowOff>
    </xdr:from>
    <xdr:to>
      <xdr:col>44</xdr:col>
      <xdr:colOff>63318</xdr:colOff>
      <xdr:row>86</xdr:row>
      <xdr:rowOff>171450</xdr:rowOff>
    </xdr:to>
    <xdr:sp macro="" textlink="">
      <xdr:nvSpPr>
        <xdr:cNvPr id="36481" name="83">
          <a:extLst>
            <a:ext uri="{FF2B5EF4-FFF2-40B4-BE49-F238E27FC236}">
              <a16:creationId xmlns:a16="http://schemas.microsoft.com/office/drawing/2014/main" id="{314F11CB-32D3-4D8B-9CCF-64426B684920}"/>
            </a:ext>
          </a:extLst>
        </xdr:cNvPr>
        <xdr:cNvSpPr/>
      </xdr:nvSpPr>
      <xdr:spPr>
        <a:xfrm>
          <a:off x="16291561" y="19556730"/>
          <a:ext cx="633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xdr:colOff>
      <xdr:row>86</xdr:row>
      <xdr:rowOff>114300</xdr:rowOff>
    </xdr:from>
    <xdr:to>
      <xdr:col>44</xdr:col>
      <xdr:colOff>1</xdr:colOff>
      <xdr:row>86</xdr:row>
      <xdr:rowOff>114300</xdr:rowOff>
    </xdr:to>
    <xdr:cxnSp macro="">
      <xdr:nvCxnSpPr>
        <xdr:cNvPr id="36482" name="직선 화살표 연결선 36481">
          <a:extLst>
            <a:ext uri="{FF2B5EF4-FFF2-40B4-BE49-F238E27FC236}">
              <a16:creationId xmlns:a16="http://schemas.microsoft.com/office/drawing/2014/main" id="{CE5915AA-556C-4A86-A43D-64E2E6A421F5}"/>
            </a:ext>
          </a:extLst>
        </xdr:cNvPr>
        <xdr:cNvCxnSpPr/>
      </xdr:nvCxnSpPr>
      <xdr:spPr>
        <a:xfrm>
          <a:off x="16291561" y="19613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85</xdr:row>
      <xdr:rowOff>57150</xdr:rowOff>
    </xdr:from>
    <xdr:to>
      <xdr:col>47</xdr:col>
      <xdr:colOff>104684</xdr:colOff>
      <xdr:row>85</xdr:row>
      <xdr:rowOff>171450</xdr:rowOff>
    </xdr:to>
    <xdr:sp macro="" textlink="">
      <xdr:nvSpPr>
        <xdr:cNvPr id="36483" name="82">
          <a:extLst>
            <a:ext uri="{FF2B5EF4-FFF2-40B4-BE49-F238E27FC236}">
              <a16:creationId xmlns:a16="http://schemas.microsoft.com/office/drawing/2014/main" id="{767F7BB8-AF6B-4ECF-B00D-6EB3291EC29C}"/>
            </a:ext>
          </a:extLst>
        </xdr:cNvPr>
        <xdr:cNvSpPr/>
      </xdr:nvSpPr>
      <xdr:spPr>
        <a:xfrm>
          <a:off x="16725900" y="193281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85</xdr:row>
      <xdr:rowOff>114300</xdr:rowOff>
    </xdr:from>
    <xdr:to>
      <xdr:col>47</xdr:col>
      <xdr:colOff>0</xdr:colOff>
      <xdr:row>85</xdr:row>
      <xdr:rowOff>114300</xdr:rowOff>
    </xdr:to>
    <xdr:cxnSp macro="">
      <xdr:nvCxnSpPr>
        <xdr:cNvPr id="36484" name="직선 화살표 연결선 36483">
          <a:extLst>
            <a:ext uri="{FF2B5EF4-FFF2-40B4-BE49-F238E27FC236}">
              <a16:creationId xmlns:a16="http://schemas.microsoft.com/office/drawing/2014/main" id="{A5D8C635-AFE5-4B0C-934D-905918B95A2E}"/>
            </a:ext>
          </a:extLst>
        </xdr:cNvPr>
        <xdr:cNvCxnSpPr/>
      </xdr:nvCxnSpPr>
      <xdr:spPr>
        <a:xfrm>
          <a:off x="16725900" y="19385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84</xdr:row>
      <xdr:rowOff>57150</xdr:rowOff>
    </xdr:from>
    <xdr:to>
      <xdr:col>47</xdr:col>
      <xdr:colOff>104684</xdr:colOff>
      <xdr:row>84</xdr:row>
      <xdr:rowOff>171450</xdr:rowOff>
    </xdr:to>
    <xdr:sp macro="" textlink="">
      <xdr:nvSpPr>
        <xdr:cNvPr id="36485" name="81">
          <a:extLst>
            <a:ext uri="{FF2B5EF4-FFF2-40B4-BE49-F238E27FC236}">
              <a16:creationId xmlns:a16="http://schemas.microsoft.com/office/drawing/2014/main" id="{72A5DC0C-389F-41A9-A7BE-F6584935A9EB}"/>
            </a:ext>
          </a:extLst>
        </xdr:cNvPr>
        <xdr:cNvSpPr/>
      </xdr:nvSpPr>
      <xdr:spPr>
        <a:xfrm>
          <a:off x="16725900" y="190995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84</xdr:row>
      <xdr:rowOff>114300</xdr:rowOff>
    </xdr:from>
    <xdr:to>
      <xdr:col>47</xdr:col>
      <xdr:colOff>0</xdr:colOff>
      <xdr:row>84</xdr:row>
      <xdr:rowOff>114300</xdr:rowOff>
    </xdr:to>
    <xdr:cxnSp macro="">
      <xdr:nvCxnSpPr>
        <xdr:cNvPr id="36486" name="직선 화살표 연결선 36485">
          <a:extLst>
            <a:ext uri="{FF2B5EF4-FFF2-40B4-BE49-F238E27FC236}">
              <a16:creationId xmlns:a16="http://schemas.microsoft.com/office/drawing/2014/main" id="{8F47B5B9-A5BE-4889-B92A-E6CEB7D3C768}"/>
            </a:ext>
          </a:extLst>
        </xdr:cNvPr>
        <xdr:cNvCxnSpPr/>
      </xdr:nvCxnSpPr>
      <xdr:spPr>
        <a:xfrm>
          <a:off x="16725900" y="19156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83</xdr:row>
      <xdr:rowOff>57150</xdr:rowOff>
    </xdr:from>
    <xdr:to>
      <xdr:col>47</xdr:col>
      <xdr:colOff>104684</xdr:colOff>
      <xdr:row>83</xdr:row>
      <xdr:rowOff>171450</xdr:rowOff>
    </xdr:to>
    <xdr:sp macro="" textlink="">
      <xdr:nvSpPr>
        <xdr:cNvPr id="36487" name="80">
          <a:extLst>
            <a:ext uri="{FF2B5EF4-FFF2-40B4-BE49-F238E27FC236}">
              <a16:creationId xmlns:a16="http://schemas.microsoft.com/office/drawing/2014/main" id="{3426360B-DEC0-40B7-976A-C8D3B235CAC8}"/>
            </a:ext>
          </a:extLst>
        </xdr:cNvPr>
        <xdr:cNvSpPr/>
      </xdr:nvSpPr>
      <xdr:spPr>
        <a:xfrm>
          <a:off x="16725900" y="188709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83</xdr:row>
      <xdr:rowOff>114300</xdr:rowOff>
    </xdr:from>
    <xdr:to>
      <xdr:col>47</xdr:col>
      <xdr:colOff>0</xdr:colOff>
      <xdr:row>83</xdr:row>
      <xdr:rowOff>114300</xdr:rowOff>
    </xdr:to>
    <xdr:cxnSp macro="">
      <xdr:nvCxnSpPr>
        <xdr:cNvPr id="36488" name="직선 화살표 연결선 36487">
          <a:extLst>
            <a:ext uri="{FF2B5EF4-FFF2-40B4-BE49-F238E27FC236}">
              <a16:creationId xmlns:a16="http://schemas.microsoft.com/office/drawing/2014/main" id="{EFEEB9B7-154A-421C-A5F5-F297DE791BB9}"/>
            </a:ext>
          </a:extLst>
        </xdr:cNvPr>
        <xdr:cNvCxnSpPr/>
      </xdr:nvCxnSpPr>
      <xdr:spPr>
        <a:xfrm>
          <a:off x="16725900" y="18928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41366</xdr:colOff>
      <xdr:row>82</xdr:row>
      <xdr:rowOff>57150</xdr:rowOff>
    </xdr:from>
    <xdr:to>
      <xdr:col>46</xdr:col>
      <xdr:colOff>63318</xdr:colOff>
      <xdr:row>82</xdr:row>
      <xdr:rowOff>171450</xdr:rowOff>
    </xdr:to>
    <xdr:sp macro="" textlink="">
      <xdr:nvSpPr>
        <xdr:cNvPr id="36489" name="79">
          <a:extLst>
            <a:ext uri="{FF2B5EF4-FFF2-40B4-BE49-F238E27FC236}">
              <a16:creationId xmlns:a16="http://schemas.microsoft.com/office/drawing/2014/main" id="{27B39732-A09C-4FFC-96B7-7A2B7E3F4ABB}"/>
            </a:ext>
          </a:extLst>
        </xdr:cNvPr>
        <xdr:cNvSpPr/>
      </xdr:nvSpPr>
      <xdr:spPr>
        <a:xfrm>
          <a:off x="16622486" y="18642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41366</xdr:colOff>
      <xdr:row>82</xdr:row>
      <xdr:rowOff>114300</xdr:rowOff>
    </xdr:from>
    <xdr:to>
      <xdr:col>46</xdr:col>
      <xdr:colOff>41366</xdr:colOff>
      <xdr:row>82</xdr:row>
      <xdr:rowOff>114300</xdr:rowOff>
    </xdr:to>
    <xdr:cxnSp macro="">
      <xdr:nvCxnSpPr>
        <xdr:cNvPr id="36490" name="직선 화살표 연결선 36489">
          <a:extLst>
            <a:ext uri="{FF2B5EF4-FFF2-40B4-BE49-F238E27FC236}">
              <a16:creationId xmlns:a16="http://schemas.microsoft.com/office/drawing/2014/main" id="{C8DEE1C4-DD8C-4FA3-AF6A-7809EA2BE592}"/>
            </a:ext>
          </a:extLst>
        </xdr:cNvPr>
        <xdr:cNvCxnSpPr/>
      </xdr:nvCxnSpPr>
      <xdr:spPr>
        <a:xfrm>
          <a:off x="16622486" y="18699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41366</xdr:colOff>
      <xdr:row>81</xdr:row>
      <xdr:rowOff>57150</xdr:rowOff>
    </xdr:from>
    <xdr:to>
      <xdr:col>45</xdr:col>
      <xdr:colOff>63318</xdr:colOff>
      <xdr:row>81</xdr:row>
      <xdr:rowOff>171450</xdr:rowOff>
    </xdr:to>
    <xdr:sp macro="" textlink="">
      <xdr:nvSpPr>
        <xdr:cNvPr id="36491" name="78">
          <a:extLst>
            <a:ext uri="{FF2B5EF4-FFF2-40B4-BE49-F238E27FC236}">
              <a16:creationId xmlns:a16="http://schemas.microsoft.com/office/drawing/2014/main" id="{CF89D207-14D3-4E9D-A925-43BC8DD61D71}"/>
            </a:ext>
          </a:extLst>
        </xdr:cNvPr>
        <xdr:cNvSpPr/>
      </xdr:nvSpPr>
      <xdr:spPr>
        <a:xfrm>
          <a:off x="16477706" y="18413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41366</xdr:colOff>
      <xdr:row>81</xdr:row>
      <xdr:rowOff>114300</xdr:rowOff>
    </xdr:from>
    <xdr:to>
      <xdr:col>45</xdr:col>
      <xdr:colOff>41366</xdr:colOff>
      <xdr:row>81</xdr:row>
      <xdr:rowOff>114300</xdr:rowOff>
    </xdr:to>
    <xdr:cxnSp macro="">
      <xdr:nvCxnSpPr>
        <xdr:cNvPr id="36492" name="직선 화살표 연결선 36491">
          <a:extLst>
            <a:ext uri="{FF2B5EF4-FFF2-40B4-BE49-F238E27FC236}">
              <a16:creationId xmlns:a16="http://schemas.microsoft.com/office/drawing/2014/main" id="{33AFCB1E-483B-4E2E-BD8A-03D4DC6B415D}"/>
            </a:ext>
          </a:extLst>
        </xdr:cNvPr>
        <xdr:cNvCxnSpPr/>
      </xdr:nvCxnSpPr>
      <xdr:spPr>
        <a:xfrm>
          <a:off x="16477706" y="18470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80</xdr:row>
      <xdr:rowOff>57150</xdr:rowOff>
    </xdr:from>
    <xdr:to>
      <xdr:col>44</xdr:col>
      <xdr:colOff>63318</xdr:colOff>
      <xdr:row>80</xdr:row>
      <xdr:rowOff>171450</xdr:rowOff>
    </xdr:to>
    <xdr:sp macro="" textlink="">
      <xdr:nvSpPr>
        <xdr:cNvPr id="36493" name="77">
          <a:extLst>
            <a:ext uri="{FF2B5EF4-FFF2-40B4-BE49-F238E27FC236}">
              <a16:creationId xmlns:a16="http://schemas.microsoft.com/office/drawing/2014/main" id="{B15B3E0E-F1E1-4DF1-8B6E-724E1B748C7F}"/>
            </a:ext>
          </a:extLst>
        </xdr:cNvPr>
        <xdr:cNvSpPr/>
      </xdr:nvSpPr>
      <xdr:spPr>
        <a:xfrm>
          <a:off x="16332926" y="181851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80</xdr:row>
      <xdr:rowOff>114300</xdr:rowOff>
    </xdr:from>
    <xdr:to>
      <xdr:col>44</xdr:col>
      <xdr:colOff>41366</xdr:colOff>
      <xdr:row>80</xdr:row>
      <xdr:rowOff>114300</xdr:rowOff>
    </xdr:to>
    <xdr:cxnSp macro="">
      <xdr:nvCxnSpPr>
        <xdr:cNvPr id="36494" name="직선 화살표 연결선 36493">
          <a:extLst>
            <a:ext uri="{FF2B5EF4-FFF2-40B4-BE49-F238E27FC236}">
              <a16:creationId xmlns:a16="http://schemas.microsoft.com/office/drawing/2014/main" id="{81A4862A-D6E8-4097-BBAB-5BDAEC0B1BEA}"/>
            </a:ext>
          </a:extLst>
        </xdr:cNvPr>
        <xdr:cNvCxnSpPr/>
      </xdr:nvCxnSpPr>
      <xdr:spPr>
        <a:xfrm>
          <a:off x="16332926" y="18242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41365</xdr:colOff>
      <xdr:row>79</xdr:row>
      <xdr:rowOff>57150</xdr:rowOff>
    </xdr:from>
    <xdr:to>
      <xdr:col>43</xdr:col>
      <xdr:colOff>63319</xdr:colOff>
      <xdr:row>79</xdr:row>
      <xdr:rowOff>171450</xdr:rowOff>
    </xdr:to>
    <xdr:sp macro="" textlink="">
      <xdr:nvSpPr>
        <xdr:cNvPr id="36495" name="76">
          <a:extLst>
            <a:ext uri="{FF2B5EF4-FFF2-40B4-BE49-F238E27FC236}">
              <a16:creationId xmlns:a16="http://schemas.microsoft.com/office/drawing/2014/main" id="{5F1B2C53-39C4-4460-94EA-F0C93B9723F2}"/>
            </a:ext>
          </a:extLst>
        </xdr:cNvPr>
        <xdr:cNvSpPr/>
      </xdr:nvSpPr>
      <xdr:spPr>
        <a:xfrm>
          <a:off x="16188145" y="179565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41365</xdr:colOff>
      <xdr:row>79</xdr:row>
      <xdr:rowOff>114300</xdr:rowOff>
    </xdr:from>
    <xdr:to>
      <xdr:col>43</xdr:col>
      <xdr:colOff>41365</xdr:colOff>
      <xdr:row>79</xdr:row>
      <xdr:rowOff>114300</xdr:rowOff>
    </xdr:to>
    <xdr:cxnSp macro="">
      <xdr:nvCxnSpPr>
        <xdr:cNvPr id="36496" name="직선 화살표 연결선 36495">
          <a:extLst>
            <a:ext uri="{FF2B5EF4-FFF2-40B4-BE49-F238E27FC236}">
              <a16:creationId xmlns:a16="http://schemas.microsoft.com/office/drawing/2014/main" id="{9AD17152-C9E9-4BED-B7ED-90A4FA032FF4}"/>
            </a:ext>
          </a:extLst>
        </xdr:cNvPr>
        <xdr:cNvCxnSpPr/>
      </xdr:nvCxnSpPr>
      <xdr:spPr>
        <a:xfrm>
          <a:off x="16188145" y="18013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41366</xdr:colOff>
      <xdr:row>78</xdr:row>
      <xdr:rowOff>57150</xdr:rowOff>
    </xdr:from>
    <xdr:to>
      <xdr:col>42</xdr:col>
      <xdr:colOff>63319</xdr:colOff>
      <xdr:row>78</xdr:row>
      <xdr:rowOff>171450</xdr:rowOff>
    </xdr:to>
    <xdr:sp macro="" textlink="">
      <xdr:nvSpPr>
        <xdr:cNvPr id="36497" name="75">
          <a:extLst>
            <a:ext uri="{FF2B5EF4-FFF2-40B4-BE49-F238E27FC236}">
              <a16:creationId xmlns:a16="http://schemas.microsoft.com/office/drawing/2014/main" id="{6D868C3E-0FD2-4DD7-B808-9DDBFC6128B2}"/>
            </a:ext>
          </a:extLst>
        </xdr:cNvPr>
        <xdr:cNvSpPr/>
      </xdr:nvSpPr>
      <xdr:spPr>
        <a:xfrm>
          <a:off x="16043366" y="177279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41366</xdr:colOff>
      <xdr:row>78</xdr:row>
      <xdr:rowOff>114300</xdr:rowOff>
    </xdr:from>
    <xdr:to>
      <xdr:col>42</xdr:col>
      <xdr:colOff>41366</xdr:colOff>
      <xdr:row>78</xdr:row>
      <xdr:rowOff>114300</xdr:rowOff>
    </xdr:to>
    <xdr:cxnSp macro="">
      <xdr:nvCxnSpPr>
        <xdr:cNvPr id="36498" name="직선 화살표 연결선 36497">
          <a:extLst>
            <a:ext uri="{FF2B5EF4-FFF2-40B4-BE49-F238E27FC236}">
              <a16:creationId xmlns:a16="http://schemas.microsoft.com/office/drawing/2014/main" id="{078F355F-5474-4889-9A71-F9DC49FE5CD7}"/>
            </a:ext>
          </a:extLst>
        </xdr:cNvPr>
        <xdr:cNvCxnSpPr/>
      </xdr:nvCxnSpPr>
      <xdr:spPr>
        <a:xfrm>
          <a:off x="16043366" y="17785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41366</xdr:colOff>
      <xdr:row>77</xdr:row>
      <xdr:rowOff>57150</xdr:rowOff>
    </xdr:from>
    <xdr:to>
      <xdr:col>41</xdr:col>
      <xdr:colOff>63318</xdr:colOff>
      <xdr:row>77</xdr:row>
      <xdr:rowOff>171450</xdr:rowOff>
    </xdr:to>
    <xdr:sp macro="" textlink="">
      <xdr:nvSpPr>
        <xdr:cNvPr id="36499" name="74">
          <a:extLst>
            <a:ext uri="{FF2B5EF4-FFF2-40B4-BE49-F238E27FC236}">
              <a16:creationId xmlns:a16="http://schemas.microsoft.com/office/drawing/2014/main" id="{B933E9B0-C45A-48F1-89CE-8230F49CC3ED}"/>
            </a:ext>
          </a:extLst>
        </xdr:cNvPr>
        <xdr:cNvSpPr/>
      </xdr:nvSpPr>
      <xdr:spPr>
        <a:xfrm>
          <a:off x="15898586" y="17499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41366</xdr:colOff>
      <xdr:row>77</xdr:row>
      <xdr:rowOff>114300</xdr:rowOff>
    </xdr:from>
    <xdr:to>
      <xdr:col>41</xdr:col>
      <xdr:colOff>41366</xdr:colOff>
      <xdr:row>77</xdr:row>
      <xdr:rowOff>114300</xdr:rowOff>
    </xdr:to>
    <xdr:cxnSp macro="">
      <xdr:nvCxnSpPr>
        <xdr:cNvPr id="36500" name="직선 화살표 연결선 36499">
          <a:extLst>
            <a:ext uri="{FF2B5EF4-FFF2-40B4-BE49-F238E27FC236}">
              <a16:creationId xmlns:a16="http://schemas.microsoft.com/office/drawing/2014/main" id="{41936CF1-C8F3-4892-85FD-A7D7D901508D}"/>
            </a:ext>
          </a:extLst>
        </xdr:cNvPr>
        <xdr:cNvCxnSpPr/>
      </xdr:nvCxnSpPr>
      <xdr:spPr>
        <a:xfrm>
          <a:off x="15898586" y="17556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76</xdr:row>
      <xdr:rowOff>57150</xdr:rowOff>
    </xdr:from>
    <xdr:to>
      <xdr:col>40</xdr:col>
      <xdr:colOff>63318</xdr:colOff>
      <xdr:row>76</xdr:row>
      <xdr:rowOff>171450</xdr:rowOff>
    </xdr:to>
    <xdr:sp macro="" textlink="">
      <xdr:nvSpPr>
        <xdr:cNvPr id="36501" name="73">
          <a:extLst>
            <a:ext uri="{FF2B5EF4-FFF2-40B4-BE49-F238E27FC236}">
              <a16:creationId xmlns:a16="http://schemas.microsoft.com/office/drawing/2014/main" id="{2C556C6C-7FD5-4AD5-8253-113133B6DD87}"/>
            </a:ext>
          </a:extLst>
        </xdr:cNvPr>
        <xdr:cNvSpPr/>
      </xdr:nvSpPr>
      <xdr:spPr>
        <a:xfrm>
          <a:off x="15753806" y="17270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76</xdr:row>
      <xdr:rowOff>114300</xdr:rowOff>
    </xdr:from>
    <xdr:to>
      <xdr:col>40</xdr:col>
      <xdr:colOff>41366</xdr:colOff>
      <xdr:row>76</xdr:row>
      <xdr:rowOff>114300</xdr:rowOff>
    </xdr:to>
    <xdr:cxnSp macro="">
      <xdr:nvCxnSpPr>
        <xdr:cNvPr id="36502" name="직선 화살표 연결선 36501">
          <a:extLst>
            <a:ext uri="{FF2B5EF4-FFF2-40B4-BE49-F238E27FC236}">
              <a16:creationId xmlns:a16="http://schemas.microsoft.com/office/drawing/2014/main" id="{FABD7B0C-666A-43DD-A5D3-DC8FACC0037F}"/>
            </a:ext>
          </a:extLst>
        </xdr:cNvPr>
        <xdr:cNvCxnSpPr/>
      </xdr:nvCxnSpPr>
      <xdr:spPr>
        <a:xfrm>
          <a:off x="15753806" y="17327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75</xdr:row>
      <xdr:rowOff>57150</xdr:rowOff>
    </xdr:from>
    <xdr:to>
      <xdr:col>39</xdr:col>
      <xdr:colOff>63318</xdr:colOff>
      <xdr:row>75</xdr:row>
      <xdr:rowOff>171450</xdr:rowOff>
    </xdr:to>
    <xdr:sp macro="" textlink="">
      <xdr:nvSpPr>
        <xdr:cNvPr id="36503" name="72">
          <a:extLst>
            <a:ext uri="{FF2B5EF4-FFF2-40B4-BE49-F238E27FC236}">
              <a16:creationId xmlns:a16="http://schemas.microsoft.com/office/drawing/2014/main" id="{4873A8A5-14E0-4BFA-A574-02BCF75FC11D}"/>
            </a:ext>
          </a:extLst>
        </xdr:cNvPr>
        <xdr:cNvSpPr/>
      </xdr:nvSpPr>
      <xdr:spPr>
        <a:xfrm>
          <a:off x="15609026" y="170421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75</xdr:row>
      <xdr:rowOff>114300</xdr:rowOff>
    </xdr:from>
    <xdr:to>
      <xdr:col>39</xdr:col>
      <xdr:colOff>41366</xdr:colOff>
      <xdr:row>75</xdr:row>
      <xdr:rowOff>114300</xdr:rowOff>
    </xdr:to>
    <xdr:cxnSp macro="">
      <xdr:nvCxnSpPr>
        <xdr:cNvPr id="36504" name="직선 화살표 연결선 36503">
          <a:extLst>
            <a:ext uri="{FF2B5EF4-FFF2-40B4-BE49-F238E27FC236}">
              <a16:creationId xmlns:a16="http://schemas.microsoft.com/office/drawing/2014/main" id="{B466146B-E32A-4DE9-80EA-1B294F8DA08E}"/>
            </a:ext>
          </a:extLst>
        </xdr:cNvPr>
        <xdr:cNvCxnSpPr/>
      </xdr:nvCxnSpPr>
      <xdr:spPr>
        <a:xfrm>
          <a:off x="15609026" y="17099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74</xdr:row>
      <xdr:rowOff>57150</xdr:rowOff>
    </xdr:from>
    <xdr:to>
      <xdr:col>46</xdr:col>
      <xdr:colOff>63318</xdr:colOff>
      <xdr:row>74</xdr:row>
      <xdr:rowOff>171450</xdr:rowOff>
    </xdr:to>
    <xdr:sp macro="" textlink="">
      <xdr:nvSpPr>
        <xdr:cNvPr id="36505" name="71">
          <a:extLst>
            <a:ext uri="{FF2B5EF4-FFF2-40B4-BE49-F238E27FC236}">
              <a16:creationId xmlns:a16="http://schemas.microsoft.com/office/drawing/2014/main" id="{8ECD58DB-693C-49A0-A491-1AE0155904AE}"/>
            </a:ext>
          </a:extLst>
        </xdr:cNvPr>
        <xdr:cNvSpPr/>
      </xdr:nvSpPr>
      <xdr:spPr>
        <a:xfrm>
          <a:off x="15609026" y="16813530"/>
          <a:ext cx="1035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74</xdr:row>
      <xdr:rowOff>114300</xdr:rowOff>
    </xdr:from>
    <xdr:to>
      <xdr:col>39</xdr:col>
      <xdr:colOff>41366</xdr:colOff>
      <xdr:row>74</xdr:row>
      <xdr:rowOff>114300</xdr:rowOff>
    </xdr:to>
    <xdr:cxnSp macro="">
      <xdr:nvCxnSpPr>
        <xdr:cNvPr id="36506" name="직선 화살표 연결선 36505">
          <a:extLst>
            <a:ext uri="{FF2B5EF4-FFF2-40B4-BE49-F238E27FC236}">
              <a16:creationId xmlns:a16="http://schemas.microsoft.com/office/drawing/2014/main" id="{220B22C7-3A4E-4BD2-BB73-971580046A3F}"/>
            </a:ext>
          </a:extLst>
        </xdr:cNvPr>
        <xdr:cNvCxnSpPr/>
      </xdr:nvCxnSpPr>
      <xdr:spPr>
        <a:xfrm>
          <a:off x="15609026" y="16870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73</xdr:row>
      <xdr:rowOff>57150</xdr:rowOff>
    </xdr:from>
    <xdr:to>
      <xdr:col>47</xdr:col>
      <xdr:colOff>104684</xdr:colOff>
      <xdr:row>73</xdr:row>
      <xdr:rowOff>171450</xdr:rowOff>
    </xdr:to>
    <xdr:sp macro="" textlink="">
      <xdr:nvSpPr>
        <xdr:cNvPr id="36507" name="70">
          <a:extLst>
            <a:ext uri="{FF2B5EF4-FFF2-40B4-BE49-F238E27FC236}">
              <a16:creationId xmlns:a16="http://schemas.microsoft.com/office/drawing/2014/main" id="{4642C375-BC41-4F07-A1CB-425A5A635CEC}"/>
            </a:ext>
          </a:extLst>
        </xdr:cNvPr>
        <xdr:cNvSpPr/>
      </xdr:nvSpPr>
      <xdr:spPr>
        <a:xfrm>
          <a:off x="15609026" y="16584930"/>
          <a:ext cx="12215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73</xdr:row>
      <xdr:rowOff>114300</xdr:rowOff>
    </xdr:from>
    <xdr:to>
      <xdr:col>39</xdr:col>
      <xdr:colOff>41366</xdr:colOff>
      <xdr:row>73</xdr:row>
      <xdr:rowOff>114300</xdr:rowOff>
    </xdr:to>
    <xdr:cxnSp macro="">
      <xdr:nvCxnSpPr>
        <xdr:cNvPr id="36508" name="직선 화살표 연결선 36507">
          <a:extLst>
            <a:ext uri="{FF2B5EF4-FFF2-40B4-BE49-F238E27FC236}">
              <a16:creationId xmlns:a16="http://schemas.microsoft.com/office/drawing/2014/main" id="{5D638799-7ACF-46E4-A649-3F5DA04E7F09}"/>
            </a:ext>
          </a:extLst>
        </xdr:cNvPr>
        <xdr:cNvCxnSpPr/>
      </xdr:nvCxnSpPr>
      <xdr:spPr>
        <a:xfrm>
          <a:off x="15609026" y="16642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72</xdr:row>
      <xdr:rowOff>57150</xdr:rowOff>
    </xdr:from>
    <xdr:to>
      <xdr:col>95</xdr:col>
      <xdr:colOff>84000</xdr:colOff>
      <xdr:row>72</xdr:row>
      <xdr:rowOff>171450</xdr:rowOff>
    </xdr:to>
    <xdr:sp macro="" textlink="">
      <xdr:nvSpPr>
        <xdr:cNvPr id="36509" name="69">
          <a:extLst>
            <a:ext uri="{FF2B5EF4-FFF2-40B4-BE49-F238E27FC236}">
              <a16:creationId xmlns:a16="http://schemas.microsoft.com/office/drawing/2014/main" id="{2F0C99DD-2BE8-456C-B555-56B93AF08F37}"/>
            </a:ext>
          </a:extLst>
        </xdr:cNvPr>
        <xdr:cNvSpPr/>
      </xdr:nvSpPr>
      <xdr:spPr>
        <a:xfrm>
          <a:off x="15609026" y="16356330"/>
          <a:ext cx="81503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72</xdr:row>
      <xdr:rowOff>114300</xdr:rowOff>
    </xdr:from>
    <xdr:to>
      <xdr:col>39</xdr:col>
      <xdr:colOff>41366</xdr:colOff>
      <xdr:row>72</xdr:row>
      <xdr:rowOff>114300</xdr:rowOff>
    </xdr:to>
    <xdr:cxnSp macro="">
      <xdr:nvCxnSpPr>
        <xdr:cNvPr id="36510" name="직선 화살표 연결선 36509">
          <a:extLst>
            <a:ext uri="{FF2B5EF4-FFF2-40B4-BE49-F238E27FC236}">
              <a16:creationId xmlns:a16="http://schemas.microsoft.com/office/drawing/2014/main" id="{0C7A4387-3EB4-45C7-AEF2-E18D6BCBC39F}"/>
            </a:ext>
          </a:extLst>
        </xdr:cNvPr>
        <xdr:cNvCxnSpPr/>
      </xdr:nvCxnSpPr>
      <xdr:spPr>
        <a:xfrm>
          <a:off x="15609026" y="16413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41366</xdr:colOff>
      <xdr:row>71</xdr:row>
      <xdr:rowOff>57150</xdr:rowOff>
    </xdr:from>
    <xdr:to>
      <xdr:col>45</xdr:col>
      <xdr:colOff>63318</xdr:colOff>
      <xdr:row>71</xdr:row>
      <xdr:rowOff>171450</xdr:rowOff>
    </xdr:to>
    <xdr:sp macro="" textlink="">
      <xdr:nvSpPr>
        <xdr:cNvPr id="36511" name="68">
          <a:extLst>
            <a:ext uri="{FF2B5EF4-FFF2-40B4-BE49-F238E27FC236}">
              <a16:creationId xmlns:a16="http://schemas.microsoft.com/office/drawing/2014/main" id="{59B0B341-2FD0-4D7E-A9E2-286935112D22}"/>
            </a:ext>
          </a:extLst>
        </xdr:cNvPr>
        <xdr:cNvSpPr/>
      </xdr:nvSpPr>
      <xdr:spPr>
        <a:xfrm>
          <a:off x="16477706" y="16127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41366</xdr:colOff>
      <xdr:row>71</xdr:row>
      <xdr:rowOff>114300</xdr:rowOff>
    </xdr:from>
    <xdr:to>
      <xdr:col>45</xdr:col>
      <xdr:colOff>41366</xdr:colOff>
      <xdr:row>71</xdr:row>
      <xdr:rowOff>114300</xdr:rowOff>
    </xdr:to>
    <xdr:cxnSp macro="">
      <xdr:nvCxnSpPr>
        <xdr:cNvPr id="36512" name="직선 화살표 연결선 36511">
          <a:extLst>
            <a:ext uri="{FF2B5EF4-FFF2-40B4-BE49-F238E27FC236}">
              <a16:creationId xmlns:a16="http://schemas.microsoft.com/office/drawing/2014/main" id="{3D9E2B3C-D027-410E-B79A-FDE59B032C40}"/>
            </a:ext>
          </a:extLst>
        </xdr:cNvPr>
        <xdr:cNvCxnSpPr/>
      </xdr:nvCxnSpPr>
      <xdr:spPr>
        <a:xfrm>
          <a:off x="16477706" y="16184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70</xdr:row>
      <xdr:rowOff>57150</xdr:rowOff>
    </xdr:from>
    <xdr:to>
      <xdr:col>44</xdr:col>
      <xdr:colOff>63318</xdr:colOff>
      <xdr:row>70</xdr:row>
      <xdr:rowOff>171450</xdr:rowOff>
    </xdr:to>
    <xdr:sp macro="" textlink="">
      <xdr:nvSpPr>
        <xdr:cNvPr id="36513" name="67">
          <a:extLst>
            <a:ext uri="{FF2B5EF4-FFF2-40B4-BE49-F238E27FC236}">
              <a16:creationId xmlns:a16="http://schemas.microsoft.com/office/drawing/2014/main" id="{B65134B0-B9A4-4687-A631-C4F1FF5F26D5}"/>
            </a:ext>
          </a:extLst>
        </xdr:cNvPr>
        <xdr:cNvSpPr/>
      </xdr:nvSpPr>
      <xdr:spPr>
        <a:xfrm>
          <a:off x="16332926" y="158991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70</xdr:row>
      <xdr:rowOff>114300</xdr:rowOff>
    </xdr:from>
    <xdr:to>
      <xdr:col>44</xdr:col>
      <xdr:colOff>41366</xdr:colOff>
      <xdr:row>70</xdr:row>
      <xdr:rowOff>114300</xdr:rowOff>
    </xdr:to>
    <xdr:cxnSp macro="">
      <xdr:nvCxnSpPr>
        <xdr:cNvPr id="36514" name="직선 화살표 연결선 36513">
          <a:extLst>
            <a:ext uri="{FF2B5EF4-FFF2-40B4-BE49-F238E27FC236}">
              <a16:creationId xmlns:a16="http://schemas.microsoft.com/office/drawing/2014/main" id="{DC255752-9D4E-433F-9CC9-8DF30E31573B}"/>
            </a:ext>
          </a:extLst>
        </xdr:cNvPr>
        <xdr:cNvCxnSpPr/>
      </xdr:nvCxnSpPr>
      <xdr:spPr>
        <a:xfrm>
          <a:off x="16332926" y="15956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41365</xdr:colOff>
      <xdr:row>69</xdr:row>
      <xdr:rowOff>57150</xdr:rowOff>
    </xdr:from>
    <xdr:to>
      <xdr:col>43</xdr:col>
      <xdr:colOff>63319</xdr:colOff>
      <xdr:row>69</xdr:row>
      <xdr:rowOff>171450</xdr:rowOff>
    </xdr:to>
    <xdr:sp macro="" textlink="">
      <xdr:nvSpPr>
        <xdr:cNvPr id="36515" name="66">
          <a:extLst>
            <a:ext uri="{FF2B5EF4-FFF2-40B4-BE49-F238E27FC236}">
              <a16:creationId xmlns:a16="http://schemas.microsoft.com/office/drawing/2014/main" id="{F91976FA-29B0-4A7B-8639-EB407D266578}"/>
            </a:ext>
          </a:extLst>
        </xdr:cNvPr>
        <xdr:cNvSpPr/>
      </xdr:nvSpPr>
      <xdr:spPr>
        <a:xfrm>
          <a:off x="16188145" y="156705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41365</xdr:colOff>
      <xdr:row>69</xdr:row>
      <xdr:rowOff>114300</xdr:rowOff>
    </xdr:from>
    <xdr:to>
      <xdr:col>43</xdr:col>
      <xdr:colOff>41365</xdr:colOff>
      <xdr:row>69</xdr:row>
      <xdr:rowOff>114300</xdr:rowOff>
    </xdr:to>
    <xdr:cxnSp macro="">
      <xdr:nvCxnSpPr>
        <xdr:cNvPr id="36516" name="직선 화살표 연결선 36515">
          <a:extLst>
            <a:ext uri="{FF2B5EF4-FFF2-40B4-BE49-F238E27FC236}">
              <a16:creationId xmlns:a16="http://schemas.microsoft.com/office/drawing/2014/main" id="{6FCB25AE-DA5F-4D92-B2CB-C3E31EBA3ACB}"/>
            </a:ext>
          </a:extLst>
        </xdr:cNvPr>
        <xdr:cNvCxnSpPr/>
      </xdr:nvCxnSpPr>
      <xdr:spPr>
        <a:xfrm>
          <a:off x="16188145" y="15727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41366</xdr:colOff>
      <xdr:row>68</xdr:row>
      <xdr:rowOff>57150</xdr:rowOff>
    </xdr:from>
    <xdr:to>
      <xdr:col>42</xdr:col>
      <xdr:colOff>63319</xdr:colOff>
      <xdr:row>68</xdr:row>
      <xdr:rowOff>171450</xdr:rowOff>
    </xdr:to>
    <xdr:sp macro="" textlink="">
      <xdr:nvSpPr>
        <xdr:cNvPr id="36517" name="65">
          <a:extLst>
            <a:ext uri="{FF2B5EF4-FFF2-40B4-BE49-F238E27FC236}">
              <a16:creationId xmlns:a16="http://schemas.microsoft.com/office/drawing/2014/main" id="{F70A7026-DD49-40F1-8B4A-F37CC1B99128}"/>
            </a:ext>
          </a:extLst>
        </xdr:cNvPr>
        <xdr:cNvSpPr/>
      </xdr:nvSpPr>
      <xdr:spPr>
        <a:xfrm>
          <a:off x="16043366" y="154419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41366</xdr:colOff>
      <xdr:row>68</xdr:row>
      <xdr:rowOff>114300</xdr:rowOff>
    </xdr:from>
    <xdr:to>
      <xdr:col>42</xdr:col>
      <xdr:colOff>41366</xdr:colOff>
      <xdr:row>68</xdr:row>
      <xdr:rowOff>114300</xdr:rowOff>
    </xdr:to>
    <xdr:cxnSp macro="">
      <xdr:nvCxnSpPr>
        <xdr:cNvPr id="36518" name="직선 화살표 연결선 36517">
          <a:extLst>
            <a:ext uri="{FF2B5EF4-FFF2-40B4-BE49-F238E27FC236}">
              <a16:creationId xmlns:a16="http://schemas.microsoft.com/office/drawing/2014/main" id="{18472989-AFFF-469D-9962-E2789392EFC0}"/>
            </a:ext>
          </a:extLst>
        </xdr:cNvPr>
        <xdr:cNvCxnSpPr/>
      </xdr:nvCxnSpPr>
      <xdr:spPr>
        <a:xfrm>
          <a:off x="16043366" y="15499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41366</xdr:colOff>
      <xdr:row>67</xdr:row>
      <xdr:rowOff>57150</xdr:rowOff>
    </xdr:from>
    <xdr:to>
      <xdr:col>41</xdr:col>
      <xdr:colOff>63318</xdr:colOff>
      <xdr:row>67</xdr:row>
      <xdr:rowOff>171450</xdr:rowOff>
    </xdr:to>
    <xdr:sp macro="" textlink="">
      <xdr:nvSpPr>
        <xdr:cNvPr id="36519" name="64">
          <a:extLst>
            <a:ext uri="{FF2B5EF4-FFF2-40B4-BE49-F238E27FC236}">
              <a16:creationId xmlns:a16="http://schemas.microsoft.com/office/drawing/2014/main" id="{A63BBA14-D333-4AAF-A837-3ED210D0BC29}"/>
            </a:ext>
          </a:extLst>
        </xdr:cNvPr>
        <xdr:cNvSpPr/>
      </xdr:nvSpPr>
      <xdr:spPr>
        <a:xfrm>
          <a:off x="15898586" y="15213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41366</xdr:colOff>
      <xdr:row>67</xdr:row>
      <xdr:rowOff>114300</xdr:rowOff>
    </xdr:from>
    <xdr:to>
      <xdr:col>41</xdr:col>
      <xdr:colOff>41366</xdr:colOff>
      <xdr:row>67</xdr:row>
      <xdr:rowOff>114300</xdr:rowOff>
    </xdr:to>
    <xdr:cxnSp macro="">
      <xdr:nvCxnSpPr>
        <xdr:cNvPr id="36520" name="직선 화살표 연결선 36519">
          <a:extLst>
            <a:ext uri="{FF2B5EF4-FFF2-40B4-BE49-F238E27FC236}">
              <a16:creationId xmlns:a16="http://schemas.microsoft.com/office/drawing/2014/main" id="{29E02F5A-200B-41D8-ADAD-5440EE71A6FA}"/>
            </a:ext>
          </a:extLst>
        </xdr:cNvPr>
        <xdr:cNvCxnSpPr/>
      </xdr:nvCxnSpPr>
      <xdr:spPr>
        <a:xfrm>
          <a:off x="15898586" y="15270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66</xdr:row>
      <xdr:rowOff>57150</xdr:rowOff>
    </xdr:from>
    <xdr:to>
      <xdr:col>40</xdr:col>
      <xdr:colOff>63318</xdr:colOff>
      <xdr:row>66</xdr:row>
      <xdr:rowOff>171450</xdr:rowOff>
    </xdr:to>
    <xdr:sp macro="" textlink="">
      <xdr:nvSpPr>
        <xdr:cNvPr id="36521" name="63">
          <a:extLst>
            <a:ext uri="{FF2B5EF4-FFF2-40B4-BE49-F238E27FC236}">
              <a16:creationId xmlns:a16="http://schemas.microsoft.com/office/drawing/2014/main" id="{AF363CDE-D8D9-4702-9348-F0EEB27C273E}"/>
            </a:ext>
          </a:extLst>
        </xdr:cNvPr>
        <xdr:cNvSpPr/>
      </xdr:nvSpPr>
      <xdr:spPr>
        <a:xfrm>
          <a:off x="15753806" y="14984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66</xdr:row>
      <xdr:rowOff>114300</xdr:rowOff>
    </xdr:from>
    <xdr:to>
      <xdr:col>40</xdr:col>
      <xdr:colOff>41366</xdr:colOff>
      <xdr:row>66</xdr:row>
      <xdr:rowOff>114300</xdr:rowOff>
    </xdr:to>
    <xdr:cxnSp macro="">
      <xdr:nvCxnSpPr>
        <xdr:cNvPr id="36522" name="직선 화살표 연결선 36521">
          <a:extLst>
            <a:ext uri="{FF2B5EF4-FFF2-40B4-BE49-F238E27FC236}">
              <a16:creationId xmlns:a16="http://schemas.microsoft.com/office/drawing/2014/main" id="{2DCE6C65-AB43-4853-BA22-F1D7B835DBFF}"/>
            </a:ext>
          </a:extLst>
        </xdr:cNvPr>
        <xdr:cNvCxnSpPr/>
      </xdr:nvCxnSpPr>
      <xdr:spPr>
        <a:xfrm>
          <a:off x="15753806" y="15041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65</xdr:row>
      <xdr:rowOff>57150</xdr:rowOff>
    </xdr:from>
    <xdr:to>
      <xdr:col>39</xdr:col>
      <xdr:colOff>63318</xdr:colOff>
      <xdr:row>65</xdr:row>
      <xdr:rowOff>171450</xdr:rowOff>
    </xdr:to>
    <xdr:sp macro="" textlink="">
      <xdr:nvSpPr>
        <xdr:cNvPr id="36523" name="62">
          <a:extLst>
            <a:ext uri="{FF2B5EF4-FFF2-40B4-BE49-F238E27FC236}">
              <a16:creationId xmlns:a16="http://schemas.microsoft.com/office/drawing/2014/main" id="{0A3A8DB7-C5C0-4339-8DEE-ADB918D7BB15}"/>
            </a:ext>
          </a:extLst>
        </xdr:cNvPr>
        <xdr:cNvSpPr/>
      </xdr:nvSpPr>
      <xdr:spPr>
        <a:xfrm>
          <a:off x="15609026" y="147561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65</xdr:row>
      <xdr:rowOff>114300</xdr:rowOff>
    </xdr:from>
    <xdr:to>
      <xdr:col>39</xdr:col>
      <xdr:colOff>41366</xdr:colOff>
      <xdr:row>65</xdr:row>
      <xdr:rowOff>114300</xdr:rowOff>
    </xdr:to>
    <xdr:cxnSp macro="">
      <xdr:nvCxnSpPr>
        <xdr:cNvPr id="36524" name="직선 화살표 연결선 36523">
          <a:extLst>
            <a:ext uri="{FF2B5EF4-FFF2-40B4-BE49-F238E27FC236}">
              <a16:creationId xmlns:a16="http://schemas.microsoft.com/office/drawing/2014/main" id="{7740901F-2431-4680-9A79-56C184BA1881}"/>
            </a:ext>
          </a:extLst>
        </xdr:cNvPr>
        <xdr:cNvCxnSpPr/>
      </xdr:nvCxnSpPr>
      <xdr:spPr>
        <a:xfrm>
          <a:off x="15609026" y="14813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41365</xdr:colOff>
      <xdr:row>64</xdr:row>
      <xdr:rowOff>57150</xdr:rowOff>
    </xdr:from>
    <xdr:to>
      <xdr:col>38</xdr:col>
      <xdr:colOff>63319</xdr:colOff>
      <xdr:row>64</xdr:row>
      <xdr:rowOff>171450</xdr:rowOff>
    </xdr:to>
    <xdr:sp macro="" textlink="">
      <xdr:nvSpPr>
        <xdr:cNvPr id="36525" name="61">
          <a:extLst>
            <a:ext uri="{FF2B5EF4-FFF2-40B4-BE49-F238E27FC236}">
              <a16:creationId xmlns:a16="http://schemas.microsoft.com/office/drawing/2014/main" id="{EDF25FB5-27CA-46E1-BB8D-D07E25F9DE39}"/>
            </a:ext>
          </a:extLst>
        </xdr:cNvPr>
        <xdr:cNvSpPr/>
      </xdr:nvSpPr>
      <xdr:spPr>
        <a:xfrm>
          <a:off x="15464245" y="145275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41365</xdr:colOff>
      <xdr:row>64</xdr:row>
      <xdr:rowOff>114300</xdr:rowOff>
    </xdr:from>
    <xdr:to>
      <xdr:col>38</xdr:col>
      <xdr:colOff>41365</xdr:colOff>
      <xdr:row>64</xdr:row>
      <xdr:rowOff>114300</xdr:rowOff>
    </xdr:to>
    <xdr:cxnSp macro="">
      <xdr:nvCxnSpPr>
        <xdr:cNvPr id="36526" name="직선 화살표 연결선 36525">
          <a:extLst>
            <a:ext uri="{FF2B5EF4-FFF2-40B4-BE49-F238E27FC236}">
              <a16:creationId xmlns:a16="http://schemas.microsoft.com/office/drawing/2014/main" id="{B244B99F-1746-453D-B5F0-5E2BAF72CDBE}"/>
            </a:ext>
          </a:extLst>
        </xdr:cNvPr>
        <xdr:cNvCxnSpPr/>
      </xdr:nvCxnSpPr>
      <xdr:spPr>
        <a:xfrm>
          <a:off x="15464245" y="14584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41365</xdr:colOff>
      <xdr:row>63</xdr:row>
      <xdr:rowOff>57150</xdr:rowOff>
    </xdr:from>
    <xdr:to>
      <xdr:col>45</xdr:col>
      <xdr:colOff>63318</xdr:colOff>
      <xdr:row>63</xdr:row>
      <xdr:rowOff>171450</xdr:rowOff>
    </xdr:to>
    <xdr:sp macro="" textlink="">
      <xdr:nvSpPr>
        <xdr:cNvPr id="36527" name="60">
          <a:extLst>
            <a:ext uri="{FF2B5EF4-FFF2-40B4-BE49-F238E27FC236}">
              <a16:creationId xmlns:a16="http://schemas.microsoft.com/office/drawing/2014/main" id="{F81563E0-DFA1-4EC7-8796-5FE8DCBBD30A}"/>
            </a:ext>
          </a:extLst>
        </xdr:cNvPr>
        <xdr:cNvSpPr/>
      </xdr:nvSpPr>
      <xdr:spPr>
        <a:xfrm>
          <a:off x="15464245" y="14298930"/>
          <a:ext cx="10354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41365</xdr:colOff>
      <xdr:row>63</xdr:row>
      <xdr:rowOff>114300</xdr:rowOff>
    </xdr:from>
    <xdr:to>
      <xdr:col>38</xdr:col>
      <xdr:colOff>41365</xdr:colOff>
      <xdr:row>63</xdr:row>
      <xdr:rowOff>114300</xdr:rowOff>
    </xdr:to>
    <xdr:cxnSp macro="">
      <xdr:nvCxnSpPr>
        <xdr:cNvPr id="36528" name="직선 화살표 연결선 36527">
          <a:extLst>
            <a:ext uri="{FF2B5EF4-FFF2-40B4-BE49-F238E27FC236}">
              <a16:creationId xmlns:a16="http://schemas.microsoft.com/office/drawing/2014/main" id="{E7B07853-0047-4666-9288-5A72070C01F6}"/>
            </a:ext>
          </a:extLst>
        </xdr:cNvPr>
        <xdr:cNvCxnSpPr/>
      </xdr:nvCxnSpPr>
      <xdr:spPr>
        <a:xfrm>
          <a:off x="15464245" y="14356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62</xdr:row>
      <xdr:rowOff>57150</xdr:rowOff>
    </xdr:from>
    <xdr:to>
      <xdr:col>35</xdr:col>
      <xdr:colOff>63318</xdr:colOff>
      <xdr:row>62</xdr:row>
      <xdr:rowOff>171450</xdr:rowOff>
    </xdr:to>
    <xdr:sp macro="" textlink="">
      <xdr:nvSpPr>
        <xdr:cNvPr id="36529" name="59">
          <a:extLst>
            <a:ext uri="{FF2B5EF4-FFF2-40B4-BE49-F238E27FC236}">
              <a16:creationId xmlns:a16="http://schemas.microsoft.com/office/drawing/2014/main" id="{D48533D4-7D2C-4EDC-A916-FC1C9E26A114}"/>
            </a:ext>
          </a:extLst>
        </xdr:cNvPr>
        <xdr:cNvSpPr/>
      </xdr:nvSpPr>
      <xdr:spPr>
        <a:xfrm>
          <a:off x="15029906" y="14070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62</xdr:row>
      <xdr:rowOff>114300</xdr:rowOff>
    </xdr:from>
    <xdr:to>
      <xdr:col>35</xdr:col>
      <xdr:colOff>62048</xdr:colOff>
      <xdr:row>62</xdr:row>
      <xdr:rowOff>114300</xdr:rowOff>
    </xdr:to>
    <xdr:cxnSp macro="">
      <xdr:nvCxnSpPr>
        <xdr:cNvPr id="36530" name="직선 화살표 연결선 36529">
          <a:extLst>
            <a:ext uri="{FF2B5EF4-FFF2-40B4-BE49-F238E27FC236}">
              <a16:creationId xmlns:a16="http://schemas.microsoft.com/office/drawing/2014/main" id="{FD2AA284-1395-47A5-9DFD-37E44CDC6FC5}"/>
            </a:ext>
          </a:extLst>
        </xdr:cNvPr>
        <xdr:cNvCxnSpPr/>
      </xdr:nvCxnSpPr>
      <xdr:spPr>
        <a:xfrm>
          <a:off x="15029906" y="141274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61</xdr:row>
      <xdr:rowOff>57150</xdr:rowOff>
    </xdr:from>
    <xdr:to>
      <xdr:col>95</xdr:col>
      <xdr:colOff>84000</xdr:colOff>
      <xdr:row>61</xdr:row>
      <xdr:rowOff>171450</xdr:rowOff>
    </xdr:to>
    <xdr:sp macro="" textlink="">
      <xdr:nvSpPr>
        <xdr:cNvPr id="36531" name="58">
          <a:extLst>
            <a:ext uri="{FF2B5EF4-FFF2-40B4-BE49-F238E27FC236}">
              <a16:creationId xmlns:a16="http://schemas.microsoft.com/office/drawing/2014/main" id="{9DC48CEB-05B9-4489-A8DA-BB548A461A7E}"/>
            </a:ext>
          </a:extLst>
        </xdr:cNvPr>
        <xdr:cNvSpPr/>
      </xdr:nvSpPr>
      <xdr:spPr>
        <a:xfrm>
          <a:off x="15029906" y="13841730"/>
          <a:ext cx="87294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61</xdr:row>
      <xdr:rowOff>114300</xdr:rowOff>
    </xdr:from>
    <xdr:to>
      <xdr:col>35</xdr:col>
      <xdr:colOff>62499</xdr:colOff>
      <xdr:row>61</xdr:row>
      <xdr:rowOff>114300</xdr:rowOff>
    </xdr:to>
    <xdr:cxnSp macro="">
      <xdr:nvCxnSpPr>
        <xdr:cNvPr id="36532" name="직선 화살표 연결선 36531">
          <a:extLst>
            <a:ext uri="{FF2B5EF4-FFF2-40B4-BE49-F238E27FC236}">
              <a16:creationId xmlns:a16="http://schemas.microsoft.com/office/drawing/2014/main" id="{D47BE3C9-8867-4599-A273-48450C2EA0EB}"/>
            </a:ext>
          </a:extLst>
        </xdr:cNvPr>
        <xdr:cNvCxnSpPr/>
      </xdr:nvCxnSpPr>
      <xdr:spPr>
        <a:xfrm>
          <a:off x="15029906" y="13898880"/>
          <a:ext cx="211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59</xdr:row>
      <xdr:rowOff>57150</xdr:rowOff>
    </xdr:from>
    <xdr:to>
      <xdr:col>95</xdr:col>
      <xdr:colOff>84000</xdr:colOff>
      <xdr:row>59</xdr:row>
      <xdr:rowOff>171450</xdr:rowOff>
    </xdr:to>
    <xdr:sp macro="" textlink="">
      <xdr:nvSpPr>
        <xdr:cNvPr id="36533" name="56">
          <a:extLst>
            <a:ext uri="{FF2B5EF4-FFF2-40B4-BE49-F238E27FC236}">
              <a16:creationId xmlns:a16="http://schemas.microsoft.com/office/drawing/2014/main" id="{98B6050F-E126-43FA-9B4A-FE4C1DA06051}"/>
            </a:ext>
          </a:extLst>
        </xdr:cNvPr>
        <xdr:cNvSpPr/>
      </xdr:nvSpPr>
      <xdr:spPr>
        <a:xfrm>
          <a:off x="21937980" y="13384530"/>
          <a:ext cx="1821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83</xdr:col>
      <xdr:colOff>0</xdr:colOff>
      <xdr:row>59</xdr:row>
      <xdr:rowOff>114300</xdr:rowOff>
    </xdr:from>
    <xdr:to>
      <xdr:col>83</xdr:col>
      <xdr:colOff>0</xdr:colOff>
      <xdr:row>59</xdr:row>
      <xdr:rowOff>114300</xdr:rowOff>
    </xdr:to>
    <xdr:cxnSp macro="">
      <xdr:nvCxnSpPr>
        <xdr:cNvPr id="36534" name="직선 화살표 연결선 36533">
          <a:extLst>
            <a:ext uri="{FF2B5EF4-FFF2-40B4-BE49-F238E27FC236}">
              <a16:creationId xmlns:a16="http://schemas.microsoft.com/office/drawing/2014/main" id="{53ABD219-49A2-4EF8-89A5-8DC878600B65}"/>
            </a:ext>
          </a:extLst>
        </xdr:cNvPr>
        <xdr:cNvCxnSpPr/>
      </xdr:nvCxnSpPr>
      <xdr:spPr>
        <a:xfrm>
          <a:off x="21937980" y="13441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58</xdr:row>
      <xdr:rowOff>57150</xdr:rowOff>
    </xdr:from>
    <xdr:to>
      <xdr:col>83</xdr:col>
      <xdr:colOff>127000</xdr:colOff>
      <xdr:row>58</xdr:row>
      <xdr:rowOff>184150</xdr:rowOff>
    </xdr:to>
    <xdr:sp macro="" textlink="">
      <xdr:nvSpPr>
        <xdr:cNvPr id="36535" name="다이아몬드 36534">
          <a:extLst>
            <a:ext uri="{FF2B5EF4-FFF2-40B4-BE49-F238E27FC236}">
              <a16:creationId xmlns:a16="http://schemas.microsoft.com/office/drawing/2014/main" id="{37762DE8-1C40-47E7-A2B9-22F566F97521}"/>
            </a:ext>
          </a:extLst>
        </xdr:cNvPr>
        <xdr:cNvSpPr/>
      </xdr:nvSpPr>
      <xdr:spPr>
        <a:xfrm>
          <a:off x="21937980" y="1315593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124098</xdr:colOff>
      <xdr:row>57</xdr:row>
      <xdr:rowOff>57150</xdr:rowOff>
    </xdr:from>
    <xdr:to>
      <xdr:col>83</xdr:col>
      <xdr:colOff>1270</xdr:colOff>
      <xdr:row>57</xdr:row>
      <xdr:rowOff>171450</xdr:rowOff>
    </xdr:to>
    <xdr:sp macro="" textlink="">
      <xdr:nvSpPr>
        <xdr:cNvPr id="36536" name="54">
          <a:extLst>
            <a:ext uri="{FF2B5EF4-FFF2-40B4-BE49-F238E27FC236}">
              <a16:creationId xmlns:a16="http://schemas.microsoft.com/office/drawing/2014/main" id="{4B99C200-B073-47DC-BCF2-1B2D4FEC2F36}"/>
            </a:ext>
          </a:extLst>
        </xdr:cNvPr>
        <xdr:cNvSpPr/>
      </xdr:nvSpPr>
      <xdr:spPr>
        <a:xfrm>
          <a:off x="21917298" y="12927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124098</xdr:colOff>
      <xdr:row>57</xdr:row>
      <xdr:rowOff>114300</xdr:rowOff>
    </xdr:from>
    <xdr:to>
      <xdr:col>82</xdr:col>
      <xdr:colOff>124098</xdr:colOff>
      <xdr:row>57</xdr:row>
      <xdr:rowOff>114300</xdr:rowOff>
    </xdr:to>
    <xdr:cxnSp macro="">
      <xdr:nvCxnSpPr>
        <xdr:cNvPr id="36537" name="직선 화살표 연결선 36536">
          <a:extLst>
            <a:ext uri="{FF2B5EF4-FFF2-40B4-BE49-F238E27FC236}">
              <a16:creationId xmlns:a16="http://schemas.microsoft.com/office/drawing/2014/main" id="{FBA92ADD-36B3-406D-A2C8-02FD19FB60A1}"/>
            </a:ext>
          </a:extLst>
        </xdr:cNvPr>
        <xdr:cNvCxnSpPr/>
      </xdr:nvCxnSpPr>
      <xdr:spPr>
        <a:xfrm>
          <a:off x="21917298" y="12984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0</xdr:colOff>
      <xdr:row>56</xdr:row>
      <xdr:rowOff>57150</xdr:rowOff>
    </xdr:from>
    <xdr:to>
      <xdr:col>82</xdr:col>
      <xdr:colOff>125368</xdr:colOff>
      <xdr:row>56</xdr:row>
      <xdr:rowOff>171450</xdr:rowOff>
    </xdr:to>
    <xdr:sp macro="" textlink="">
      <xdr:nvSpPr>
        <xdr:cNvPr id="36538" name="53">
          <a:extLst>
            <a:ext uri="{FF2B5EF4-FFF2-40B4-BE49-F238E27FC236}">
              <a16:creationId xmlns:a16="http://schemas.microsoft.com/office/drawing/2014/main" id="{1CC87268-9055-419E-A3A3-A29E0109BEFE}"/>
            </a:ext>
          </a:extLst>
        </xdr:cNvPr>
        <xdr:cNvSpPr/>
      </xdr:nvSpPr>
      <xdr:spPr>
        <a:xfrm>
          <a:off x="21793200" y="12698730"/>
          <a:ext cx="125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0</xdr:colOff>
      <xdr:row>56</xdr:row>
      <xdr:rowOff>114300</xdr:rowOff>
    </xdr:from>
    <xdr:to>
      <xdr:col>82</xdr:col>
      <xdr:colOff>0</xdr:colOff>
      <xdr:row>56</xdr:row>
      <xdr:rowOff>114300</xdr:rowOff>
    </xdr:to>
    <xdr:cxnSp macro="">
      <xdr:nvCxnSpPr>
        <xdr:cNvPr id="36539" name="직선 화살표 연결선 36538">
          <a:extLst>
            <a:ext uri="{FF2B5EF4-FFF2-40B4-BE49-F238E27FC236}">
              <a16:creationId xmlns:a16="http://schemas.microsoft.com/office/drawing/2014/main" id="{FEB92EA3-EC74-44E9-9C5D-2B94603DFC47}"/>
            </a:ext>
          </a:extLst>
        </xdr:cNvPr>
        <xdr:cNvCxnSpPr/>
      </xdr:nvCxnSpPr>
      <xdr:spPr>
        <a:xfrm>
          <a:off x="21793200" y="12755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0</xdr:colOff>
      <xdr:row>55</xdr:row>
      <xdr:rowOff>57150</xdr:rowOff>
    </xdr:from>
    <xdr:to>
      <xdr:col>82</xdr:col>
      <xdr:colOff>125368</xdr:colOff>
      <xdr:row>55</xdr:row>
      <xdr:rowOff>171450</xdr:rowOff>
    </xdr:to>
    <xdr:sp macro="" textlink="">
      <xdr:nvSpPr>
        <xdr:cNvPr id="36540" name="52">
          <a:extLst>
            <a:ext uri="{FF2B5EF4-FFF2-40B4-BE49-F238E27FC236}">
              <a16:creationId xmlns:a16="http://schemas.microsoft.com/office/drawing/2014/main" id="{610F8B87-99AB-4C9D-A6D5-523DCDF154D3}"/>
            </a:ext>
          </a:extLst>
        </xdr:cNvPr>
        <xdr:cNvSpPr/>
      </xdr:nvSpPr>
      <xdr:spPr>
        <a:xfrm>
          <a:off x="21793200" y="12470130"/>
          <a:ext cx="125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0</xdr:colOff>
      <xdr:row>55</xdr:row>
      <xdr:rowOff>114300</xdr:rowOff>
    </xdr:from>
    <xdr:to>
      <xdr:col>82</xdr:col>
      <xdr:colOff>0</xdr:colOff>
      <xdr:row>55</xdr:row>
      <xdr:rowOff>114300</xdr:rowOff>
    </xdr:to>
    <xdr:cxnSp macro="">
      <xdr:nvCxnSpPr>
        <xdr:cNvPr id="36541" name="직선 화살표 연결선 36540">
          <a:extLst>
            <a:ext uri="{FF2B5EF4-FFF2-40B4-BE49-F238E27FC236}">
              <a16:creationId xmlns:a16="http://schemas.microsoft.com/office/drawing/2014/main" id="{BDA92BC2-72F3-4F50-91D1-D7F6BDD296B6}"/>
            </a:ext>
          </a:extLst>
        </xdr:cNvPr>
        <xdr:cNvCxnSpPr/>
      </xdr:nvCxnSpPr>
      <xdr:spPr>
        <a:xfrm>
          <a:off x="21793200" y="12527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0</xdr:colOff>
      <xdr:row>54</xdr:row>
      <xdr:rowOff>57150</xdr:rowOff>
    </xdr:from>
    <xdr:to>
      <xdr:col>83</xdr:col>
      <xdr:colOff>21952</xdr:colOff>
      <xdr:row>54</xdr:row>
      <xdr:rowOff>171450</xdr:rowOff>
    </xdr:to>
    <xdr:sp macro="" textlink="">
      <xdr:nvSpPr>
        <xdr:cNvPr id="36542" name="51">
          <a:extLst>
            <a:ext uri="{FF2B5EF4-FFF2-40B4-BE49-F238E27FC236}">
              <a16:creationId xmlns:a16="http://schemas.microsoft.com/office/drawing/2014/main" id="{844EAFB0-AF8A-43A3-BE52-A577171A7C96}"/>
            </a:ext>
          </a:extLst>
        </xdr:cNvPr>
        <xdr:cNvSpPr/>
      </xdr:nvSpPr>
      <xdr:spPr>
        <a:xfrm>
          <a:off x="21793200" y="12241530"/>
          <a:ext cx="166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0</xdr:colOff>
      <xdr:row>54</xdr:row>
      <xdr:rowOff>114300</xdr:rowOff>
    </xdr:from>
    <xdr:to>
      <xdr:col>82</xdr:col>
      <xdr:colOff>0</xdr:colOff>
      <xdr:row>54</xdr:row>
      <xdr:rowOff>114300</xdr:rowOff>
    </xdr:to>
    <xdr:cxnSp macro="">
      <xdr:nvCxnSpPr>
        <xdr:cNvPr id="36543" name="직선 화살표 연결선 36542">
          <a:extLst>
            <a:ext uri="{FF2B5EF4-FFF2-40B4-BE49-F238E27FC236}">
              <a16:creationId xmlns:a16="http://schemas.microsoft.com/office/drawing/2014/main" id="{3FF6267A-FC8C-44CB-B9F1-690B5B13B874}"/>
            </a:ext>
          </a:extLst>
        </xdr:cNvPr>
        <xdr:cNvCxnSpPr/>
      </xdr:nvCxnSpPr>
      <xdr:spPr>
        <a:xfrm>
          <a:off x="21793200" y="12298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53</xdr:row>
      <xdr:rowOff>57150</xdr:rowOff>
    </xdr:from>
    <xdr:to>
      <xdr:col>81</xdr:col>
      <xdr:colOff>104683</xdr:colOff>
      <xdr:row>53</xdr:row>
      <xdr:rowOff>171450</xdr:rowOff>
    </xdr:to>
    <xdr:sp macro="" textlink="">
      <xdr:nvSpPr>
        <xdr:cNvPr id="36544" name="50">
          <a:extLst>
            <a:ext uri="{FF2B5EF4-FFF2-40B4-BE49-F238E27FC236}">
              <a16:creationId xmlns:a16="http://schemas.microsoft.com/office/drawing/2014/main" id="{641E552A-E5B7-4FD2-99D4-BADEA7C64C02}"/>
            </a:ext>
          </a:extLst>
        </xdr:cNvPr>
        <xdr:cNvSpPr/>
      </xdr:nvSpPr>
      <xdr:spPr>
        <a:xfrm>
          <a:off x="21255445" y="12012930"/>
          <a:ext cx="4976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53</xdr:row>
      <xdr:rowOff>114300</xdr:rowOff>
    </xdr:from>
    <xdr:to>
      <xdr:col>78</xdr:col>
      <xdr:colOff>41365</xdr:colOff>
      <xdr:row>53</xdr:row>
      <xdr:rowOff>114300</xdr:rowOff>
    </xdr:to>
    <xdr:cxnSp macro="">
      <xdr:nvCxnSpPr>
        <xdr:cNvPr id="36545" name="직선 화살표 연결선 36544">
          <a:extLst>
            <a:ext uri="{FF2B5EF4-FFF2-40B4-BE49-F238E27FC236}">
              <a16:creationId xmlns:a16="http://schemas.microsoft.com/office/drawing/2014/main" id="{EC3D82C9-F1A8-4741-A3C1-15A47650573E}"/>
            </a:ext>
          </a:extLst>
        </xdr:cNvPr>
        <xdr:cNvCxnSpPr/>
      </xdr:nvCxnSpPr>
      <xdr:spPr>
        <a:xfrm>
          <a:off x="21255445" y="12070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52</xdr:row>
      <xdr:rowOff>57150</xdr:rowOff>
    </xdr:from>
    <xdr:to>
      <xdr:col>81</xdr:col>
      <xdr:colOff>104683</xdr:colOff>
      <xdr:row>52</xdr:row>
      <xdr:rowOff>171450</xdr:rowOff>
    </xdr:to>
    <xdr:sp macro="" textlink="">
      <xdr:nvSpPr>
        <xdr:cNvPr id="36546" name="49">
          <a:extLst>
            <a:ext uri="{FF2B5EF4-FFF2-40B4-BE49-F238E27FC236}">
              <a16:creationId xmlns:a16="http://schemas.microsoft.com/office/drawing/2014/main" id="{5624EA22-9759-410A-AFB3-B9EC1D50815F}"/>
            </a:ext>
          </a:extLst>
        </xdr:cNvPr>
        <xdr:cNvSpPr/>
      </xdr:nvSpPr>
      <xdr:spPr>
        <a:xfrm>
          <a:off x="21255445" y="11784330"/>
          <a:ext cx="4976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52</xdr:row>
      <xdr:rowOff>114300</xdr:rowOff>
    </xdr:from>
    <xdr:to>
      <xdr:col>78</xdr:col>
      <xdr:colOff>41365</xdr:colOff>
      <xdr:row>52</xdr:row>
      <xdr:rowOff>114300</xdr:rowOff>
    </xdr:to>
    <xdr:cxnSp macro="">
      <xdr:nvCxnSpPr>
        <xdr:cNvPr id="36547" name="직선 화살표 연결선 36546">
          <a:extLst>
            <a:ext uri="{FF2B5EF4-FFF2-40B4-BE49-F238E27FC236}">
              <a16:creationId xmlns:a16="http://schemas.microsoft.com/office/drawing/2014/main" id="{9E2F6C82-ECCC-4D5E-9398-112E1899EFB1}"/>
            </a:ext>
          </a:extLst>
        </xdr:cNvPr>
        <xdr:cNvCxnSpPr/>
      </xdr:nvCxnSpPr>
      <xdr:spPr>
        <a:xfrm>
          <a:off x="21255445" y="11841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41365</xdr:colOff>
      <xdr:row>51</xdr:row>
      <xdr:rowOff>57150</xdr:rowOff>
    </xdr:from>
    <xdr:to>
      <xdr:col>95</xdr:col>
      <xdr:colOff>84000</xdr:colOff>
      <xdr:row>51</xdr:row>
      <xdr:rowOff>171450</xdr:rowOff>
    </xdr:to>
    <xdr:sp macro="" textlink="">
      <xdr:nvSpPr>
        <xdr:cNvPr id="36548" name="48">
          <a:extLst>
            <a:ext uri="{FF2B5EF4-FFF2-40B4-BE49-F238E27FC236}">
              <a16:creationId xmlns:a16="http://schemas.microsoft.com/office/drawing/2014/main" id="{04E233EB-2D0E-4377-9365-6EA1B8B1DD3A}"/>
            </a:ext>
          </a:extLst>
        </xdr:cNvPr>
        <xdr:cNvSpPr/>
      </xdr:nvSpPr>
      <xdr:spPr>
        <a:xfrm>
          <a:off x="21255445" y="11555730"/>
          <a:ext cx="25038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41365</xdr:colOff>
      <xdr:row>51</xdr:row>
      <xdr:rowOff>114300</xdr:rowOff>
    </xdr:from>
    <xdr:to>
      <xdr:col>78</xdr:col>
      <xdr:colOff>41365</xdr:colOff>
      <xdr:row>51</xdr:row>
      <xdr:rowOff>114300</xdr:rowOff>
    </xdr:to>
    <xdr:cxnSp macro="">
      <xdr:nvCxnSpPr>
        <xdr:cNvPr id="36549" name="직선 화살표 연결선 36548">
          <a:extLst>
            <a:ext uri="{FF2B5EF4-FFF2-40B4-BE49-F238E27FC236}">
              <a16:creationId xmlns:a16="http://schemas.microsoft.com/office/drawing/2014/main" id="{15329E73-4F9B-4A46-B82F-3EA13E0293FA}"/>
            </a:ext>
          </a:extLst>
        </xdr:cNvPr>
        <xdr:cNvCxnSpPr/>
      </xdr:nvCxnSpPr>
      <xdr:spPr>
        <a:xfrm>
          <a:off x="21255445" y="11612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50</xdr:row>
      <xdr:rowOff>57150</xdr:rowOff>
    </xdr:from>
    <xdr:to>
      <xdr:col>73</xdr:col>
      <xdr:colOff>104684</xdr:colOff>
      <xdr:row>50</xdr:row>
      <xdr:rowOff>171450</xdr:rowOff>
    </xdr:to>
    <xdr:sp macro="" textlink="">
      <xdr:nvSpPr>
        <xdr:cNvPr id="36550" name="47">
          <a:extLst>
            <a:ext uri="{FF2B5EF4-FFF2-40B4-BE49-F238E27FC236}">
              <a16:creationId xmlns:a16="http://schemas.microsoft.com/office/drawing/2014/main" id="{79EE30BB-71C1-471D-BAE7-E9EA41A095A3}"/>
            </a:ext>
          </a:extLst>
        </xdr:cNvPr>
        <xdr:cNvSpPr/>
      </xdr:nvSpPr>
      <xdr:spPr>
        <a:xfrm>
          <a:off x="20200620" y="113271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50</xdr:row>
      <xdr:rowOff>114300</xdr:rowOff>
    </xdr:from>
    <xdr:to>
      <xdr:col>71</xdr:col>
      <xdr:colOff>0</xdr:colOff>
      <xdr:row>50</xdr:row>
      <xdr:rowOff>114300</xdr:rowOff>
    </xdr:to>
    <xdr:cxnSp macro="">
      <xdr:nvCxnSpPr>
        <xdr:cNvPr id="36551" name="직선 화살표 연결선 36550">
          <a:extLst>
            <a:ext uri="{FF2B5EF4-FFF2-40B4-BE49-F238E27FC236}">
              <a16:creationId xmlns:a16="http://schemas.microsoft.com/office/drawing/2014/main" id="{3404AE36-C002-4840-ABA7-25FC2285F469}"/>
            </a:ext>
          </a:extLst>
        </xdr:cNvPr>
        <xdr:cNvCxnSpPr/>
      </xdr:nvCxnSpPr>
      <xdr:spPr>
        <a:xfrm>
          <a:off x="20200620" y="11384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xdr:colOff>
      <xdr:row>49</xdr:row>
      <xdr:rowOff>57150</xdr:rowOff>
    </xdr:from>
    <xdr:to>
      <xdr:col>81</xdr:col>
      <xdr:colOff>104683</xdr:colOff>
      <xdr:row>49</xdr:row>
      <xdr:rowOff>171450</xdr:rowOff>
    </xdr:to>
    <xdr:sp macro="" textlink="">
      <xdr:nvSpPr>
        <xdr:cNvPr id="36552" name="46">
          <a:extLst>
            <a:ext uri="{FF2B5EF4-FFF2-40B4-BE49-F238E27FC236}">
              <a16:creationId xmlns:a16="http://schemas.microsoft.com/office/drawing/2014/main" id="{67B233D7-5BC3-4197-967B-C8DDEB5D60E3}"/>
            </a:ext>
          </a:extLst>
        </xdr:cNvPr>
        <xdr:cNvSpPr/>
      </xdr:nvSpPr>
      <xdr:spPr>
        <a:xfrm>
          <a:off x="20634961" y="11098530"/>
          <a:ext cx="11181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xdr:colOff>
      <xdr:row>49</xdr:row>
      <xdr:rowOff>114300</xdr:rowOff>
    </xdr:from>
    <xdr:to>
      <xdr:col>74</xdr:col>
      <xdr:colOff>1</xdr:colOff>
      <xdr:row>49</xdr:row>
      <xdr:rowOff>114300</xdr:rowOff>
    </xdr:to>
    <xdr:cxnSp macro="">
      <xdr:nvCxnSpPr>
        <xdr:cNvPr id="36553" name="직선 화살표 연결선 36552">
          <a:extLst>
            <a:ext uri="{FF2B5EF4-FFF2-40B4-BE49-F238E27FC236}">
              <a16:creationId xmlns:a16="http://schemas.microsoft.com/office/drawing/2014/main" id="{72ADD35A-F95A-4A1B-8FE7-6813033B4C47}"/>
            </a:ext>
          </a:extLst>
        </xdr:cNvPr>
        <xdr:cNvCxnSpPr/>
      </xdr:nvCxnSpPr>
      <xdr:spPr>
        <a:xfrm>
          <a:off x="20634961" y="11155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48</xdr:row>
      <xdr:rowOff>57150</xdr:rowOff>
    </xdr:from>
    <xdr:to>
      <xdr:col>81</xdr:col>
      <xdr:colOff>104683</xdr:colOff>
      <xdr:row>48</xdr:row>
      <xdr:rowOff>171450</xdr:rowOff>
    </xdr:to>
    <xdr:sp macro="" textlink="">
      <xdr:nvSpPr>
        <xdr:cNvPr id="36554" name="45">
          <a:extLst>
            <a:ext uri="{FF2B5EF4-FFF2-40B4-BE49-F238E27FC236}">
              <a16:creationId xmlns:a16="http://schemas.microsoft.com/office/drawing/2014/main" id="{20FF05C4-83B6-45C2-8700-F0E27243AE76}"/>
            </a:ext>
          </a:extLst>
        </xdr:cNvPr>
        <xdr:cNvSpPr/>
      </xdr:nvSpPr>
      <xdr:spPr>
        <a:xfrm>
          <a:off x="20200620" y="10869930"/>
          <a:ext cx="1552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48</xdr:row>
      <xdr:rowOff>114300</xdr:rowOff>
    </xdr:from>
    <xdr:to>
      <xdr:col>71</xdr:col>
      <xdr:colOff>0</xdr:colOff>
      <xdr:row>48</xdr:row>
      <xdr:rowOff>114300</xdr:rowOff>
    </xdr:to>
    <xdr:cxnSp macro="">
      <xdr:nvCxnSpPr>
        <xdr:cNvPr id="36555" name="직선 화살표 연결선 36554">
          <a:extLst>
            <a:ext uri="{FF2B5EF4-FFF2-40B4-BE49-F238E27FC236}">
              <a16:creationId xmlns:a16="http://schemas.microsoft.com/office/drawing/2014/main" id="{DF7F9B3F-5513-44C7-A686-1C39FE8F7999}"/>
            </a:ext>
          </a:extLst>
        </xdr:cNvPr>
        <xdr:cNvCxnSpPr/>
      </xdr:nvCxnSpPr>
      <xdr:spPr>
        <a:xfrm>
          <a:off x="20200620" y="10927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47</xdr:row>
      <xdr:rowOff>57150</xdr:rowOff>
    </xdr:from>
    <xdr:to>
      <xdr:col>73</xdr:col>
      <xdr:colOff>104684</xdr:colOff>
      <xdr:row>47</xdr:row>
      <xdr:rowOff>171450</xdr:rowOff>
    </xdr:to>
    <xdr:sp macro="" textlink="">
      <xdr:nvSpPr>
        <xdr:cNvPr id="36556" name="44">
          <a:extLst>
            <a:ext uri="{FF2B5EF4-FFF2-40B4-BE49-F238E27FC236}">
              <a16:creationId xmlns:a16="http://schemas.microsoft.com/office/drawing/2014/main" id="{A91385A5-F493-4CCF-A615-1948A7942B31}"/>
            </a:ext>
          </a:extLst>
        </xdr:cNvPr>
        <xdr:cNvSpPr/>
      </xdr:nvSpPr>
      <xdr:spPr>
        <a:xfrm>
          <a:off x="18752820" y="10641330"/>
          <a:ext cx="18420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0</xdr:colOff>
      <xdr:row>47</xdr:row>
      <xdr:rowOff>114300</xdr:rowOff>
    </xdr:from>
    <xdr:to>
      <xdr:col>61</xdr:col>
      <xdr:colOff>0</xdr:colOff>
      <xdr:row>47</xdr:row>
      <xdr:rowOff>114300</xdr:rowOff>
    </xdr:to>
    <xdr:cxnSp macro="">
      <xdr:nvCxnSpPr>
        <xdr:cNvPr id="36557" name="직선 화살표 연결선 36556">
          <a:extLst>
            <a:ext uri="{FF2B5EF4-FFF2-40B4-BE49-F238E27FC236}">
              <a16:creationId xmlns:a16="http://schemas.microsoft.com/office/drawing/2014/main" id="{396C18C6-DEFE-4EFF-A774-6D4533076BD9}"/>
            </a:ext>
          </a:extLst>
        </xdr:cNvPr>
        <xdr:cNvCxnSpPr/>
      </xdr:nvCxnSpPr>
      <xdr:spPr>
        <a:xfrm>
          <a:off x="18752820" y="10698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46</xdr:row>
      <xdr:rowOff>57150</xdr:rowOff>
    </xdr:from>
    <xdr:to>
      <xdr:col>73</xdr:col>
      <xdr:colOff>104684</xdr:colOff>
      <xdr:row>46</xdr:row>
      <xdr:rowOff>171450</xdr:rowOff>
    </xdr:to>
    <xdr:sp macro="" textlink="">
      <xdr:nvSpPr>
        <xdr:cNvPr id="36558" name="43">
          <a:extLst>
            <a:ext uri="{FF2B5EF4-FFF2-40B4-BE49-F238E27FC236}">
              <a16:creationId xmlns:a16="http://schemas.microsoft.com/office/drawing/2014/main" id="{E91D3CB8-FB2B-4CE6-9907-000B0601F521}"/>
            </a:ext>
          </a:extLst>
        </xdr:cNvPr>
        <xdr:cNvSpPr/>
      </xdr:nvSpPr>
      <xdr:spPr>
        <a:xfrm>
          <a:off x="19042380" y="10412730"/>
          <a:ext cx="15524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46</xdr:row>
      <xdr:rowOff>114300</xdr:rowOff>
    </xdr:from>
    <xdr:to>
      <xdr:col>63</xdr:col>
      <xdr:colOff>0</xdr:colOff>
      <xdr:row>46</xdr:row>
      <xdr:rowOff>114300</xdr:rowOff>
    </xdr:to>
    <xdr:cxnSp macro="">
      <xdr:nvCxnSpPr>
        <xdr:cNvPr id="36559" name="직선 화살표 연결선 36558">
          <a:extLst>
            <a:ext uri="{FF2B5EF4-FFF2-40B4-BE49-F238E27FC236}">
              <a16:creationId xmlns:a16="http://schemas.microsoft.com/office/drawing/2014/main" id="{584A3A08-60AF-414F-91BD-C702F9F1824F}"/>
            </a:ext>
          </a:extLst>
        </xdr:cNvPr>
        <xdr:cNvCxnSpPr/>
      </xdr:nvCxnSpPr>
      <xdr:spPr>
        <a:xfrm>
          <a:off x="19042380" y="10469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45</xdr:row>
      <xdr:rowOff>57150</xdr:rowOff>
    </xdr:from>
    <xdr:to>
      <xdr:col>73</xdr:col>
      <xdr:colOff>104684</xdr:colOff>
      <xdr:row>45</xdr:row>
      <xdr:rowOff>171450</xdr:rowOff>
    </xdr:to>
    <xdr:sp macro="" textlink="">
      <xdr:nvSpPr>
        <xdr:cNvPr id="36560" name="42">
          <a:extLst>
            <a:ext uri="{FF2B5EF4-FFF2-40B4-BE49-F238E27FC236}">
              <a16:creationId xmlns:a16="http://schemas.microsoft.com/office/drawing/2014/main" id="{FE80DBB6-C69D-4018-8031-CB52E5B410DE}"/>
            </a:ext>
          </a:extLst>
        </xdr:cNvPr>
        <xdr:cNvSpPr/>
      </xdr:nvSpPr>
      <xdr:spPr>
        <a:xfrm>
          <a:off x="18090969" y="10184130"/>
          <a:ext cx="2503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45</xdr:row>
      <xdr:rowOff>114300</xdr:rowOff>
    </xdr:from>
    <xdr:to>
      <xdr:col>56</xdr:col>
      <xdr:colOff>62049</xdr:colOff>
      <xdr:row>45</xdr:row>
      <xdr:rowOff>114300</xdr:rowOff>
    </xdr:to>
    <xdr:cxnSp macro="">
      <xdr:nvCxnSpPr>
        <xdr:cNvPr id="36561" name="직선 화살표 연결선 36560">
          <a:extLst>
            <a:ext uri="{FF2B5EF4-FFF2-40B4-BE49-F238E27FC236}">
              <a16:creationId xmlns:a16="http://schemas.microsoft.com/office/drawing/2014/main" id="{BFF26895-CDD5-4A7D-933F-12FC7DD5D699}"/>
            </a:ext>
          </a:extLst>
        </xdr:cNvPr>
        <xdr:cNvCxnSpPr/>
      </xdr:nvCxnSpPr>
      <xdr:spPr>
        <a:xfrm>
          <a:off x="18090969" y="10241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44</xdr:row>
      <xdr:rowOff>57150</xdr:rowOff>
    </xdr:from>
    <xdr:to>
      <xdr:col>73</xdr:col>
      <xdr:colOff>104684</xdr:colOff>
      <xdr:row>44</xdr:row>
      <xdr:rowOff>171450</xdr:rowOff>
    </xdr:to>
    <xdr:sp macro="" textlink="">
      <xdr:nvSpPr>
        <xdr:cNvPr id="36562" name="41">
          <a:extLst>
            <a:ext uri="{FF2B5EF4-FFF2-40B4-BE49-F238E27FC236}">
              <a16:creationId xmlns:a16="http://schemas.microsoft.com/office/drawing/2014/main" id="{6BCF9A32-1026-4E28-B6C4-C2182E0EDDCB}"/>
            </a:ext>
          </a:extLst>
        </xdr:cNvPr>
        <xdr:cNvSpPr/>
      </xdr:nvSpPr>
      <xdr:spPr>
        <a:xfrm>
          <a:off x="16870680" y="9955530"/>
          <a:ext cx="37241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44</xdr:row>
      <xdr:rowOff>114300</xdr:rowOff>
    </xdr:from>
    <xdr:to>
      <xdr:col>48</xdr:col>
      <xdr:colOff>0</xdr:colOff>
      <xdr:row>44</xdr:row>
      <xdr:rowOff>114300</xdr:rowOff>
    </xdr:to>
    <xdr:cxnSp macro="">
      <xdr:nvCxnSpPr>
        <xdr:cNvPr id="36563" name="직선 화살표 연결선 36562">
          <a:extLst>
            <a:ext uri="{FF2B5EF4-FFF2-40B4-BE49-F238E27FC236}">
              <a16:creationId xmlns:a16="http://schemas.microsoft.com/office/drawing/2014/main" id="{2ACF2EA4-F285-4325-A16D-9F1BEB04F2EF}"/>
            </a:ext>
          </a:extLst>
        </xdr:cNvPr>
        <xdr:cNvCxnSpPr/>
      </xdr:nvCxnSpPr>
      <xdr:spPr>
        <a:xfrm>
          <a:off x="16870680" y="10012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43</xdr:row>
      <xdr:rowOff>57150</xdr:rowOff>
    </xdr:from>
    <xdr:to>
      <xdr:col>73</xdr:col>
      <xdr:colOff>104684</xdr:colOff>
      <xdr:row>43</xdr:row>
      <xdr:rowOff>171450</xdr:rowOff>
    </xdr:to>
    <xdr:sp macro="" textlink="">
      <xdr:nvSpPr>
        <xdr:cNvPr id="36564" name="40">
          <a:extLst>
            <a:ext uri="{FF2B5EF4-FFF2-40B4-BE49-F238E27FC236}">
              <a16:creationId xmlns:a16="http://schemas.microsoft.com/office/drawing/2014/main" id="{611B92CA-D468-43FA-A198-D827FE93F27C}"/>
            </a:ext>
          </a:extLst>
        </xdr:cNvPr>
        <xdr:cNvSpPr/>
      </xdr:nvSpPr>
      <xdr:spPr>
        <a:xfrm>
          <a:off x="16870680" y="9726930"/>
          <a:ext cx="37241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43</xdr:row>
      <xdr:rowOff>114300</xdr:rowOff>
    </xdr:from>
    <xdr:to>
      <xdr:col>48</xdr:col>
      <xdr:colOff>0</xdr:colOff>
      <xdr:row>43</xdr:row>
      <xdr:rowOff>114300</xdr:rowOff>
    </xdr:to>
    <xdr:cxnSp macro="">
      <xdr:nvCxnSpPr>
        <xdr:cNvPr id="36565" name="직선 화살표 연결선 36564">
          <a:extLst>
            <a:ext uri="{FF2B5EF4-FFF2-40B4-BE49-F238E27FC236}">
              <a16:creationId xmlns:a16="http://schemas.microsoft.com/office/drawing/2014/main" id="{63476355-B09E-49B5-B828-DB7C589C8FF1}"/>
            </a:ext>
          </a:extLst>
        </xdr:cNvPr>
        <xdr:cNvCxnSpPr/>
      </xdr:nvCxnSpPr>
      <xdr:spPr>
        <a:xfrm>
          <a:off x="16870680" y="9784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42</xdr:row>
      <xdr:rowOff>57150</xdr:rowOff>
    </xdr:from>
    <xdr:to>
      <xdr:col>73</xdr:col>
      <xdr:colOff>104684</xdr:colOff>
      <xdr:row>42</xdr:row>
      <xdr:rowOff>171450</xdr:rowOff>
    </xdr:to>
    <xdr:sp macro="" textlink="">
      <xdr:nvSpPr>
        <xdr:cNvPr id="36566" name="39">
          <a:extLst>
            <a:ext uri="{FF2B5EF4-FFF2-40B4-BE49-F238E27FC236}">
              <a16:creationId xmlns:a16="http://schemas.microsoft.com/office/drawing/2014/main" id="{BD3712F1-7B42-47C3-9D38-B55D2C68DCAB}"/>
            </a:ext>
          </a:extLst>
        </xdr:cNvPr>
        <xdr:cNvSpPr/>
      </xdr:nvSpPr>
      <xdr:spPr>
        <a:xfrm>
          <a:off x="16870680" y="9498330"/>
          <a:ext cx="37241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42</xdr:row>
      <xdr:rowOff>114300</xdr:rowOff>
    </xdr:from>
    <xdr:to>
      <xdr:col>48</xdr:col>
      <xdr:colOff>0</xdr:colOff>
      <xdr:row>42</xdr:row>
      <xdr:rowOff>114300</xdr:rowOff>
    </xdr:to>
    <xdr:cxnSp macro="">
      <xdr:nvCxnSpPr>
        <xdr:cNvPr id="36567" name="직선 화살표 연결선 36566">
          <a:extLst>
            <a:ext uri="{FF2B5EF4-FFF2-40B4-BE49-F238E27FC236}">
              <a16:creationId xmlns:a16="http://schemas.microsoft.com/office/drawing/2014/main" id="{EB49200D-66FC-45AF-B17A-8405F05E341A}"/>
            </a:ext>
          </a:extLst>
        </xdr:cNvPr>
        <xdr:cNvCxnSpPr/>
      </xdr:nvCxnSpPr>
      <xdr:spPr>
        <a:xfrm>
          <a:off x="16870680" y="9555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41</xdr:row>
      <xdr:rowOff>57150</xdr:rowOff>
    </xdr:from>
    <xdr:to>
      <xdr:col>73</xdr:col>
      <xdr:colOff>104684</xdr:colOff>
      <xdr:row>41</xdr:row>
      <xdr:rowOff>171450</xdr:rowOff>
    </xdr:to>
    <xdr:sp macro="" textlink="">
      <xdr:nvSpPr>
        <xdr:cNvPr id="36568" name="38">
          <a:extLst>
            <a:ext uri="{FF2B5EF4-FFF2-40B4-BE49-F238E27FC236}">
              <a16:creationId xmlns:a16="http://schemas.microsoft.com/office/drawing/2014/main" id="{BE62A86A-15D7-4D6B-8206-8014F3CD4838}"/>
            </a:ext>
          </a:extLst>
        </xdr:cNvPr>
        <xdr:cNvSpPr/>
      </xdr:nvSpPr>
      <xdr:spPr>
        <a:xfrm>
          <a:off x="16870680" y="9269730"/>
          <a:ext cx="37241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41</xdr:row>
      <xdr:rowOff>114300</xdr:rowOff>
    </xdr:from>
    <xdr:to>
      <xdr:col>48</xdr:col>
      <xdr:colOff>0</xdr:colOff>
      <xdr:row>41</xdr:row>
      <xdr:rowOff>114300</xdr:rowOff>
    </xdr:to>
    <xdr:cxnSp macro="">
      <xdr:nvCxnSpPr>
        <xdr:cNvPr id="36569" name="직선 화살표 연결선 36568">
          <a:extLst>
            <a:ext uri="{FF2B5EF4-FFF2-40B4-BE49-F238E27FC236}">
              <a16:creationId xmlns:a16="http://schemas.microsoft.com/office/drawing/2014/main" id="{CBEBF74C-2269-4468-BC2E-71BE83F8132C}"/>
            </a:ext>
          </a:extLst>
        </xdr:cNvPr>
        <xdr:cNvCxnSpPr/>
      </xdr:nvCxnSpPr>
      <xdr:spPr>
        <a:xfrm>
          <a:off x="16870680" y="9326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40</xdr:row>
      <xdr:rowOff>57150</xdr:rowOff>
    </xdr:from>
    <xdr:to>
      <xdr:col>73</xdr:col>
      <xdr:colOff>104684</xdr:colOff>
      <xdr:row>40</xdr:row>
      <xdr:rowOff>171450</xdr:rowOff>
    </xdr:to>
    <xdr:sp macro="" textlink="">
      <xdr:nvSpPr>
        <xdr:cNvPr id="36570" name="37">
          <a:extLst>
            <a:ext uri="{FF2B5EF4-FFF2-40B4-BE49-F238E27FC236}">
              <a16:creationId xmlns:a16="http://schemas.microsoft.com/office/drawing/2014/main" id="{82CBA3F6-EDAD-40D6-BB56-D9A92C50CC6F}"/>
            </a:ext>
          </a:extLst>
        </xdr:cNvPr>
        <xdr:cNvSpPr/>
      </xdr:nvSpPr>
      <xdr:spPr>
        <a:xfrm>
          <a:off x="16870680" y="9041130"/>
          <a:ext cx="37241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40</xdr:row>
      <xdr:rowOff>114300</xdr:rowOff>
    </xdr:from>
    <xdr:to>
      <xdr:col>48</xdr:col>
      <xdr:colOff>0</xdr:colOff>
      <xdr:row>40</xdr:row>
      <xdr:rowOff>114300</xdr:rowOff>
    </xdr:to>
    <xdr:cxnSp macro="">
      <xdr:nvCxnSpPr>
        <xdr:cNvPr id="36571" name="직선 화살표 연결선 36570">
          <a:extLst>
            <a:ext uri="{FF2B5EF4-FFF2-40B4-BE49-F238E27FC236}">
              <a16:creationId xmlns:a16="http://schemas.microsoft.com/office/drawing/2014/main" id="{F2952C37-7D42-4B3F-856E-A9C3F9724A10}"/>
            </a:ext>
          </a:extLst>
        </xdr:cNvPr>
        <xdr:cNvCxnSpPr/>
      </xdr:nvCxnSpPr>
      <xdr:spPr>
        <a:xfrm>
          <a:off x="16870680" y="9098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39</xdr:row>
      <xdr:rowOff>57150</xdr:rowOff>
    </xdr:from>
    <xdr:to>
      <xdr:col>73</xdr:col>
      <xdr:colOff>104684</xdr:colOff>
      <xdr:row>39</xdr:row>
      <xdr:rowOff>171450</xdr:rowOff>
    </xdr:to>
    <xdr:sp macro="" textlink="">
      <xdr:nvSpPr>
        <xdr:cNvPr id="36572" name="36">
          <a:extLst>
            <a:ext uri="{FF2B5EF4-FFF2-40B4-BE49-F238E27FC236}">
              <a16:creationId xmlns:a16="http://schemas.microsoft.com/office/drawing/2014/main" id="{F4C45DD9-8886-47A2-A2D0-F4F8EA72FDB0}"/>
            </a:ext>
          </a:extLst>
        </xdr:cNvPr>
        <xdr:cNvSpPr/>
      </xdr:nvSpPr>
      <xdr:spPr>
        <a:xfrm>
          <a:off x="16870680" y="8812530"/>
          <a:ext cx="37241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39</xdr:row>
      <xdr:rowOff>114300</xdr:rowOff>
    </xdr:from>
    <xdr:to>
      <xdr:col>48</xdr:col>
      <xdr:colOff>0</xdr:colOff>
      <xdr:row>39</xdr:row>
      <xdr:rowOff>114300</xdr:rowOff>
    </xdr:to>
    <xdr:cxnSp macro="">
      <xdr:nvCxnSpPr>
        <xdr:cNvPr id="36573" name="직선 화살표 연결선 36572">
          <a:extLst>
            <a:ext uri="{FF2B5EF4-FFF2-40B4-BE49-F238E27FC236}">
              <a16:creationId xmlns:a16="http://schemas.microsoft.com/office/drawing/2014/main" id="{780EF707-1914-40A2-B36C-F02AEC82A108}"/>
            </a:ext>
          </a:extLst>
        </xdr:cNvPr>
        <xdr:cNvCxnSpPr/>
      </xdr:nvCxnSpPr>
      <xdr:spPr>
        <a:xfrm>
          <a:off x="16870680" y="8869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38</xdr:row>
      <xdr:rowOff>57150</xdr:rowOff>
    </xdr:from>
    <xdr:to>
      <xdr:col>81</xdr:col>
      <xdr:colOff>104683</xdr:colOff>
      <xdr:row>38</xdr:row>
      <xdr:rowOff>171450</xdr:rowOff>
    </xdr:to>
    <xdr:sp macro="" textlink="">
      <xdr:nvSpPr>
        <xdr:cNvPr id="36574" name="35">
          <a:extLst>
            <a:ext uri="{FF2B5EF4-FFF2-40B4-BE49-F238E27FC236}">
              <a16:creationId xmlns:a16="http://schemas.microsoft.com/office/drawing/2014/main" id="{0A5481DF-C90B-4815-AB39-328CD20598DB}"/>
            </a:ext>
          </a:extLst>
        </xdr:cNvPr>
        <xdr:cNvSpPr/>
      </xdr:nvSpPr>
      <xdr:spPr>
        <a:xfrm>
          <a:off x="16870680" y="8583930"/>
          <a:ext cx="48824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38</xdr:row>
      <xdr:rowOff>114300</xdr:rowOff>
    </xdr:from>
    <xdr:to>
      <xdr:col>48</xdr:col>
      <xdr:colOff>0</xdr:colOff>
      <xdr:row>38</xdr:row>
      <xdr:rowOff>114300</xdr:rowOff>
    </xdr:to>
    <xdr:cxnSp macro="">
      <xdr:nvCxnSpPr>
        <xdr:cNvPr id="36575" name="직선 화살표 연결선 36574">
          <a:extLst>
            <a:ext uri="{FF2B5EF4-FFF2-40B4-BE49-F238E27FC236}">
              <a16:creationId xmlns:a16="http://schemas.microsoft.com/office/drawing/2014/main" id="{405C8963-F345-4789-9A65-F73C492E94B3}"/>
            </a:ext>
          </a:extLst>
        </xdr:cNvPr>
        <xdr:cNvCxnSpPr/>
      </xdr:nvCxnSpPr>
      <xdr:spPr>
        <a:xfrm>
          <a:off x="16870680" y="8641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37</xdr:row>
      <xdr:rowOff>57150</xdr:rowOff>
    </xdr:from>
    <xdr:to>
      <xdr:col>47</xdr:col>
      <xdr:colOff>104684</xdr:colOff>
      <xdr:row>37</xdr:row>
      <xdr:rowOff>171450</xdr:rowOff>
    </xdr:to>
    <xdr:sp macro="" textlink="">
      <xdr:nvSpPr>
        <xdr:cNvPr id="36576" name="34">
          <a:extLst>
            <a:ext uri="{FF2B5EF4-FFF2-40B4-BE49-F238E27FC236}">
              <a16:creationId xmlns:a16="http://schemas.microsoft.com/office/drawing/2014/main" id="{C6472D33-EF1C-451C-834E-9EED04556E9A}"/>
            </a:ext>
          </a:extLst>
        </xdr:cNvPr>
        <xdr:cNvSpPr/>
      </xdr:nvSpPr>
      <xdr:spPr>
        <a:xfrm>
          <a:off x="15588343" y="8355330"/>
          <a:ext cx="12422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37</xdr:row>
      <xdr:rowOff>114300</xdr:rowOff>
    </xdr:from>
    <xdr:to>
      <xdr:col>39</xdr:col>
      <xdr:colOff>20683</xdr:colOff>
      <xdr:row>37</xdr:row>
      <xdr:rowOff>114300</xdr:rowOff>
    </xdr:to>
    <xdr:cxnSp macro="">
      <xdr:nvCxnSpPr>
        <xdr:cNvPr id="36577" name="직선 화살표 연결선 36576">
          <a:extLst>
            <a:ext uri="{FF2B5EF4-FFF2-40B4-BE49-F238E27FC236}">
              <a16:creationId xmlns:a16="http://schemas.microsoft.com/office/drawing/2014/main" id="{9AE20B6E-296F-4709-8BD0-4E314372E037}"/>
            </a:ext>
          </a:extLst>
        </xdr:cNvPr>
        <xdr:cNvCxnSpPr/>
      </xdr:nvCxnSpPr>
      <xdr:spPr>
        <a:xfrm>
          <a:off x="15588343" y="8412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36</xdr:row>
      <xdr:rowOff>57150</xdr:rowOff>
    </xdr:from>
    <xdr:to>
      <xdr:col>47</xdr:col>
      <xdr:colOff>104684</xdr:colOff>
      <xdr:row>36</xdr:row>
      <xdr:rowOff>171450</xdr:rowOff>
    </xdr:to>
    <xdr:sp macro="" textlink="">
      <xdr:nvSpPr>
        <xdr:cNvPr id="36578" name="33">
          <a:extLst>
            <a:ext uri="{FF2B5EF4-FFF2-40B4-BE49-F238E27FC236}">
              <a16:creationId xmlns:a16="http://schemas.microsoft.com/office/drawing/2014/main" id="{C0FA4368-3148-4E9F-AEC5-24D0E208E019}"/>
            </a:ext>
          </a:extLst>
        </xdr:cNvPr>
        <xdr:cNvSpPr/>
      </xdr:nvSpPr>
      <xdr:spPr>
        <a:xfrm>
          <a:off x="15588343" y="8126730"/>
          <a:ext cx="12422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36</xdr:row>
      <xdr:rowOff>114300</xdr:rowOff>
    </xdr:from>
    <xdr:to>
      <xdr:col>39</xdr:col>
      <xdr:colOff>20683</xdr:colOff>
      <xdr:row>36</xdr:row>
      <xdr:rowOff>114300</xdr:rowOff>
    </xdr:to>
    <xdr:cxnSp macro="">
      <xdr:nvCxnSpPr>
        <xdr:cNvPr id="36579" name="직선 화살표 연결선 36578">
          <a:extLst>
            <a:ext uri="{FF2B5EF4-FFF2-40B4-BE49-F238E27FC236}">
              <a16:creationId xmlns:a16="http://schemas.microsoft.com/office/drawing/2014/main" id="{2F76E0E4-DAC1-4680-8FA7-F441F7D6F166}"/>
            </a:ext>
          </a:extLst>
        </xdr:cNvPr>
        <xdr:cNvCxnSpPr/>
      </xdr:nvCxnSpPr>
      <xdr:spPr>
        <a:xfrm>
          <a:off x="15588343" y="8183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35</xdr:row>
      <xdr:rowOff>57150</xdr:rowOff>
    </xdr:from>
    <xdr:to>
      <xdr:col>47</xdr:col>
      <xdr:colOff>104684</xdr:colOff>
      <xdr:row>35</xdr:row>
      <xdr:rowOff>171450</xdr:rowOff>
    </xdr:to>
    <xdr:sp macro="" textlink="">
      <xdr:nvSpPr>
        <xdr:cNvPr id="36580" name="32">
          <a:extLst>
            <a:ext uri="{FF2B5EF4-FFF2-40B4-BE49-F238E27FC236}">
              <a16:creationId xmlns:a16="http://schemas.microsoft.com/office/drawing/2014/main" id="{C86256DA-8DCD-4D76-9160-902976E21EEF}"/>
            </a:ext>
          </a:extLst>
        </xdr:cNvPr>
        <xdr:cNvSpPr/>
      </xdr:nvSpPr>
      <xdr:spPr>
        <a:xfrm>
          <a:off x="15588343" y="7898130"/>
          <a:ext cx="12422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35</xdr:row>
      <xdr:rowOff>114300</xdr:rowOff>
    </xdr:from>
    <xdr:to>
      <xdr:col>39</xdr:col>
      <xdr:colOff>20683</xdr:colOff>
      <xdr:row>35</xdr:row>
      <xdr:rowOff>114300</xdr:rowOff>
    </xdr:to>
    <xdr:cxnSp macro="">
      <xdr:nvCxnSpPr>
        <xdr:cNvPr id="36581" name="직선 화살표 연결선 36580">
          <a:extLst>
            <a:ext uri="{FF2B5EF4-FFF2-40B4-BE49-F238E27FC236}">
              <a16:creationId xmlns:a16="http://schemas.microsoft.com/office/drawing/2014/main" id="{BD591A47-1E06-404C-A12F-32CAD2930F05}"/>
            </a:ext>
          </a:extLst>
        </xdr:cNvPr>
        <xdr:cNvCxnSpPr/>
      </xdr:nvCxnSpPr>
      <xdr:spPr>
        <a:xfrm>
          <a:off x="15588343" y="7955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xdr:colOff>
      <xdr:row>34</xdr:row>
      <xdr:rowOff>57150</xdr:rowOff>
    </xdr:from>
    <xdr:to>
      <xdr:col>43</xdr:col>
      <xdr:colOff>63319</xdr:colOff>
      <xdr:row>34</xdr:row>
      <xdr:rowOff>171450</xdr:rowOff>
    </xdr:to>
    <xdr:sp macro="" textlink="">
      <xdr:nvSpPr>
        <xdr:cNvPr id="36582" name="31">
          <a:extLst>
            <a:ext uri="{FF2B5EF4-FFF2-40B4-BE49-F238E27FC236}">
              <a16:creationId xmlns:a16="http://schemas.microsoft.com/office/drawing/2014/main" id="{D59C66DD-D228-4766-968B-19A3DC07E745}"/>
            </a:ext>
          </a:extLst>
        </xdr:cNvPr>
        <xdr:cNvSpPr/>
      </xdr:nvSpPr>
      <xdr:spPr>
        <a:xfrm>
          <a:off x="15567661" y="7669530"/>
          <a:ext cx="642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xdr:colOff>
      <xdr:row>34</xdr:row>
      <xdr:rowOff>114300</xdr:rowOff>
    </xdr:from>
    <xdr:to>
      <xdr:col>39</xdr:col>
      <xdr:colOff>1</xdr:colOff>
      <xdr:row>34</xdr:row>
      <xdr:rowOff>114300</xdr:rowOff>
    </xdr:to>
    <xdr:cxnSp macro="">
      <xdr:nvCxnSpPr>
        <xdr:cNvPr id="36583" name="직선 화살표 연결선 36582">
          <a:extLst>
            <a:ext uri="{FF2B5EF4-FFF2-40B4-BE49-F238E27FC236}">
              <a16:creationId xmlns:a16="http://schemas.microsoft.com/office/drawing/2014/main" id="{284BE59C-4107-4086-A222-652A73D896E5}"/>
            </a:ext>
          </a:extLst>
        </xdr:cNvPr>
        <xdr:cNvCxnSpPr/>
      </xdr:nvCxnSpPr>
      <xdr:spPr>
        <a:xfrm>
          <a:off x="15567661" y="7726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xdr:colOff>
      <xdr:row>33</xdr:row>
      <xdr:rowOff>57150</xdr:rowOff>
    </xdr:from>
    <xdr:to>
      <xdr:col>47</xdr:col>
      <xdr:colOff>104684</xdr:colOff>
      <xdr:row>33</xdr:row>
      <xdr:rowOff>171450</xdr:rowOff>
    </xdr:to>
    <xdr:sp macro="" textlink="">
      <xdr:nvSpPr>
        <xdr:cNvPr id="36584" name="30">
          <a:extLst>
            <a:ext uri="{FF2B5EF4-FFF2-40B4-BE49-F238E27FC236}">
              <a16:creationId xmlns:a16="http://schemas.microsoft.com/office/drawing/2014/main" id="{B8C925C2-3753-44C3-9922-E7454E98353D}"/>
            </a:ext>
          </a:extLst>
        </xdr:cNvPr>
        <xdr:cNvSpPr/>
      </xdr:nvSpPr>
      <xdr:spPr>
        <a:xfrm>
          <a:off x="15567661" y="7440930"/>
          <a:ext cx="1262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xdr:colOff>
      <xdr:row>33</xdr:row>
      <xdr:rowOff>114300</xdr:rowOff>
    </xdr:from>
    <xdr:to>
      <xdr:col>39</xdr:col>
      <xdr:colOff>1</xdr:colOff>
      <xdr:row>33</xdr:row>
      <xdr:rowOff>114300</xdr:rowOff>
    </xdr:to>
    <xdr:cxnSp macro="">
      <xdr:nvCxnSpPr>
        <xdr:cNvPr id="36585" name="직선 화살표 연결선 36584">
          <a:extLst>
            <a:ext uri="{FF2B5EF4-FFF2-40B4-BE49-F238E27FC236}">
              <a16:creationId xmlns:a16="http://schemas.microsoft.com/office/drawing/2014/main" id="{81F71685-D5C6-42AA-9C9C-F9F5A67D94B0}"/>
            </a:ext>
          </a:extLst>
        </xdr:cNvPr>
        <xdr:cNvCxnSpPr/>
      </xdr:nvCxnSpPr>
      <xdr:spPr>
        <a:xfrm>
          <a:off x="15567661" y="7498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32</xdr:row>
      <xdr:rowOff>57150</xdr:rowOff>
    </xdr:from>
    <xdr:to>
      <xdr:col>38</xdr:col>
      <xdr:colOff>104684</xdr:colOff>
      <xdr:row>32</xdr:row>
      <xdr:rowOff>171450</xdr:rowOff>
    </xdr:to>
    <xdr:sp macro="" textlink="">
      <xdr:nvSpPr>
        <xdr:cNvPr id="36586" name="29">
          <a:extLst>
            <a:ext uri="{FF2B5EF4-FFF2-40B4-BE49-F238E27FC236}">
              <a16:creationId xmlns:a16="http://schemas.microsoft.com/office/drawing/2014/main" id="{F0CF2868-2717-403E-A418-020D319D5851}"/>
            </a:ext>
          </a:extLst>
        </xdr:cNvPr>
        <xdr:cNvSpPr/>
      </xdr:nvSpPr>
      <xdr:spPr>
        <a:xfrm>
          <a:off x="15133320" y="72123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32</xdr:row>
      <xdr:rowOff>114300</xdr:rowOff>
    </xdr:from>
    <xdr:to>
      <xdr:col>36</xdr:col>
      <xdr:colOff>0</xdr:colOff>
      <xdr:row>32</xdr:row>
      <xdr:rowOff>114300</xdr:rowOff>
    </xdr:to>
    <xdr:cxnSp macro="">
      <xdr:nvCxnSpPr>
        <xdr:cNvPr id="36587" name="직선 화살표 연결선 36586">
          <a:extLst>
            <a:ext uri="{FF2B5EF4-FFF2-40B4-BE49-F238E27FC236}">
              <a16:creationId xmlns:a16="http://schemas.microsoft.com/office/drawing/2014/main" id="{E4F3D714-61FA-4C89-8C60-E9A55D46EA55}"/>
            </a:ext>
          </a:extLst>
        </xdr:cNvPr>
        <xdr:cNvCxnSpPr/>
      </xdr:nvCxnSpPr>
      <xdr:spPr>
        <a:xfrm>
          <a:off x="15133320" y="7269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31</xdr:row>
      <xdr:rowOff>57150</xdr:rowOff>
    </xdr:from>
    <xdr:to>
      <xdr:col>38</xdr:col>
      <xdr:colOff>104684</xdr:colOff>
      <xdr:row>31</xdr:row>
      <xdr:rowOff>171450</xdr:rowOff>
    </xdr:to>
    <xdr:sp macro="" textlink="">
      <xdr:nvSpPr>
        <xdr:cNvPr id="36588" name="28">
          <a:extLst>
            <a:ext uri="{FF2B5EF4-FFF2-40B4-BE49-F238E27FC236}">
              <a16:creationId xmlns:a16="http://schemas.microsoft.com/office/drawing/2014/main" id="{9770DC14-8420-4D4F-AB71-105A7B896B11}"/>
            </a:ext>
          </a:extLst>
        </xdr:cNvPr>
        <xdr:cNvSpPr/>
      </xdr:nvSpPr>
      <xdr:spPr>
        <a:xfrm>
          <a:off x="15133320" y="69837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31</xdr:row>
      <xdr:rowOff>114300</xdr:rowOff>
    </xdr:from>
    <xdr:to>
      <xdr:col>36</xdr:col>
      <xdr:colOff>0</xdr:colOff>
      <xdr:row>31</xdr:row>
      <xdr:rowOff>114300</xdr:rowOff>
    </xdr:to>
    <xdr:cxnSp macro="">
      <xdr:nvCxnSpPr>
        <xdr:cNvPr id="36589" name="직선 화살표 연결선 36588">
          <a:extLst>
            <a:ext uri="{FF2B5EF4-FFF2-40B4-BE49-F238E27FC236}">
              <a16:creationId xmlns:a16="http://schemas.microsoft.com/office/drawing/2014/main" id="{CBC74F6B-92DA-40CE-8E43-479257F657D1}"/>
            </a:ext>
          </a:extLst>
        </xdr:cNvPr>
        <xdr:cNvCxnSpPr/>
      </xdr:nvCxnSpPr>
      <xdr:spPr>
        <a:xfrm>
          <a:off x="15133320" y="7040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30</xdr:row>
      <xdr:rowOff>57150</xdr:rowOff>
    </xdr:from>
    <xdr:to>
      <xdr:col>38</xdr:col>
      <xdr:colOff>104684</xdr:colOff>
      <xdr:row>30</xdr:row>
      <xdr:rowOff>171450</xdr:rowOff>
    </xdr:to>
    <xdr:sp macro="" textlink="">
      <xdr:nvSpPr>
        <xdr:cNvPr id="36590" name="27">
          <a:extLst>
            <a:ext uri="{FF2B5EF4-FFF2-40B4-BE49-F238E27FC236}">
              <a16:creationId xmlns:a16="http://schemas.microsoft.com/office/drawing/2014/main" id="{BC9D022B-C2CA-42BD-B224-64A3880CF022}"/>
            </a:ext>
          </a:extLst>
        </xdr:cNvPr>
        <xdr:cNvSpPr/>
      </xdr:nvSpPr>
      <xdr:spPr>
        <a:xfrm>
          <a:off x="15133320" y="67551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30</xdr:row>
      <xdr:rowOff>114300</xdr:rowOff>
    </xdr:from>
    <xdr:to>
      <xdr:col>36</xdr:col>
      <xdr:colOff>0</xdr:colOff>
      <xdr:row>30</xdr:row>
      <xdr:rowOff>114300</xdr:rowOff>
    </xdr:to>
    <xdr:cxnSp macro="">
      <xdr:nvCxnSpPr>
        <xdr:cNvPr id="36591" name="직선 화살표 연결선 36590">
          <a:extLst>
            <a:ext uri="{FF2B5EF4-FFF2-40B4-BE49-F238E27FC236}">
              <a16:creationId xmlns:a16="http://schemas.microsoft.com/office/drawing/2014/main" id="{5CE5DB29-5599-40EA-B4DF-47D9F407C104}"/>
            </a:ext>
          </a:extLst>
        </xdr:cNvPr>
        <xdr:cNvCxnSpPr/>
      </xdr:nvCxnSpPr>
      <xdr:spPr>
        <a:xfrm>
          <a:off x="15133320" y="6812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29</xdr:row>
      <xdr:rowOff>57150</xdr:rowOff>
    </xdr:from>
    <xdr:to>
      <xdr:col>38</xdr:col>
      <xdr:colOff>104684</xdr:colOff>
      <xdr:row>29</xdr:row>
      <xdr:rowOff>171450</xdr:rowOff>
    </xdr:to>
    <xdr:sp macro="" textlink="">
      <xdr:nvSpPr>
        <xdr:cNvPr id="36592" name="26">
          <a:extLst>
            <a:ext uri="{FF2B5EF4-FFF2-40B4-BE49-F238E27FC236}">
              <a16:creationId xmlns:a16="http://schemas.microsoft.com/office/drawing/2014/main" id="{C882F75B-6E54-4B2F-B069-7E25D3175482}"/>
            </a:ext>
          </a:extLst>
        </xdr:cNvPr>
        <xdr:cNvSpPr/>
      </xdr:nvSpPr>
      <xdr:spPr>
        <a:xfrm>
          <a:off x="15133320" y="65265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29</xdr:row>
      <xdr:rowOff>114300</xdr:rowOff>
    </xdr:from>
    <xdr:to>
      <xdr:col>36</xdr:col>
      <xdr:colOff>0</xdr:colOff>
      <xdr:row>29</xdr:row>
      <xdr:rowOff>114300</xdr:rowOff>
    </xdr:to>
    <xdr:cxnSp macro="">
      <xdr:nvCxnSpPr>
        <xdr:cNvPr id="36593" name="직선 화살표 연결선 36592">
          <a:extLst>
            <a:ext uri="{FF2B5EF4-FFF2-40B4-BE49-F238E27FC236}">
              <a16:creationId xmlns:a16="http://schemas.microsoft.com/office/drawing/2014/main" id="{EE3BE650-A220-4860-BED0-879841041B0C}"/>
            </a:ext>
          </a:extLst>
        </xdr:cNvPr>
        <xdr:cNvCxnSpPr/>
      </xdr:nvCxnSpPr>
      <xdr:spPr>
        <a:xfrm>
          <a:off x="15133320" y="6583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28</xdr:row>
      <xdr:rowOff>57150</xdr:rowOff>
    </xdr:from>
    <xdr:to>
      <xdr:col>37</xdr:col>
      <xdr:colOff>104684</xdr:colOff>
      <xdr:row>28</xdr:row>
      <xdr:rowOff>171450</xdr:rowOff>
    </xdr:to>
    <xdr:sp macro="" textlink="">
      <xdr:nvSpPr>
        <xdr:cNvPr id="36594" name="25">
          <a:extLst>
            <a:ext uri="{FF2B5EF4-FFF2-40B4-BE49-F238E27FC236}">
              <a16:creationId xmlns:a16="http://schemas.microsoft.com/office/drawing/2014/main" id="{5AA92908-3989-4B92-9FFA-04223594815A}"/>
            </a:ext>
          </a:extLst>
        </xdr:cNvPr>
        <xdr:cNvSpPr/>
      </xdr:nvSpPr>
      <xdr:spPr>
        <a:xfrm>
          <a:off x="15278100" y="62979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28</xdr:row>
      <xdr:rowOff>114300</xdr:rowOff>
    </xdr:from>
    <xdr:to>
      <xdr:col>37</xdr:col>
      <xdr:colOff>0</xdr:colOff>
      <xdr:row>28</xdr:row>
      <xdr:rowOff>114300</xdr:rowOff>
    </xdr:to>
    <xdr:cxnSp macro="">
      <xdr:nvCxnSpPr>
        <xdr:cNvPr id="36595" name="직선 화살표 연결선 36594">
          <a:extLst>
            <a:ext uri="{FF2B5EF4-FFF2-40B4-BE49-F238E27FC236}">
              <a16:creationId xmlns:a16="http://schemas.microsoft.com/office/drawing/2014/main" id="{47DEA15E-CFD2-46AE-86FB-901E2D353053}"/>
            </a:ext>
          </a:extLst>
        </xdr:cNvPr>
        <xdr:cNvCxnSpPr/>
      </xdr:nvCxnSpPr>
      <xdr:spPr>
        <a:xfrm>
          <a:off x="15278100" y="6355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27</xdr:row>
      <xdr:rowOff>57150</xdr:rowOff>
    </xdr:from>
    <xdr:to>
      <xdr:col>36</xdr:col>
      <xdr:colOff>21952</xdr:colOff>
      <xdr:row>27</xdr:row>
      <xdr:rowOff>171450</xdr:rowOff>
    </xdr:to>
    <xdr:sp macro="" textlink="">
      <xdr:nvSpPr>
        <xdr:cNvPr id="36596" name="24">
          <a:extLst>
            <a:ext uri="{FF2B5EF4-FFF2-40B4-BE49-F238E27FC236}">
              <a16:creationId xmlns:a16="http://schemas.microsoft.com/office/drawing/2014/main" id="{BF92551A-ABF2-45D5-A15F-AC148A80B39B}"/>
            </a:ext>
          </a:extLst>
        </xdr:cNvPr>
        <xdr:cNvSpPr/>
      </xdr:nvSpPr>
      <xdr:spPr>
        <a:xfrm>
          <a:off x="15133320" y="6069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27</xdr:row>
      <xdr:rowOff>114300</xdr:rowOff>
    </xdr:from>
    <xdr:to>
      <xdr:col>36</xdr:col>
      <xdr:colOff>20682</xdr:colOff>
      <xdr:row>27</xdr:row>
      <xdr:rowOff>114300</xdr:rowOff>
    </xdr:to>
    <xdr:cxnSp macro="">
      <xdr:nvCxnSpPr>
        <xdr:cNvPr id="36597" name="직선 화살표 연결선 36596">
          <a:extLst>
            <a:ext uri="{FF2B5EF4-FFF2-40B4-BE49-F238E27FC236}">
              <a16:creationId xmlns:a16="http://schemas.microsoft.com/office/drawing/2014/main" id="{C1960A94-CCF1-496C-A3B2-2CAE0ADB2FB8}"/>
            </a:ext>
          </a:extLst>
        </xdr:cNvPr>
        <xdr:cNvCxnSpPr/>
      </xdr:nvCxnSpPr>
      <xdr:spPr>
        <a:xfrm>
          <a:off x="15133320" y="61264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26</xdr:row>
      <xdr:rowOff>57150</xdr:rowOff>
    </xdr:from>
    <xdr:to>
      <xdr:col>35</xdr:col>
      <xdr:colOff>84000</xdr:colOff>
      <xdr:row>26</xdr:row>
      <xdr:rowOff>171450</xdr:rowOff>
    </xdr:to>
    <xdr:sp macro="" textlink="">
      <xdr:nvSpPr>
        <xdr:cNvPr id="36598" name="23">
          <a:extLst>
            <a:ext uri="{FF2B5EF4-FFF2-40B4-BE49-F238E27FC236}">
              <a16:creationId xmlns:a16="http://schemas.microsoft.com/office/drawing/2014/main" id="{9ABE1CC1-CF9C-4EAD-B45D-143B455F5FCD}"/>
            </a:ext>
          </a:extLst>
        </xdr:cNvPr>
        <xdr:cNvSpPr/>
      </xdr:nvSpPr>
      <xdr:spPr>
        <a:xfrm>
          <a:off x="15050588" y="5840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26</xdr:row>
      <xdr:rowOff>114300</xdr:rowOff>
    </xdr:from>
    <xdr:to>
      <xdr:col>35</xdr:col>
      <xdr:colOff>82731</xdr:colOff>
      <xdr:row>26</xdr:row>
      <xdr:rowOff>114300</xdr:rowOff>
    </xdr:to>
    <xdr:cxnSp macro="">
      <xdr:nvCxnSpPr>
        <xdr:cNvPr id="36599" name="직선 화살표 연결선 36598">
          <a:extLst>
            <a:ext uri="{FF2B5EF4-FFF2-40B4-BE49-F238E27FC236}">
              <a16:creationId xmlns:a16="http://schemas.microsoft.com/office/drawing/2014/main" id="{B464BBF3-8BD4-427E-8F50-6D6622926754}"/>
            </a:ext>
          </a:extLst>
        </xdr:cNvPr>
        <xdr:cNvCxnSpPr/>
      </xdr:nvCxnSpPr>
      <xdr:spPr>
        <a:xfrm>
          <a:off x="15050588" y="58978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144779</xdr:colOff>
      <xdr:row>25</xdr:row>
      <xdr:rowOff>57150</xdr:rowOff>
    </xdr:from>
    <xdr:to>
      <xdr:col>35</xdr:col>
      <xdr:colOff>21953</xdr:colOff>
      <xdr:row>25</xdr:row>
      <xdr:rowOff>171450</xdr:rowOff>
    </xdr:to>
    <xdr:sp macro="" textlink="">
      <xdr:nvSpPr>
        <xdr:cNvPr id="36600" name="22">
          <a:extLst>
            <a:ext uri="{FF2B5EF4-FFF2-40B4-BE49-F238E27FC236}">
              <a16:creationId xmlns:a16="http://schemas.microsoft.com/office/drawing/2014/main" id="{7CA86084-A8D6-44D7-B4A4-09DEC741F4CB}"/>
            </a:ext>
          </a:extLst>
        </xdr:cNvPr>
        <xdr:cNvSpPr/>
      </xdr:nvSpPr>
      <xdr:spPr>
        <a:xfrm>
          <a:off x="14988539" y="56121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144779</xdr:colOff>
      <xdr:row>25</xdr:row>
      <xdr:rowOff>114300</xdr:rowOff>
    </xdr:from>
    <xdr:to>
      <xdr:col>35</xdr:col>
      <xdr:colOff>20683</xdr:colOff>
      <xdr:row>25</xdr:row>
      <xdr:rowOff>114300</xdr:rowOff>
    </xdr:to>
    <xdr:cxnSp macro="">
      <xdr:nvCxnSpPr>
        <xdr:cNvPr id="36601" name="직선 화살표 연결선 36600">
          <a:extLst>
            <a:ext uri="{FF2B5EF4-FFF2-40B4-BE49-F238E27FC236}">
              <a16:creationId xmlns:a16="http://schemas.microsoft.com/office/drawing/2014/main" id="{DF50EC4A-FE5C-4423-9C7A-7F65E4665097}"/>
            </a:ext>
          </a:extLst>
        </xdr:cNvPr>
        <xdr:cNvCxnSpPr/>
      </xdr:nvCxnSpPr>
      <xdr:spPr>
        <a:xfrm>
          <a:off x="14988539" y="56692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24</xdr:row>
      <xdr:rowOff>57150</xdr:rowOff>
    </xdr:from>
    <xdr:to>
      <xdr:col>34</xdr:col>
      <xdr:colOff>104684</xdr:colOff>
      <xdr:row>24</xdr:row>
      <xdr:rowOff>171450</xdr:rowOff>
    </xdr:to>
    <xdr:sp macro="" textlink="">
      <xdr:nvSpPr>
        <xdr:cNvPr id="36602" name="21">
          <a:extLst>
            <a:ext uri="{FF2B5EF4-FFF2-40B4-BE49-F238E27FC236}">
              <a16:creationId xmlns:a16="http://schemas.microsoft.com/office/drawing/2014/main" id="{45F026E0-88F8-4B51-9EB0-7449788DCF55}"/>
            </a:ext>
          </a:extLst>
        </xdr:cNvPr>
        <xdr:cNvSpPr/>
      </xdr:nvSpPr>
      <xdr:spPr>
        <a:xfrm>
          <a:off x="14926492" y="53835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24</xdr:row>
      <xdr:rowOff>114300</xdr:rowOff>
    </xdr:from>
    <xdr:to>
      <xdr:col>34</xdr:col>
      <xdr:colOff>103414</xdr:colOff>
      <xdr:row>24</xdr:row>
      <xdr:rowOff>114300</xdr:rowOff>
    </xdr:to>
    <xdr:cxnSp macro="">
      <xdr:nvCxnSpPr>
        <xdr:cNvPr id="36603" name="직선 화살표 연결선 36602">
          <a:extLst>
            <a:ext uri="{FF2B5EF4-FFF2-40B4-BE49-F238E27FC236}">
              <a16:creationId xmlns:a16="http://schemas.microsoft.com/office/drawing/2014/main" id="{8247C157-59EE-415F-A1B6-9EF912D099D2}"/>
            </a:ext>
          </a:extLst>
        </xdr:cNvPr>
        <xdr:cNvCxnSpPr/>
      </xdr:nvCxnSpPr>
      <xdr:spPr>
        <a:xfrm>
          <a:off x="14926492" y="54406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62048</xdr:colOff>
      <xdr:row>23</xdr:row>
      <xdr:rowOff>57150</xdr:rowOff>
    </xdr:from>
    <xdr:to>
      <xdr:col>34</xdr:col>
      <xdr:colOff>84002</xdr:colOff>
      <xdr:row>23</xdr:row>
      <xdr:rowOff>171450</xdr:rowOff>
    </xdr:to>
    <xdr:sp macro="" textlink="">
      <xdr:nvSpPr>
        <xdr:cNvPr id="36604" name="0">
          <a:extLst>
            <a:ext uri="{FF2B5EF4-FFF2-40B4-BE49-F238E27FC236}">
              <a16:creationId xmlns:a16="http://schemas.microsoft.com/office/drawing/2014/main" id="{271EA7E0-6B42-400C-A2AA-8DD1B2658C4F}"/>
            </a:ext>
          </a:extLst>
        </xdr:cNvPr>
        <xdr:cNvSpPr/>
      </xdr:nvSpPr>
      <xdr:spPr>
        <a:xfrm>
          <a:off x="14905808" y="51549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62048</xdr:colOff>
      <xdr:row>23</xdr:row>
      <xdr:rowOff>114300</xdr:rowOff>
    </xdr:from>
    <xdr:to>
      <xdr:col>34</xdr:col>
      <xdr:colOff>82732</xdr:colOff>
      <xdr:row>23</xdr:row>
      <xdr:rowOff>114300</xdr:rowOff>
    </xdr:to>
    <xdr:cxnSp macro="">
      <xdr:nvCxnSpPr>
        <xdr:cNvPr id="36605" name="직선 화살표 연결선 36604">
          <a:extLst>
            <a:ext uri="{FF2B5EF4-FFF2-40B4-BE49-F238E27FC236}">
              <a16:creationId xmlns:a16="http://schemas.microsoft.com/office/drawing/2014/main" id="{0468A754-C68D-406A-A785-D11BD507EA2C}"/>
            </a:ext>
          </a:extLst>
        </xdr:cNvPr>
        <xdr:cNvCxnSpPr/>
      </xdr:nvCxnSpPr>
      <xdr:spPr>
        <a:xfrm>
          <a:off x="14905808" y="52120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22</xdr:row>
      <xdr:rowOff>57150</xdr:rowOff>
    </xdr:from>
    <xdr:to>
      <xdr:col>34</xdr:col>
      <xdr:colOff>63318</xdr:colOff>
      <xdr:row>22</xdr:row>
      <xdr:rowOff>171450</xdr:rowOff>
    </xdr:to>
    <xdr:sp macro="" textlink="">
      <xdr:nvSpPr>
        <xdr:cNvPr id="36606" name="19">
          <a:extLst>
            <a:ext uri="{FF2B5EF4-FFF2-40B4-BE49-F238E27FC236}">
              <a16:creationId xmlns:a16="http://schemas.microsoft.com/office/drawing/2014/main" id="{554C6577-CFC1-4898-ACE0-6C3E4B076521}"/>
            </a:ext>
          </a:extLst>
        </xdr:cNvPr>
        <xdr:cNvSpPr/>
      </xdr:nvSpPr>
      <xdr:spPr>
        <a:xfrm>
          <a:off x="14885126" y="4926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22</xdr:row>
      <xdr:rowOff>114300</xdr:rowOff>
    </xdr:from>
    <xdr:to>
      <xdr:col>34</xdr:col>
      <xdr:colOff>62048</xdr:colOff>
      <xdr:row>22</xdr:row>
      <xdr:rowOff>114300</xdr:rowOff>
    </xdr:to>
    <xdr:cxnSp macro="">
      <xdr:nvCxnSpPr>
        <xdr:cNvPr id="36607" name="직선 화살표 연결선 36606">
          <a:extLst>
            <a:ext uri="{FF2B5EF4-FFF2-40B4-BE49-F238E27FC236}">
              <a16:creationId xmlns:a16="http://schemas.microsoft.com/office/drawing/2014/main" id="{8210626E-AFC5-4797-A4FB-DEE99F0EF968}"/>
            </a:ext>
          </a:extLst>
        </xdr:cNvPr>
        <xdr:cNvCxnSpPr/>
      </xdr:nvCxnSpPr>
      <xdr:spPr>
        <a:xfrm>
          <a:off x="14885126" y="49834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21</xdr:row>
      <xdr:rowOff>57150</xdr:rowOff>
    </xdr:from>
    <xdr:to>
      <xdr:col>34</xdr:col>
      <xdr:colOff>42635</xdr:colOff>
      <xdr:row>21</xdr:row>
      <xdr:rowOff>171450</xdr:rowOff>
    </xdr:to>
    <xdr:sp macro="" textlink="">
      <xdr:nvSpPr>
        <xdr:cNvPr id="36608" name="18">
          <a:extLst>
            <a:ext uri="{FF2B5EF4-FFF2-40B4-BE49-F238E27FC236}">
              <a16:creationId xmlns:a16="http://schemas.microsoft.com/office/drawing/2014/main" id="{9A746AAE-89EA-43BC-9505-E9964F037AA0}"/>
            </a:ext>
          </a:extLst>
        </xdr:cNvPr>
        <xdr:cNvSpPr/>
      </xdr:nvSpPr>
      <xdr:spPr>
        <a:xfrm>
          <a:off x="14864443" y="4697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21</xdr:row>
      <xdr:rowOff>114300</xdr:rowOff>
    </xdr:from>
    <xdr:to>
      <xdr:col>34</xdr:col>
      <xdr:colOff>41366</xdr:colOff>
      <xdr:row>21</xdr:row>
      <xdr:rowOff>114300</xdr:rowOff>
    </xdr:to>
    <xdr:cxnSp macro="">
      <xdr:nvCxnSpPr>
        <xdr:cNvPr id="36609" name="직선 화살표 연결선 36608">
          <a:extLst>
            <a:ext uri="{FF2B5EF4-FFF2-40B4-BE49-F238E27FC236}">
              <a16:creationId xmlns:a16="http://schemas.microsoft.com/office/drawing/2014/main" id="{8735E9CC-18FD-4482-9367-224469A2D64B}"/>
            </a:ext>
          </a:extLst>
        </xdr:cNvPr>
        <xdr:cNvCxnSpPr/>
      </xdr:nvCxnSpPr>
      <xdr:spPr>
        <a:xfrm>
          <a:off x="14864443" y="47548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20</xdr:row>
      <xdr:rowOff>57150</xdr:rowOff>
    </xdr:from>
    <xdr:to>
      <xdr:col>33</xdr:col>
      <xdr:colOff>84001</xdr:colOff>
      <xdr:row>20</xdr:row>
      <xdr:rowOff>171450</xdr:rowOff>
    </xdr:to>
    <xdr:sp macro="" textlink="">
      <xdr:nvSpPr>
        <xdr:cNvPr id="36610" name="17">
          <a:extLst>
            <a:ext uri="{FF2B5EF4-FFF2-40B4-BE49-F238E27FC236}">
              <a16:creationId xmlns:a16="http://schemas.microsoft.com/office/drawing/2014/main" id="{3ACBD2A8-654B-4E3F-9292-6D432F5DD7AF}"/>
            </a:ext>
          </a:extLst>
        </xdr:cNvPr>
        <xdr:cNvSpPr/>
      </xdr:nvSpPr>
      <xdr:spPr>
        <a:xfrm>
          <a:off x="14740345" y="44691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20</xdr:row>
      <xdr:rowOff>114300</xdr:rowOff>
    </xdr:from>
    <xdr:to>
      <xdr:col>33</xdr:col>
      <xdr:colOff>82732</xdr:colOff>
      <xdr:row>20</xdr:row>
      <xdr:rowOff>114300</xdr:rowOff>
    </xdr:to>
    <xdr:cxnSp macro="">
      <xdr:nvCxnSpPr>
        <xdr:cNvPr id="36611" name="직선 화살표 연결선 36610">
          <a:extLst>
            <a:ext uri="{FF2B5EF4-FFF2-40B4-BE49-F238E27FC236}">
              <a16:creationId xmlns:a16="http://schemas.microsoft.com/office/drawing/2014/main" id="{217A2B14-425B-4D9F-AD32-7FC57B1A3AC3}"/>
            </a:ext>
          </a:extLst>
        </xdr:cNvPr>
        <xdr:cNvCxnSpPr/>
      </xdr:nvCxnSpPr>
      <xdr:spPr>
        <a:xfrm>
          <a:off x="14740345" y="4526280"/>
          <a:ext cx="413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19</xdr:row>
      <xdr:rowOff>57150</xdr:rowOff>
    </xdr:from>
    <xdr:to>
      <xdr:col>38</xdr:col>
      <xdr:colOff>104684</xdr:colOff>
      <xdr:row>19</xdr:row>
      <xdr:rowOff>171450</xdr:rowOff>
    </xdr:to>
    <xdr:sp macro="" textlink="">
      <xdr:nvSpPr>
        <xdr:cNvPr id="36612" name="16">
          <a:extLst>
            <a:ext uri="{FF2B5EF4-FFF2-40B4-BE49-F238E27FC236}">
              <a16:creationId xmlns:a16="http://schemas.microsoft.com/office/drawing/2014/main" id="{BE805F12-49FD-4888-A8E5-5DCBDE48F0E6}"/>
            </a:ext>
          </a:extLst>
        </xdr:cNvPr>
        <xdr:cNvSpPr/>
      </xdr:nvSpPr>
      <xdr:spPr>
        <a:xfrm>
          <a:off x="14740345" y="4240530"/>
          <a:ext cx="7872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19</xdr:row>
      <xdr:rowOff>114300</xdr:rowOff>
    </xdr:from>
    <xdr:to>
      <xdr:col>35</xdr:col>
      <xdr:colOff>36569</xdr:colOff>
      <xdr:row>19</xdr:row>
      <xdr:rowOff>114300</xdr:rowOff>
    </xdr:to>
    <xdr:cxnSp macro="">
      <xdr:nvCxnSpPr>
        <xdr:cNvPr id="36613" name="직선 화살표 연결선 36612">
          <a:extLst>
            <a:ext uri="{FF2B5EF4-FFF2-40B4-BE49-F238E27FC236}">
              <a16:creationId xmlns:a16="http://schemas.microsoft.com/office/drawing/2014/main" id="{AF0557EE-23BF-4598-B0CE-0F12EFDFD302}"/>
            </a:ext>
          </a:extLst>
        </xdr:cNvPr>
        <xdr:cNvCxnSpPr/>
      </xdr:nvCxnSpPr>
      <xdr:spPr>
        <a:xfrm>
          <a:off x="14740345" y="4297680"/>
          <a:ext cx="2847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18</xdr:row>
      <xdr:rowOff>57150</xdr:rowOff>
    </xdr:from>
    <xdr:to>
      <xdr:col>38</xdr:col>
      <xdr:colOff>104684</xdr:colOff>
      <xdr:row>18</xdr:row>
      <xdr:rowOff>171450</xdr:rowOff>
    </xdr:to>
    <xdr:sp macro="" textlink="">
      <xdr:nvSpPr>
        <xdr:cNvPr id="36614" name="15">
          <a:extLst>
            <a:ext uri="{FF2B5EF4-FFF2-40B4-BE49-F238E27FC236}">
              <a16:creationId xmlns:a16="http://schemas.microsoft.com/office/drawing/2014/main" id="{252CA194-6807-4101-AFC1-0BCD9C0DF218}"/>
            </a:ext>
          </a:extLst>
        </xdr:cNvPr>
        <xdr:cNvSpPr/>
      </xdr:nvSpPr>
      <xdr:spPr>
        <a:xfrm>
          <a:off x="14719663" y="4011930"/>
          <a:ext cx="8079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18</xdr:row>
      <xdr:rowOff>114300</xdr:rowOff>
    </xdr:from>
    <xdr:to>
      <xdr:col>33</xdr:col>
      <xdr:colOff>20683</xdr:colOff>
      <xdr:row>18</xdr:row>
      <xdr:rowOff>114300</xdr:rowOff>
    </xdr:to>
    <xdr:cxnSp macro="">
      <xdr:nvCxnSpPr>
        <xdr:cNvPr id="36615" name="직선 화살표 연결선 36614">
          <a:extLst>
            <a:ext uri="{FF2B5EF4-FFF2-40B4-BE49-F238E27FC236}">
              <a16:creationId xmlns:a16="http://schemas.microsoft.com/office/drawing/2014/main" id="{2E67D929-BC80-4EB3-B8F9-81B80AF4F3FC}"/>
            </a:ext>
          </a:extLst>
        </xdr:cNvPr>
        <xdr:cNvCxnSpPr/>
      </xdr:nvCxnSpPr>
      <xdr:spPr>
        <a:xfrm>
          <a:off x="14719663" y="4069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17</xdr:row>
      <xdr:rowOff>57150</xdr:rowOff>
    </xdr:from>
    <xdr:to>
      <xdr:col>38</xdr:col>
      <xdr:colOff>104684</xdr:colOff>
      <xdr:row>17</xdr:row>
      <xdr:rowOff>171450</xdr:rowOff>
    </xdr:to>
    <xdr:sp macro="" textlink="">
      <xdr:nvSpPr>
        <xdr:cNvPr id="36616" name="14">
          <a:extLst>
            <a:ext uri="{FF2B5EF4-FFF2-40B4-BE49-F238E27FC236}">
              <a16:creationId xmlns:a16="http://schemas.microsoft.com/office/drawing/2014/main" id="{AA7853BC-154D-49C9-BE0A-619677E1B986}"/>
            </a:ext>
          </a:extLst>
        </xdr:cNvPr>
        <xdr:cNvSpPr/>
      </xdr:nvSpPr>
      <xdr:spPr>
        <a:xfrm>
          <a:off x="14719663" y="3783330"/>
          <a:ext cx="807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17</xdr:row>
      <xdr:rowOff>114300</xdr:rowOff>
    </xdr:from>
    <xdr:to>
      <xdr:col>34</xdr:col>
      <xdr:colOff>60910</xdr:colOff>
      <xdr:row>17</xdr:row>
      <xdr:rowOff>114300</xdr:rowOff>
    </xdr:to>
    <xdr:cxnSp macro="">
      <xdr:nvCxnSpPr>
        <xdr:cNvPr id="36617" name="직선 화살표 연결선 36616">
          <a:extLst>
            <a:ext uri="{FF2B5EF4-FFF2-40B4-BE49-F238E27FC236}">
              <a16:creationId xmlns:a16="http://schemas.microsoft.com/office/drawing/2014/main" id="{5DF75777-19FB-46C9-B995-C651E0819A9C}"/>
            </a:ext>
          </a:extLst>
        </xdr:cNvPr>
        <xdr:cNvCxnSpPr/>
      </xdr:nvCxnSpPr>
      <xdr:spPr>
        <a:xfrm>
          <a:off x="14719663" y="3840480"/>
          <a:ext cx="1850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16</xdr:row>
      <xdr:rowOff>57150</xdr:rowOff>
    </xdr:from>
    <xdr:to>
      <xdr:col>95</xdr:col>
      <xdr:colOff>84000</xdr:colOff>
      <xdr:row>16</xdr:row>
      <xdr:rowOff>171450</xdr:rowOff>
    </xdr:to>
    <xdr:sp macro="" textlink="">
      <xdr:nvSpPr>
        <xdr:cNvPr id="36618" name="13">
          <a:extLst>
            <a:ext uri="{FF2B5EF4-FFF2-40B4-BE49-F238E27FC236}">
              <a16:creationId xmlns:a16="http://schemas.microsoft.com/office/drawing/2014/main" id="{485216E3-5565-44B9-9927-28E33B67C448}"/>
            </a:ext>
          </a:extLst>
        </xdr:cNvPr>
        <xdr:cNvSpPr/>
      </xdr:nvSpPr>
      <xdr:spPr>
        <a:xfrm>
          <a:off x="14719663" y="3554730"/>
          <a:ext cx="90396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16</xdr:row>
      <xdr:rowOff>114300</xdr:rowOff>
    </xdr:from>
    <xdr:to>
      <xdr:col>34</xdr:col>
      <xdr:colOff>89073</xdr:colOff>
      <xdr:row>16</xdr:row>
      <xdr:rowOff>114300</xdr:rowOff>
    </xdr:to>
    <xdr:cxnSp macro="">
      <xdr:nvCxnSpPr>
        <xdr:cNvPr id="36619" name="직선 화살표 연결선 36618">
          <a:extLst>
            <a:ext uri="{FF2B5EF4-FFF2-40B4-BE49-F238E27FC236}">
              <a16:creationId xmlns:a16="http://schemas.microsoft.com/office/drawing/2014/main" id="{038ED9BF-2285-4872-9DE1-186E1474BDA1}"/>
            </a:ext>
          </a:extLst>
        </xdr:cNvPr>
        <xdr:cNvCxnSpPr/>
      </xdr:nvCxnSpPr>
      <xdr:spPr>
        <a:xfrm>
          <a:off x="14719663" y="3611880"/>
          <a:ext cx="2131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1</xdr:colOff>
      <xdr:row>14</xdr:row>
      <xdr:rowOff>57150</xdr:rowOff>
    </xdr:from>
    <xdr:to>
      <xdr:col>86</xdr:col>
      <xdr:colOff>104683</xdr:colOff>
      <xdr:row>14</xdr:row>
      <xdr:rowOff>171450</xdr:rowOff>
    </xdr:to>
    <xdr:sp macro="" textlink="">
      <xdr:nvSpPr>
        <xdr:cNvPr id="36620" name="0">
          <a:extLst>
            <a:ext uri="{FF2B5EF4-FFF2-40B4-BE49-F238E27FC236}">
              <a16:creationId xmlns:a16="http://schemas.microsoft.com/office/drawing/2014/main" id="{ACDFF30B-9284-4C5D-BF3E-4EDA5937EDB3}"/>
            </a:ext>
          </a:extLst>
        </xdr:cNvPr>
        <xdr:cNvSpPr/>
      </xdr:nvSpPr>
      <xdr:spPr>
        <a:xfrm>
          <a:off x="22082761" y="3097530"/>
          <a:ext cx="394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1</xdr:colOff>
      <xdr:row>14</xdr:row>
      <xdr:rowOff>114300</xdr:rowOff>
    </xdr:from>
    <xdr:to>
      <xdr:col>84</xdr:col>
      <xdr:colOff>1</xdr:colOff>
      <xdr:row>14</xdr:row>
      <xdr:rowOff>114300</xdr:rowOff>
    </xdr:to>
    <xdr:cxnSp macro="">
      <xdr:nvCxnSpPr>
        <xdr:cNvPr id="36621" name="직선 화살표 연결선 36620">
          <a:extLst>
            <a:ext uri="{FF2B5EF4-FFF2-40B4-BE49-F238E27FC236}">
              <a16:creationId xmlns:a16="http://schemas.microsoft.com/office/drawing/2014/main" id="{FEEE4FE5-FEFC-41F9-AC36-6F9FC1220999}"/>
            </a:ext>
          </a:extLst>
        </xdr:cNvPr>
        <xdr:cNvCxnSpPr/>
      </xdr:nvCxnSpPr>
      <xdr:spPr>
        <a:xfrm>
          <a:off x="22082761" y="3154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82731</xdr:colOff>
      <xdr:row>13</xdr:row>
      <xdr:rowOff>57150</xdr:rowOff>
    </xdr:from>
    <xdr:to>
      <xdr:col>86</xdr:col>
      <xdr:colOff>64951</xdr:colOff>
      <xdr:row>13</xdr:row>
      <xdr:rowOff>184150</xdr:rowOff>
    </xdr:to>
    <xdr:sp macro="" textlink="">
      <xdr:nvSpPr>
        <xdr:cNvPr id="36622" name="다이아몬드 36621">
          <a:extLst>
            <a:ext uri="{FF2B5EF4-FFF2-40B4-BE49-F238E27FC236}">
              <a16:creationId xmlns:a16="http://schemas.microsoft.com/office/drawing/2014/main" id="{E2A5B7D7-90E1-4695-845E-FCD1AACDEC5A}"/>
            </a:ext>
          </a:extLst>
        </xdr:cNvPr>
        <xdr:cNvSpPr/>
      </xdr:nvSpPr>
      <xdr:spPr>
        <a:xfrm>
          <a:off x="22310271" y="286893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1</xdr:colOff>
      <xdr:row>12</xdr:row>
      <xdr:rowOff>57150</xdr:rowOff>
    </xdr:from>
    <xdr:to>
      <xdr:col>86</xdr:col>
      <xdr:colOff>104683</xdr:colOff>
      <xdr:row>12</xdr:row>
      <xdr:rowOff>171450</xdr:rowOff>
    </xdr:to>
    <xdr:sp macro="" textlink="">
      <xdr:nvSpPr>
        <xdr:cNvPr id="36623" name="9">
          <a:extLst>
            <a:ext uri="{FF2B5EF4-FFF2-40B4-BE49-F238E27FC236}">
              <a16:creationId xmlns:a16="http://schemas.microsoft.com/office/drawing/2014/main" id="{5628D6EA-79F7-4F9C-BD53-E258A7889A25}"/>
            </a:ext>
          </a:extLst>
        </xdr:cNvPr>
        <xdr:cNvSpPr/>
      </xdr:nvSpPr>
      <xdr:spPr>
        <a:xfrm>
          <a:off x="22082761" y="2640330"/>
          <a:ext cx="3942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1</xdr:colOff>
      <xdr:row>12</xdr:row>
      <xdr:rowOff>114300</xdr:rowOff>
    </xdr:from>
    <xdr:to>
      <xdr:col>84</xdr:col>
      <xdr:colOff>1</xdr:colOff>
      <xdr:row>12</xdr:row>
      <xdr:rowOff>114300</xdr:rowOff>
    </xdr:to>
    <xdr:cxnSp macro="">
      <xdr:nvCxnSpPr>
        <xdr:cNvPr id="36624" name="직선 화살표 연결선 36623">
          <a:extLst>
            <a:ext uri="{FF2B5EF4-FFF2-40B4-BE49-F238E27FC236}">
              <a16:creationId xmlns:a16="http://schemas.microsoft.com/office/drawing/2014/main" id="{5A8A65FD-755A-44C1-9A9F-AC0F767747B7}"/>
            </a:ext>
          </a:extLst>
        </xdr:cNvPr>
        <xdr:cNvCxnSpPr/>
      </xdr:nvCxnSpPr>
      <xdr:spPr>
        <a:xfrm>
          <a:off x="22082761" y="2697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82732</xdr:colOff>
      <xdr:row>11</xdr:row>
      <xdr:rowOff>57150</xdr:rowOff>
    </xdr:from>
    <xdr:to>
      <xdr:col>64</xdr:col>
      <xdr:colOff>64952</xdr:colOff>
      <xdr:row>11</xdr:row>
      <xdr:rowOff>184150</xdr:rowOff>
    </xdr:to>
    <xdr:sp macro="" textlink="">
      <xdr:nvSpPr>
        <xdr:cNvPr id="36625" name="다이아몬드 36624">
          <a:extLst>
            <a:ext uri="{FF2B5EF4-FFF2-40B4-BE49-F238E27FC236}">
              <a16:creationId xmlns:a16="http://schemas.microsoft.com/office/drawing/2014/main" id="{EB1E14EF-2637-4605-9436-72378178B3B0}"/>
            </a:ext>
          </a:extLst>
        </xdr:cNvPr>
        <xdr:cNvSpPr/>
      </xdr:nvSpPr>
      <xdr:spPr>
        <a:xfrm>
          <a:off x="19125112" y="241173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82732</xdr:colOff>
      <xdr:row>10</xdr:row>
      <xdr:rowOff>57150</xdr:rowOff>
    </xdr:from>
    <xdr:to>
      <xdr:col>63</xdr:col>
      <xdr:colOff>104684</xdr:colOff>
      <xdr:row>10</xdr:row>
      <xdr:rowOff>171450</xdr:rowOff>
    </xdr:to>
    <xdr:sp macro="" textlink="">
      <xdr:nvSpPr>
        <xdr:cNvPr id="36626" name="7">
          <a:extLst>
            <a:ext uri="{FF2B5EF4-FFF2-40B4-BE49-F238E27FC236}">
              <a16:creationId xmlns:a16="http://schemas.microsoft.com/office/drawing/2014/main" id="{C47F11F5-FD70-473C-A277-5E9986674F47}"/>
            </a:ext>
          </a:extLst>
        </xdr:cNvPr>
        <xdr:cNvSpPr/>
      </xdr:nvSpPr>
      <xdr:spPr>
        <a:xfrm>
          <a:off x="19125112" y="21831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82732</xdr:colOff>
      <xdr:row>10</xdr:row>
      <xdr:rowOff>114300</xdr:rowOff>
    </xdr:from>
    <xdr:to>
      <xdr:col>63</xdr:col>
      <xdr:colOff>82732</xdr:colOff>
      <xdr:row>10</xdr:row>
      <xdr:rowOff>114300</xdr:rowOff>
    </xdr:to>
    <xdr:cxnSp macro="">
      <xdr:nvCxnSpPr>
        <xdr:cNvPr id="36627" name="직선 화살표 연결선 36626">
          <a:extLst>
            <a:ext uri="{FF2B5EF4-FFF2-40B4-BE49-F238E27FC236}">
              <a16:creationId xmlns:a16="http://schemas.microsoft.com/office/drawing/2014/main" id="{8C2F9225-9B66-46BB-8FB7-32034758E276}"/>
            </a:ext>
          </a:extLst>
        </xdr:cNvPr>
        <xdr:cNvCxnSpPr/>
      </xdr:nvCxnSpPr>
      <xdr:spPr>
        <a:xfrm>
          <a:off x="19125112" y="2240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9</xdr:row>
      <xdr:rowOff>57150</xdr:rowOff>
    </xdr:from>
    <xdr:to>
      <xdr:col>34</xdr:col>
      <xdr:colOff>64952</xdr:colOff>
      <xdr:row>9</xdr:row>
      <xdr:rowOff>184150</xdr:rowOff>
    </xdr:to>
    <xdr:sp macro="" textlink="">
      <xdr:nvSpPr>
        <xdr:cNvPr id="36628" name="다이아몬드 36627">
          <a:extLst>
            <a:ext uri="{FF2B5EF4-FFF2-40B4-BE49-F238E27FC236}">
              <a16:creationId xmlns:a16="http://schemas.microsoft.com/office/drawing/2014/main" id="{D353C907-F464-44AC-AA0B-72C9428082C7}"/>
            </a:ext>
          </a:extLst>
        </xdr:cNvPr>
        <xdr:cNvSpPr/>
      </xdr:nvSpPr>
      <xdr:spPr>
        <a:xfrm>
          <a:off x="14781712" y="195453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xdr:row>
      <xdr:rowOff>57150</xdr:rowOff>
    </xdr:from>
    <xdr:to>
      <xdr:col>32</xdr:col>
      <xdr:colOff>104684</xdr:colOff>
      <xdr:row>8</xdr:row>
      <xdr:rowOff>171450</xdr:rowOff>
    </xdr:to>
    <xdr:sp macro="" textlink="">
      <xdr:nvSpPr>
        <xdr:cNvPr id="36629" name="5">
          <a:extLst>
            <a:ext uri="{FF2B5EF4-FFF2-40B4-BE49-F238E27FC236}">
              <a16:creationId xmlns:a16="http://schemas.microsoft.com/office/drawing/2014/main" id="{620BCF51-4070-4C3A-8E35-0AA3FDA5E32D}"/>
            </a:ext>
          </a:extLst>
        </xdr:cNvPr>
        <xdr:cNvSpPr/>
      </xdr:nvSpPr>
      <xdr:spPr>
        <a:xfrm>
          <a:off x="14409420" y="17259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xdr:row>
      <xdr:rowOff>114300</xdr:rowOff>
    </xdr:from>
    <xdr:to>
      <xdr:col>32</xdr:col>
      <xdr:colOff>103414</xdr:colOff>
      <xdr:row>8</xdr:row>
      <xdr:rowOff>114300</xdr:rowOff>
    </xdr:to>
    <xdr:cxnSp macro="">
      <xdr:nvCxnSpPr>
        <xdr:cNvPr id="36630" name="직선 화살표 연결선 36629">
          <a:extLst>
            <a:ext uri="{FF2B5EF4-FFF2-40B4-BE49-F238E27FC236}">
              <a16:creationId xmlns:a16="http://schemas.microsoft.com/office/drawing/2014/main" id="{A50D1400-E41B-48A4-A9D0-569A8E1EF996}"/>
            </a:ext>
          </a:extLst>
        </xdr:cNvPr>
        <xdr:cNvCxnSpPr/>
      </xdr:nvCxnSpPr>
      <xdr:spPr>
        <a:xfrm>
          <a:off x="14409420" y="17830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xdr:row>
      <xdr:rowOff>57150</xdr:rowOff>
    </xdr:from>
    <xdr:to>
      <xdr:col>33</xdr:col>
      <xdr:colOff>104684</xdr:colOff>
      <xdr:row>7</xdr:row>
      <xdr:rowOff>171450</xdr:rowOff>
    </xdr:to>
    <xdr:sp macro="" textlink="">
      <xdr:nvSpPr>
        <xdr:cNvPr id="36631" name="4">
          <a:extLst>
            <a:ext uri="{FF2B5EF4-FFF2-40B4-BE49-F238E27FC236}">
              <a16:creationId xmlns:a16="http://schemas.microsoft.com/office/drawing/2014/main" id="{71363077-3AEC-4D29-B673-A47F8CE568F4}"/>
            </a:ext>
          </a:extLst>
        </xdr:cNvPr>
        <xdr:cNvSpPr/>
      </xdr:nvSpPr>
      <xdr:spPr>
        <a:xfrm>
          <a:off x="14409420" y="14973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7</xdr:row>
      <xdr:rowOff>114300</xdr:rowOff>
    </xdr:from>
    <xdr:to>
      <xdr:col>33</xdr:col>
      <xdr:colOff>103414</xdr:colOff>
      <xdr:row>7</xdr:row>
      <xdr:rowOff>114300</xdr:rowOff>
    </xdr:to>
    <xdr:cxnSp macro="">
      <xdr:nvCxnSpPr>
        <xdr:cNvPr id="36632" name="직선 화살표 연결선 36631">
          <a:extLst>
            <a:ext uri="{FF2B5EF4-FFF2-40B4-BE49-F238E27FC236}">
              <a16:creationId xmlns:a16="http://schemas.microsoft.com/office/drawing/2014/main" id="{37DB748A-A5F2-45D2-A501-FF1A13855C86}"/>
            </a:ext>
          </a:extLst>
        </xdr:cNvPr>
        <xdr:cNvCxnSpPr/>
      </xdr:nvCxnSpPr>
      <xdr:spPr>
        <a:xfrm>
          <a:off x="14409420" y="15544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xdr:row>
      <xdr:rowOff>57150</xdr:rowOff>
    </xdr:from>
    <xdr:to>
      <xdr:col>31</xdr:col>
      <xdr:colOff>21952</xdr:colOff>
      <xdr:row>6</xdr:row>
      <xdr:rowOff>171450</xdr:rowOff>
    </xdr:to>
    <xdr:sp macro="" textlink="">
      <xdr:nvSpPr>
        <xdr:cNvPr id="36633" name="3">
          <a:extLst>
            <a:ext uri="{FF2B5EF4-FFF2-40B4-BE49-F238E27FC236}">
              <a16:creationId xmlns:a16="http://schemas.microsoft.com/office/drawing/2014/main" id="{CC96EF2B-C993-486A-830C-E9BB7147CB96}"/>
            </a:ext>
          </a:extLst>
        </xdr:cNvPr>
        <xdr:cNvSpPr/>
      </xdr:nvSpPr>
      <xdr:spPr>
        <a:xfrm>
          <a:off x="14409420" y="126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xdr:row>
      <xdr:rowOff>114300</xdr:rowOff>
    </xdr:from>
    <xdr:to>
      <xdr:col>31</xdr:col>
      <xdr:colOff>20682</xdr:colOff>
      <xdr:row>6</xdr:row>
      <xdr:rowOff>114300</xdr:rowOff>
    </xdr:to>
    <xdr:cxnSp macro="">
      <xdr:nvCxnSpPr>
        <xdr:cNvPr id="36634" name="직선 화살표 연결선 36633">
          <a:extLst>
            <a:ext uri="{FF2B5EF4-FFF2-40B4-BE49-F238E27FC236}">
              <a16:creationId xmlns:a16="http://schemas.microsoft.com/office/drawing/2014/main" id="{6F8ACFE6-BB35-44C3-AA88-86DB586C9B35}"/>
            </a:ext>
          </a:extLst>
        </xdr:cNvPr>
        <xdr:cNvCxnSpPr/>
      </xdr:nvCxnSpPr>
      <xdr:spPr>
        <a:xfrm>
          <a:off x="14409420" y="13258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xdr:row>
      <xdr:rowOff>57150</xdr:rowOff>
    </xdr:from>
    <xdr:to>
      <xdr:col>33</xdr:col>
      <xdr:colOff>104684</xdr:colOff>
      <xdr:row>5</xdr:row>
      <xdr:rowOff>171450</xdr:rowOff>
    </xdr:to>
    <xdr:sp macro="" textlink="">
      <xdr:nvSpPr>
        <xdr:cNvPr id="36635" name="2">
          <a:extLst>
            <a:ext uri="{FF2B5EF4-FFF2-40B4-BE49-F238E27FC236}">
              <a16:creationId xmlns:a16="http://schemas.microsoft.com/office/drawing/2014/main" id="{070CFE0B-B19E-4D81-B043-66B95B169812}"/>
            </a:ext>
          </a:extLst>
        </xdr:cNvPr>
        <xdr:cNvSpPr/>
      </xdr:nvSpPr>
      <xdr:spPr>
        <a:xfrm>
          <a:off x="14409420" y="10401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5</xdr:row>
      <xdr:rowOff>114300</xdr:rowOff>
    </xdr:from>
    <xdr:to>
      <xdr:col>33</xdr:col>
      <xdr:colOff>103414</xdr:colOff>
      <xdr:row>5</xdr:row>
      <xdr:rowOff>114300</xdr:rowOff>
    </xdr:to>
    <xdr:cxnSp macro="">
      <xdr:nvCxnSpPr>
        <xdr:cNvPr id="36636" name="직선 화살표 연결선 36635">
          <a:extLst>
            <a:ext uri="{FF2B5EF4-FFF2-40B4-BE49-F238E27FC236}">
              <a16:creationId xmlns:a16="http://schemas.microsoft.com/office/drawing/2014/main" id="{D5CD124C-5D39-4A92-AD98-56F9423D0310}"/>
            </a:ext>
          </a:extLst>
        </xdr:cNvPr>
        <xdr:cNvCxnSpPr/>
      </xdr:nvCxnSpPr>
      <xdr:spPr>
        <a:xfrm>
          <a:off x="14409420" y="10972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xdr:row>
      <xdr:rowOff>57150</xdr:rowOff>
    </xdr:from>
    <xdr:to>
      <xdr:col>86</xdr:col>
      <xdr:colOff>104683</xdr:colOff>
      <xdr:row>4</xdr:row>
      <xdr:rowOff>171450</xdr:rowOff>
    </xdr:to>
    <xdr:sp macro="" textlink="">
      <xdr:nvSpPr>
        <xdr:cNvPr id="36637" name="1">
          <a:extLst>
            <a:ext uri="{FF2B5EF4-FFF2-40B4-BE49-F238E27FC236}">
              <a16:creationId xmlns:a16="http://schemas.microsoft.com/office/drawing/2014/main" id="{AFCD0746-F310-479C-A8A6-07BB79779DC7}"/>
            </a:ext>
          </a:extLst>
        </xdr:cNvPr>
        <xdr:cNvSpPr/>
      </xdr:nvSpPr>
      <xdr:spPr>
        <a:xfrm>
          <a:off x="14409420" y="811530"/>
          <a:ext cx="8067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xdr:row>
      <xdr:rowOff>114300</xdr:rowOff>
    </xdr:from>
    <xdr:to>
      <xdr:col>64</xdr:col>
      <xdr:colOff>18446</xdr:colOff>
      <xdr:row>4</xdr:row>
      <xdr:rowOff>114300</xdr:rowOff>
    </xdr:to>
    <xdr:cxnSp macro="">
      <xdr:nvCxnSpPr>
        <xdr:cNvPr id="36638" name="직선 화살표 연결선 36637">
          <a:extLst>
            <a:ext uri="{FF2B5EF4-FFF2-40B4-BE49-F238E27FC236}">
              <a16:creationId xmlns:a16="http://schemas.microsoft.com/office/drawing/2014/main" id="{33275C2A-D1CE-4621-BAC7-6F50DCF15C20}"/>
            </a:ext>
          </a:extLst>
        </xdr:cNvPr>
        <xdr:cNvCxnSpPr/>
      </xdr:nvCxnSpPr>
      <xdr:spPr>
        <a:xfrm>
          <a:off x="14409420" y="868680"/>
          <a:ext cx="4796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hidden="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1330</v>
      </c>
      <c r="C6" s="72"/>
      <c r="D6" s="72"/>
      <c r="E6" s="72" t="s">
        <v>11</v>
      </c>
      <c r="F6" s="72"/>
    </row>
    <row r="7" spans="1:64">
      <c r="A7" s="71" t="s">
        <v>16</v>
      </c>
      <c r="B7" s="71" t="s">
        <v>10</v>
      </c>
      <c r="C7" s="72"/>
      <c r="D7" s="72"/>
      <c r="E7" s="72" t="s">
        <v>11</v>
      </c>
      <c r="F7" s="72"/>
    </row>
    <row r="8" spans="1:64">
      <c r="A8" s="71" t="s">
        <v>17</v>
      </c>
      <c r="B8" s="74" t="s">
        <v>1415</v>
      </c>
      <c r="C8" s="72" t="s">
        <v>1260</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1467</v>
      </c>
      <c r="D11" s="70" t="s">
        <v>23</v>
      </c>
      <c r="E11" s="79">
        <v>1</v>
      </c>
      <c r="F11" s="80" t="s">
        <v>24</v>
      </c>
      <c r="G11" s="81">
        <v>44200</v>
      </c>
      <c r="H11" s="80" t="s">
        <v>25</v>
      </c>
      <c r="I11" s="81">
        <v>44651</v>
      </c>
      <c r="J11" s="73" t="s">
        <v>403</v>
      </c>
      <c r="K11" s="73" t="s">
        <v>1261</v>
      </c>
      <c r="L11" s="73" t="s">
        <v>400</v>
      </c>
      <c r="M11" s="73">
        <v>1</v>
      </c>
      <c r="N11" s="78" t="s">
        <v>26</v>
      </c>
      <c r="O11" s="70">
        <v>1</v>
      </c>
      <c r="P11" s="70" t="s">
        <v>27</v>
      </c>
      <c r="Q11" s="78" t="s">
        <v>1438</v>
      </c>
      <c r="R11" s="73" t="s">
        <v>405</v>
      </c>
      <c r="S11" s="73">
        <v>2</v>
      </c>
      <c r="T11" s="73" t="s">
        <v>410</v>
      </c>
      <c r="U11" s="73">
        <v>1</v>
      </c>
      <c r="V11" s="73" t="s">
        <v>411</v>
      </c>
      <c r="W11" s="73">
        <v>1</v>
      </c>
      <c r="X11" s="73" t="s">
        <v>414</v>
      </c>
      <c r="Y11" s="73">
        <v>1</v>
      </c>
      <c r="Z11" s="73" t="s">
        <v>565</v>
      </c>
      <c r="AA11" s="73">
        <v>0</v>
      </c>
      <c r="AB11" s="73" t="s">
        <v>967</v>
      </c>
      <c r="AC11" s="73">
        <v>0</v>
      </c>
      <c r="AD11" s="73" t="s">
        <v>997</v>
      </c>
      <c r="AE11" s="73">
        <v>2</v>
      </c>
      <c r="AF11" s="73" t="s">
        <v>1223</v>
      </c>
      <c r="AG11" s="73">
        <v>1</v>
      </c>
    </row>
    <row r="12" spans="1:64">
      <c r="A12" s="73" t="s">
        <v>389</v>
      </c>
      <c r="B12" s="73" t="s">
        <v>390</v>
      </c>
      <c r="C12" s="73">
        <v>0</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974</v>
      </c>
      <c r="AI12" s="73">
        <v>9</v>
      </c>
      <c r="AJ12" s="73" t="s">
        <v>1219</v>
      </c>
      <c r="AK12" s="73">
        <v>1</v>
      </c>
      <c r="AL12" s="73" t="s">
        <v>1220</v>
      </c>
      <c r="AM12" s="73">
        <v>1</v>
      </c>
      <c r="AN12" s="73" t="s">
        <v>1221</v>
      </c>
      <c r="AO12" s="73">
        <v>1</v>
      </c>
      <c r="AP12" s="73" t="s">
        <v>1222</v>
      </c>
      <c r="AQ12" s="131" t="s">
        <v>1437</v>
      </c>
    </row>
    <row r="13" spans="1:64">
      <c r="A13" s="72" t="s">
        <v>387</v>
      </c>
      <c r="B13" s="78" t="s">
        <v>28</v>
      </c>
      <c r="C13" s="70">
        <v>1</v>
      </c>
      <c r="D13" s="78" t="s">
        <v>29</v>
      </c>
      <c r="E13" s="70" t="s">
        <v>1259</v>
      </c>
      <c r="F13" s="70" t="s">
        <v>30</v>
      </c>
      <c r="G13" s="80" t="s">
        <v>529</v>
      </c>
      <c r="H13" s="80" t="s">
        <v>31</v>
      </c>
      <c r="I13" s="73" t="s">
        <v>529</v>
      </c>
    </row>
    <row r="14" spans="1:64">
      <c r="A14" s="72" t="s">
        <v>388</v>
      </c>
      <c r="B14" s="79" t="s">
        <v>32</v>
      </c>
      <c r="C14" s="79" t="s">
        <v>1463</v>
      </c>
      <c r="D14" s="79" t="s">
        <v>33</v>
      </c>
      <c r="E14" s="79" t="s">
        <v>542</v>
      </c>
      <c r="F14" s="79" t="s">
        <v>34</v>
      </c>
      <c r="G14" s="79" t="s">
        <v>1464</v>
      </c>
      <c r="H14" s="79" t="s">
        <v>35</v>
      </c>
      <c r="I14" s="79" t="b">
        <v>1</v>
      </c>
      <c r="J14" s="79" t="s">
        <v>36</v>
      </c>
      <c r="K14" s="79" t="s">
        <v>1465</v>
      </c>
      <c r="L14" s="79" t="s">
        <v>37</v>
      </c>
      <c r="M14" s="79" t="s">
        <v>553</v>
      </c>
      <c r="N14" s="79" t="s">
        <v>38</v>
      </c>
      <c r="O14" s="79" t="s">
        <v>1464</v>
      </c>
      <c r="P14" s="79" t="s">
        <v>39</v>
      </c>
      <c r="Q14" s="79" t="b">
        <v>1</v>
      </c>
      <c r="R14" s="79" t="s">
        <v>40</v>
      </c>
      <c r="S14" s="79" t="s">
        <v>1466</v>
      </c>
      <c r="T14" s="79" t="s">
        <v>41</v>
      </c>
      <c r="U14" s="79" t="s">
        <v>554</v>
      </c>
      <c r="V14" s="79" t="s">
        <v>42</v>
      </c>
      <c r="W14" s="79" t="s">
        <v>1464</v>
      </c>
      <c r="X14" s="79" t="s">
        <v>43</v>
      </c>
      <c r="Y14" s="79" t="b">
        <v>1</v>
      </c>
      <c r="Z14" s="79" t="s">
        <v>44</v>
      </c>
      <c r="AA14" s="79" t="s">
        <v>1001</v>
      </c>
      <c r="AB14" s="79" t="s">
        <v>45</v>
      </c>
      <c r="AC14" s="79" t="s">
        <v>1000</v>
      </c>
      <c r="AD14" s="79" t="s">
        <v>46</v>
      </c>
      <c r="AE14" s="79" t="s">
        <v>1002</v>
      </c>
      <c r="AF14" s="79" t="s">
        <v>47</v>
      </c>
      <c r="AG14" s="79" t="b">
        <v>0</v>
      </c>
      <c r="AH14" s="79" t="s">
        <v>48</v>
      </c>
      <c r="AI14" s="79" t="s">
        <v>1003</v>
      </c>
      <c r="AJ14" s="79" t="s">
        <v>49</v>
      </c>
      <c r="AK14" s="79" t="s">
        <v>1004</v>
      </c>
      <c r="AL14" s="79" t="s">
        <v>50</v>
      </c>
      <c r="AM14" s="79" t="s">
        <v>1005</v>
      </c>
      <c r="AN14" s="79" t="s">
        <v>51</v>
      </c>
      <c r="AO14" s="79" t="b">
        <v>0</v>
      </c>
      <c r="AP14" s="79" t="s">
        <v>52</v>
      </c>
      <c r="AQ14" s="79" t="s">
        <v>544</v>
      </c>
      <c r="AR14" s="79" t="s">
        <v>53</v>
      </c>
      <c r="AS14" s="79" t="s">
        <v>555</v>
      </c>
      <c r="AT14" s="79" t="s">
        <v>54</v>
      </c>
      <c r="AU14" s="79" t="s">
        <v>557</v>
      </c>
      <c r="AV14" s="79" t="s">
        <v>55</v>
      </c>
      <c r="AW14" s="79" t="b">
        <v>0</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1329</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R13" sqref="R13"/>
    </sheetView>
  </sheetViews>
  <sheetFormatPr defaultColWidth="9" defaultRowHeight="15.6"/>
  <cols>
    <col min="1" max="1" width="5.8984375" style="99" customWidth="1"/>
    <col min="2" max="2" width="29.8984375" style="121" customWidth="1"/>
    <col min="3" max="3" width="1.19921875" style="99" customWidth="1"/>
    <col min="4" max="11" width="9" style="99"/>
    <col min="12" max="12" width="19.5" style="99" customWidth="1"/>
    <col min="13" max="21" width="9" style="99"/>
    <col min="22" max="22" width="0" style="99" hidden="1" customWidth="1"/>
    <col min="23" max="26" width="9" style="99"/>
    <col min="27" max="27" width="0" style="99" hidden="1" customWidth="1"/>
    <col min="28" max="16384" width="9" style="99"/>
  </cols>
  <sheetData>
    <row r="1" spans="1:13" ht="20.25" customHeight="1">
      <c r="A1" s="253" t="s">
        <v>1344</v>
      </c>
      <c r="B1" s="254"/>
      <c r="C1" s="254"/>
      <c r="D1" s="254"/>
      <c r="E1" s="254"/>
      <c r="F1" s="254"/>
      <c r="G1" s="254"/>
      <c r="H1" s="161"/>
      <c r="I1" s="161"/>
      <c r="J1" s="246" t="s">
        <v>1458</v>
      </c>
      <c r="K1" s="247"/>
      <c r="L1" s="247"/>
      <c r="M1" s="162"/>
    </row>
    <row r="2" spans="1:13" s="100" customFormat="1" ht="33.75" customHeight="1">
      <c r="A2" s="255"/>
      <c r="B2" s="256"/>
      <c r="C2" s="256"/>
      <c r="D2" s="256"/>
      <c r="E2" s="256"/>
      <c r="F2" s="256"/>
      <c r="G2" s="256"/>
      <c r="H2" s="251" t="s">
        <v>1459</v>
      </c>
      <c r="I2" s="252"/>
      <c r="J2" s="252"/>
      <c r="K2" s="252"/>
      <c r="L2" s="252"/>
      <c r="M2" s="163"/>
    </row>
    <row r="4" spans="1:13" ht="17.25" customHeight="1">
      <c r="B4" s="248" t="s">
        <v>1345</v>
      </c>
      <c r="C4" s="248"/>
      <c r="D4" s="248"/>
      <c r="E4" s="248"/>
      <c r="F4" s="248"/>
      <c r="G4" s="248"/>
      <c r="H4" s="248"/>
      <c r="I4" s="248"/>
      <c r="J4" s="248"/>
      <c r="K4" s="248"/>
      <c r="L4" s="248"/>
    </row>
    <row r="5" spans="1:13" ht="27.75" customHeight="1">
      <c r="B5" s="248"/>
      <c r="C5" s="248"/>
      <c r="D5" s="248"/>
      <c r="E5" s="248"/>
      <c r="F5" s="248"/>
      <c r="G5" s="248"/>
      <c r="H5" s="248"/>
      <c r="I5" s="248"/>
      <c r="J5" s="248"/>
      <c r="K5" s="248"/>
      <c r="L5" s="248"/>
    </row>
    <row r="6" spans="1:13" s="100" customFormat="1" ht="13.8">
      <c r="B6" s="101"/>
    </row>
    <row r="7" spans="1:13" s="100" customFormat="1" ht="18">
      <c r="B7" s="102" t="s">
        <v>1346</v>
      </c>
      <c r="D7" s="103"/>
    </row>
    <row r="8" spans="1:13" s="100" customFormat="1" ht="7.5" customHeight="1">
      <c r="B8" s="101"/>
    </row>
    <row r="9" spans="1:13" s="100" customFormat="1" ht="34.5" customHeight="1" thickBot="1">
      <c r="A9" s="104"/>
      <c r="B9" s="105" t="s">
        <v>535</v>
      </c>
      <c r="C9" s="104"/>
      <c r="D9" s="250" t="s">
        <v>1114</v>
      </c>
      <c r="E9" s="250"/>
      <c r="F9" s="250"/>
      <c r="G9" s="250"/>
      <c r="H9" s="250"/>
      <c r="I9" s="250"/>
      <c r="J9" s="250"/>
      <c r="K9" s="250"/>
      <c r="L9" s="250"/>
    </row>
    <row r="10" spans="1:13" s="100" customFormat="1" ht="27.75" customHeight="1" thickTop="1" thickBot="1">
      <c r="A10" s="104"/>
      <c r="B10" s="106" t="s">
        <v>536</v>
      </c>
      <c r="C10" s="104"/>
      <c r="D10" s="250" t="s">
        <v>1347</v>
      </c>
      <c r="E10" s="250"/>
      <c r="F10" s="250"/>
      <c r="G10" s="250"/>
      <c r="H10" s="250"/>
      <c r="I10" s="250"/>
      <c r="J10" s="250"/>
      <c r="K10" s="250"/>
      <c r="L10" s="250"/>
    </row>
    <row r="11" spans="1:13" s="100" customFormat="1" ht="27.75" customHeight="1" thickTop="1" thickBot="1">
      <c r="A11" s="104"/>
      <c r="B11" s="107" t="s">
        <v>537</v>
      </c>
      <c r="C11" s="104"/>
      <c r="D11" s="250" t="s">
        <v>1348</v>
      </c>
      <c r="E11" s="250"/>
      <c r="F11" s="250"/>
      <c r="G11" s="250"/>
      <c r="H11" s="250"/>
      <c r="I11" s="250"/>
      <c r="J11" s="250"/>
      <c r="K11" s="250"/>
      <c r="L11" s="250"/>
    </row>
    <row r="12" spans="1:13" s="100" customFormat="1" ht="27.75" customHeight="1" thickTop="1" thickBot="1">
      <c r="A12" s="104"/>
      <c r="B12" s="108" t="s">
        <v>538</v>
      </c>
      <c r="C12" s="104"/>
      <c r="D12" s="250" t="s">
        <v>1349</v>
      </c>
      <c r="E12" s="250"/>
      <c r="F12" s="250"/>
      <c r="G12" s="250"/>
      <c r="H12" s="250"/>
      <c r="I12" s="250"/>
      <c r="J12" s="250"/>
      <c r="K12" s="250"/>
      <c r="L12" s="250"/>
    </row>
    <row r="13" spans="1:13" s="100" customFormat="1" ht="27.75" customHeight="1" thickTop="1" thickBot="1">
      <c r="A13" s="104"/>
      <c r="B13" s="109" t="s">
        <v>1089</v>
      </c>
      <c r="C13" s="104"/>
      <c r="D13" s="250" t="s">
        <v>1155</v>
      </c>
      <c r="E13" s="250"/>
      <c r="F13" s="250"/>
      <c r="G13" s="250"/>
      <c r="H13" s="250"/>
      <c r="I13" s="250"/>
      <c r="J13" s="250"/>
      <c r="K13" s="250"/>
      <c r="L13" s="250"/>
    </row>
    <row r="14" spans="1:13" s="100" customFormat="1" ht="27.75" customHeight="1" thickTop="1" thickBot="1">
      <c r="A14" s="104"/>
      <c r="B14" s="109" t="s">
        <v>1006</v>
      </c>
      <c r="C14" s="104"/>
      <c r="D14" s="249" t="s">
        <v>1350</v>
      </c>
      <c r="E14" s="249"/>
      <c r="F14" s="249"/>
      <c r="G14" s="249"/>
      <c r="H14" s="249"/>
      <c r="I14" s="249"/>
      <c r="J14" s="249"/>
      <c r="K14" s="249"/>
      <c r="L14" s="249"/>
    </row>
    <row r="15" spans="1:13" s="100" customFormat="1" ht="27.75" customHeight="1" thickTop="1" thickBot="1">
      <c r="A15" s="104"/>
      <c r="B15" s="110" t="s">
        <v>539</v>
      </c>
      <c r="C15" s="104"/>
      <c r="D15" s="250" t="s">
        <v>1351</v>
      </c>
      <c r="E15" s="250"/>
      <c r="F15" s="250"/>
      <c r="G15" s="250"/>
      <c r="H15" s="250"/>
      <c r="I15" s="250"/>
      <c r="J15" s="250"/>
      <c r="K15" s="250"/>
      <c r="L15" s="250"/>
    </row>
    <row r="16" spans="1:13" ht="16.2" thickTop="1">
      <c r="A16" s="111"/>
      <c r="B16" s="112"/>
      <c r="C16" s="111"/>
      <c r="D16" s="113"/>
      <c r="E16" s="113"/>
      <c r="F16" s="113"/>
      <c r="G16" s="113"/>
      <c r="H16" s="113"/>
      <c r="I16" s="113"/>
      <c r="J16" s="113"/>
      <c r="K16" s="113"/>
      <c r="L16" s="113"/>
    </row>
    <row r="17" spans="2:12" s="100" customFormat="1" ht="18">
      <c r="B17" s="102" t="s">
        <v>1352</v>
      </c>
      <c r="D17" s="103"/>
    </row>
    <row r="18" spans="2:12" s="100" customFormat="1" ht="5.25" customHeight="1">
      <c r="B18" s="114"/>
      <c r="D18" s="103"/>
    </row>
    <row r="19" spans="2:12" s="100" customFormat="1" ht="24.75" customHeight="1" thickBot="1">
      <c r="B19" s="115" t="s">
        <v>1353</v>
      </c>
      <c r="D19" s="244" t="s">
        <v>1363</v>
      </c>
      <c r="E19" s="244"/>
      <c r="F19" s="244"/>
      <c r="G19" s="244"/>
      <c r="H19" s="244"/>
      <c r="I19" s="244"/>
      <c r="J19" s="244"/>
      <c r="K19" s="244"/>
      <c r="L19" s="122" t="s">
        <v>1141</v>
      </c>
    </row>
    <row r="20" spans="2:12" s="100" customFormat="1" ht="41.25" customHeight="1" thickTop="1" thickBot="1">
      <c r="B20" s="115" t="s">
        <v>1354</v>
      </c>
      <c r="D20" s="244" t="s">
        <v>1364</v>
      </c>
      <c r="E20" s="244"/>
      <c r="F20" s="244"/>
      <c r="G20" s="244"/>
      <c r="H20" s="244"/>
      <c r="I20" s="244"/>
      <c r="J20" s="244"/>
      <c r="K20" s="244"/>
      <c r="L20" s="122" t="s">
        <v>1141</v>
      </c>
    </row>
    <row r="21" spans="2:12" s="100" customFormat="1" ht="37.5" customHeight="1" thickTop="1" thickBot="1">
      <c r="B21" s="115" t="s">
        <v>1355</v>
      </c>
      <c r="D21" s="244" t="s">
        <v>1365</v>
      </c>
      <c r="E21" s="244"/>
      <c r="F21" s="244"/>
      <c r="G21" s="244"/>
      <c r="H21" s="244"/>
      <c r="I21" s="244"/>
      <c r="J21" s="244"/>
      <c r="K21" s="244"/>
      <c r="L21" s="122" t="s">
        <v>1141</v>
      </c>
    </row>
    <row r="22" spans="2:12" s="100" customFormat="1" ht="41.25" customHeight="1" thickTop="1" thickBot="1">
      <c r="B22" s="115" t="s">
        <v>1356</v>
      </c>
      <c r="D22" s="244" t="s">
        <v>1366</v>
      </c>
      <c r="E22" s="244"/>
      <c r="F22" s="244"/>
      <c r="G22" s="244"/>
      <c r="H22" s="244"/>
      <c r="I22" s="244"/>
      <c r="J22" s="244"/>
      <c r="K22" s="244"/>
      <c r="L22" s="122" t="s">
        <v>1141</v>
      </c>
    </row>
    <row r="23" spans="2:12" s="100" customFormat="1" ht="36" customHeight="1" thickTop="1" thickBot="1">
      <c r="B23" s="115" t="s">
        <v>1357</v>
      </c>
      <c r="D23" s="244" t="s">
        <v>1171</v>
      </c>
      <c r="E23" s="244"/>
      <c r="F23" s="244"/>
      <c r="G23" s="244"/>
      <c r="H23" s="244"/>
      <c r="I23" s="244"/>
      <c r="J23" s="244"/>
      <c r="K23" s="244"/>
      <c r="L23" s="122" t="s">
        <v>1141</v>
      </c>
    </row>
    <row r="24" spans="2:12" s="100" customFormat="1" ht="52.5" customHeight="1" thickTop="1" thickBot="1">
      <c r="B24" s="115" t="s">
        <v>1358</v>
      </c>
      <c r="D24" s="244" t="s">
        <v>1367</v>
      </c>
      <c r="E24" s="244"/>
      <c r="F24" s="244"/>
      <c r="G24" s="244"/>
      <c r="H24" s="244"/>
      <c r="I24" s="244"/>
      <c r="J24" s="244"/>
      <c r="K24" s="244"/>
      <c r="L24" s="122" t="s">
        <v>1141</v>
      </c>
    </row>
    <row r="25" spans="2:12" s="100" customFormat="1" ht="57" customHeight="1" thickTop="1" thickBot="1">
      <c r="B25" s="115" t="s">
        <v>1433</v>
      </c>
      <c r="D25" s="244" t="s">
        <v>1368</v>
      </c>
      <c r="E25" s="244"/>
      <c r="F25" s="244"/>
      <c r="G25" s="244"/>
      <c r="H25" s="244"/>
      <c r="I25" s="244"/>
      <c r="J25" s="244"/>
      <c r="K25" s="244"/>
      <c r="L25" s="122" t="s">
        <v>1141</v>
      </c>
    </row>
    <row r="26" spans="2:12" s="100" customFormat="1" ht="48.75" customHeight="1" thickTop="1" thickBot="1">
      <c r="B26" s="115" t="s">
        <v>1359</v>
      </c>
      <c r="D26" s="244" t="s">
        <v>1369</v>
      </c>
      <c r="E26" s="244"/>
      <c r="F26" s="244"/>
      <c r="G26" s="244"/>
      <c r="H26" s="244"/>
      <c r="I26" s="244"/>
      <c r="J26" s="244"/>
      <c r="K26" s="244"/>
      <c r="L26" s="122" t="s">
        <v>1141</v>
      </c>
    </row>
    <row r="27" spans="2:12" s="100" customFormat="1" ht="43.5" customHeight="1" thickTop="1" thickBot="1">
      <c r="B27" s="115" t="s">
        <v>1360</v>
      </c>
      <c r="D27" s="244" t="s">
        <v>1370</v>
      </c>
      <c r="E27" s="244"/>
      <c r="F27" s="244"/>
      <c r="G27" s="244"/>
      <c r="H27" s="244"/>
      <c r="I27" s="244"/>
      <c r="J27" s="244"/>
      <c r="K27" s="244"/>
      <c r="L27" s="122" t="s">
        <v>1141</v>
      </c>
    </row>
    <row r="28" spans="2:12" s="100" customFormat="1" ht="43.5" customHeight="1" thickTop="1" thickBot="1">
      <c r="B28" s="115" t="s">
        <v>1361</v>
      </c>
      <c r="D28" s="244" t="s">
        <v>1371</v>
      </c>
      <c r="E28" s="244"/>
      <c r="F28" s="244"/>
      <c r="G28" s="244"/>
      <c r="H28" s="244"/>
      <c r="I28" s="244"/>
      <c r="J28" s="244"/>
      <c r="K28" s="244"/>
      <c r="L28" s="122" t="s">
        <v>1141</v>
      </c>
    </row>
    <row r="29" spans="2:12" s="100" customFormat="1" ht="50.25" customHeight="1" thickTop="1" thickBot="1">
      <c r="B29" s="115" t="s">
        <v>538</v>
      </c>
      <c r="D29" s="244" t="s">
        <v>1177</v>
      </c>
      <c r="E29" s="244"/>
      <c r="F29" s="244"/>
      <c r="G29" s="244"/>
      <c r="H29" s="244"/>
      <c r="I29" s="244"/>
      <c r="J29" s="244"/>
      <c r="K29" s="244"/>
      <c r="L29" s="122" t="s">
        <v>1141</v>
      </c>
    </row>
    <row r="30" spans="2:12" s="100" customFormat="1" ht="57.75" customHeight="1" thickTop="1" thickBot="1">
      <c r="B30" s="115" t="s">
        <v>1139</v>
      </c>
      <c r="D30" s="244" t="s">
        <v>1372</v>
      </c>
      <c r="E30" s="244"/>
      <c r="F30" s="244"/>
      <c r="G30" s="244"/>
      <c r="H30" s="244"/>
      <c r="I30" s="244"/>
      <c r="J30" s="244"/>
      <c r="K30" s="244"/>
      <c r="L30" s="122" t="s">
        <v>1141</v>
      </c>
    </row>
    <row r="31" spans="2:12" s="100" customFormat="1" ht="67.5" customHeight="1" thickTop="1" thickBot="1">
      <c r="B31" s="115" t="s">
        <v>1362</v>
      </c>
      <c r="D31" s="244" t="s">
        <v>1179</v>
      </c>
      <c r="E31" s="244"/>
      <c r="F31" s="244"/>
      <c r="G31" s="244"/>
      <c r="H31" s="244"/>
      <c r="I31" s="244"/>
      <c r="J31" s="244"/>
      <c r="K31" s="244"/>
      <c r="L31" s="122" t="s">
        <v>1141</v>
      </c>
    </row>
    <row r="32" spans="2:12" s="100" customFormat="1" ht="15" thickTop="1">
      <c r="B32" s="116"/>
      <c r="D32" s="103"/>
      <c r="L32" s="104"/>
    </row>
    <row r="33" spans="2:12" s="100" customFormat="1" ht="18.75" customHeight="1">
      <c r="B33" s="117" t="s">
        <v>1462</v>
      </c>
      <c r="C33" s="118"/>
      <c r="D33" s="119"/>
      <c r="E33" s="118"/>
      <c r="F33" s="118"/>
      <c r="G33" s="118"/>
      <c r="H33" s="118"/>
      <c r="I33" s="118"/>
      <c r="J33" s="118"/>
      <c r="K33" s="118"/>
      <c r="L33" s="120"/>
    </row>
    <row r="34" spans="2:12" s="100" customFormat="1" ht="59.25" customHeight="1">
      <c r="B34" s="245" t="s">
        <v>1373</v>
      </c>
      <c r="C34" s="245"/>
      <c r="D34" s="245"/>
      <c r="E34" s="245"/>
      <c r="F34" s="245"/>
      <c r="G34" s="245"/>
      <c r="H34" s="245"/>
      <c r="I34" s="245"/>
      <c r="J34" s="245"/>
      <c r="K34" s="245"/>
      <c r="L34" s="245"/>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RR250"/>
  <sheetViews>
    <sheetView tabSelected="1" zoomScale="110" zoomScaleNormal="11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09765625" style="220" hidden="1" customWidth="1"/>
    <col min="2" max="2" width="9" style="220" hidden="1" customWidth="1"/>
    <col min="3" max="3" width="8.3984375" style="220" hidden="1" customWidth="1"/>
    <col min="4" max="4" width="12.69921875" style="221" customWidth="1"/>
    <col min="5" max="14" width="4" style="222" customWidth="1"/>
    <col min="15" max="15" width="9.296875" style="222" customWidth="1"/>
    <col min="16" max="17" width="9.8984375" style="223" bestFit="1" customWidth="1"/>
    <col min="18" max="18" width="7.59765625" style="224" hidden="1" customWidth="1"/>
    <col min="19" max="19" width="6.3984375" style="225" bestFit="1" customWidth="1"/>
    <col min="20" max="20" width="4.8984375" style="225" bestFit="1" customWidth="1"/>
    <col min="21" max="21" width="5.8984375" style="225" bestFit="1" customWidth="1"/>
    <col min="22" max="22" width="5" style="225" bestFit="1" customWidth="1"/>
    <col min="23" max="24" width="9.69921875" style="223" customWidth="1"/>
    <col min="25" max="25" width="7.5" style="226" customWidth="1"/>
    <col min="26" max="26" width="6" style="227" customWidth="1"/>
    <col min="27" max="27" width="6.09765625" style="225" hidden="1" customWidth="1"/>
    <col min="28" max="28" width="23.59765625" style="224" customWidth="1"/>
    <col min="29" max="29" width="13.69921875" style="228" customWidth="1"/>
    <col min="30" max="30" width="7.69921875" style="229" bestFit="1" customWidth="1"/>
    <col min="31" max="31" width="7.19921875" style="230" customWidth="1"/>
    <col min="32" max="486" width="1.8984375" style="140" customWidth="1"/>
    <col min="487" max="16384" width="10" style="140"/>
  </cols>
  <sheetData>
    <row r="1" spans="1:486" s="134" customFormat="1" ht="19.95" customHeight="1">
      <c r="A1" s="145"/>
      <c r="B1" s="145"/>
      <c r="C1" s="182"/>
      <c r="D1" s="146" t="str" cm="1">
        <f t="array" aca="1" ref="D1" ca="1">xlgantt.ProjectName()</f>
        <v>㈜선광 전산통합IT리뉴얼 구축</v>
      </c>
      <c r="E1" s="147"/>
      <c r="F1" s="147"/>
      <c r="G1" s="147"/>
      <c r="H1" s="147"/>
      <c r="I1" s="147"/>
      <c r="J1" s="147"/>
      <c r="K1" s="147"/>
      <c r="L1" s="147"/>
      <c r="M1" s="147"/>
      <c r="N1" s="147"/>
      <c r="O1" s="147"/>
      <c r="P1" s="147"/>
      <c r="Q1" s="183"/>
      <c r="R1" s="184"/>
      <c r="S1" s="185"/>
      <c r="T1" s="186"/>
      <c r="U1" s="187"/>
      <c r="V1" s="187"/>
      <c r="W1" s="188"/>
      <c r="X1" s="188"/>
      <c r="Y1" s="145"/>
      <c r="Z1" s="189"/>
      <c r="AA1" s="190"/>
      <c r="AB1" s="191"/>
      <c r="AC1" s="192"/>
      <c r="AD1" s="148"/>
      <c r="AE1" s="148" t="str" cm="1">
        <f t="array" aca="1" ref="AE1" ca="1">xlgantt.ProjectProgressString()</f>
        <v>2021-01-04~2022-03-31 [계획:4.03% 실적:2.76%]</v>
      </c>
      <c r="AF1" s="152" t="s">
        <v>1439</v>
      </c>
      <c r="AG1" s="133"/>
      <c r="AH1" s="133"/>
      <c r="AI1" s="133"/>
      <c r="AJ1" s="133"/>
      <c r="AK1" s="133"/>
      <c r="AL1" s="133"/>
      <c r="AM1" s="133"/>
      <c r="AN1" s="133"/>
      <c r="AO1" s="133"/>
      <c r="AP1" s="133"/>
      <c r="AQ1" s="133"/>
      <c r="AR1" s="133"/>
      <c r="AS1" s="133"/>
      <c r="AT1" s="133"/>
      <c r="AU1" s="133"/>
      <c r="AV1" s="133"/>
      <c r="AW1" s="133"/>
      <c r="AX1" s="133"/>
      <c r="AY1" s="133"/>
      <c r="AZ1" s="133"/>
      <c r="BA1" s="133"/>
      <c r="BB1" s="133"/>
      <c r="BC1" s="133"/>
      <c r="BD1" s="133"/>
      <c r="BE1" s="133"/>
      <c r="BF1" s="133"/>
      <c r="BG1" s="133"/>
      <c r="BH1" s="133"/>
      <c r="BI1" s="133"/>
      <c r="BJ1" s="133"/>
    </row>
    <row r="2" spans="1:486" s="134" customFormat="1" ht="15" customHeight="1">
      <c r="A2" s="145"/>
      <c r="B2" s="145"/>
      <c r="C2" s="182"/>
      <c r="D2" s="260"/>
      <c r="E2" s="260"/>
      <c r="F2" s="260"/>
      <c r="G2" s="149"/>
      <c r="H2" s="150"/>
      <c r="I2" s="149"/>
      <c r="J2" s="149"/>
      <c r="K2" s="149"/>
      <c r="L2" s="149"/>
      <c r="M2" s="149"/>
      <c r="N2" s="149"/>
      <c r="O2" s="149"/>
      <c r="P2" s="149"/>
      <c r="Q2" s="149"/>
      <c r="R2" s="149"/>
      <c r="S2" s="151"/>
      <c r="T2" s="151"/>
      <c r="U2" s="151"/>
      <c r="V2" s="151"/>
      <c r="W2" s="149"/>
      <c r="X2" s="149"/>
      <c r="Y2" s="149"/>
      <c r="Z2" s="149"/>
      <c r="AA2" s="149"/>
      <c r="AB2" s="149"/>
      <c r="AC2" s="193"/>
      <c r="AD2" s="194"/>
      <c r="AE2" s="149" t="str" cm="1">
        <f t="array" aca="1" ref="AE2" ca="1">xlgantt.CommentOnHeadArea()</f>
        <v>별(*)표시는 필수입력</v>
      </c>
      <c r="AF2" s="259" t="s">
        <v>1254</v>
      </c>
      <c r="AG2" s="259"/>
      <c r="AH2" s="259"/>
      <c r="AI2" s="259"/>
      <c r="AJ2" s="259" t="s">
        <v>1318</v>
      </c>
      <c r="AK2" s="259"/>
      <c r="AL2" s="259"/>
      <c r="AM2" s="259"/>
      <c r="AN2" s="259" t="s">
        <v>1319</v>
      </c>
      <c r="AO2" s="259"/>
      <c r="AP2" s="259"/>
      <c r="AQ2" s="259"/>
      <c r="AR2" s="259" t="s">
        <v>1320</v>
      </c>
      <c r="AS2" s="259"/>
      <c r="AT2" s="259"/>
      <c r="AU2" s="259"/>
      <c r="AV2" s="259" t="s">
        <v>1321</v>
      </c>
      <c r="AW2" s="259"/>
      <c r="AX2" s="259"/>
      <c r="AY2" s="259"/>
      <c r="AZ2" s="259" t="s">
        <v>1322</v>
      </c>
      <c r="BA2" s="259"/>
      <c r="BB2" s="259"/>
      <c r="BC2" s="259"/>
      <c r="BD2" s="259" t="s">
        <v>1469</v>
      </c>
      <c r="BE2" s="259"/>
      <c r="BF2" s="259"/>
      <c r="BG2" s="259"/>
      <c r="BH2" s="259" t="s">
        <v>1470</v>
      </c>
      <c r="BI2" s="259"/>
      <c r="BJ2" s="259"/>
      <c r="BK2" s="259"/>
      <c r="BL2" s="259" t="s">
        <v>1471</v>
      </c>
      <c r="BM2" s="259"/>
      <c r="BN2" s="259"/>
      <c r="BO2" s="259"/>
      <c r="BP2" s="259" t="s">
        <v>1472</v>
      </c>
      <c r="BQ2" s="259"/>
      <c r="BR2" s="259"/>
      <c r="BS2" s="259"/>
      <c r="BT2" s="259" t="s">
        <v>1473</v>
      </c>
      <c r="BU2" s="259"/>
      <c r="BV2" s="259"/>
      <c r="BW2" s="259"/>
      <c r="BX2" s="259" t="s">
        <v>1474</v>
      </c>
      <c r="BY2" s="259"/>
      <c r="BZ2" s="259"/>
      <c r="CA2" s="259"/>
      <c r="CB2" s="259" t="s">
        <v>1475</v>
      </c>
      <c r="CC2" s="259"/>
      <c r="CD2" s="259"/>
      <c r="CE2" s="259"/>
      <c r="CF2" s="259" t="s">
        <v>1476</v>
      </c>
      <c r="CG2" s="259"/>
      <c r="CH2" s="259"/>
      <c r="CI2" s="259"/>
      <c r="CJ2" s="259" t="s">
        <v>1477</v>
      </c>
      <c r="CK2" s="259"/>
      <c r="CL2" s="259"/>
      <c r="CM2" s="259"/>
      <c r="CN2" s="259" t="s">
        <v>1530</v>
      </c>
      <c r="CO2" s="259"/>
      <c r="CP2" s="259"/>
      <c r="CQ2" s="259"/>
      <c r="CR2" s="259" t="s">
        <v>1532</v>
      </c>
      <c r="CS2" s="259"/>
      <c r="CT2" s="259"/>
      <c r="CU2" s="259"/>
      <c r="CV2" s="243"/>
      <c r="CW2" s="243"/>
      <c r="CX2" s="243"/>
      <c r="CY2" s="243"/>
      <c r="CZ2" s="243"/>
      <c r="DA2" s="243"/>
      <c r="DB2" s="243"/>
      <c r="DC2" s="243"/>
      <c r="DD2" s="243"/>
      <c r="DE2" s="243"/>
      <c r="DF2" s="243"/>
      <c r="DG2" s="243"/>
      <c r="DH2" s="243"/>
      <c r="DI2" s="243"/>
      <c r="DJ2" s="243"/>
      <c r="DK2" s="243"/>
      <c r="DL2" s="243"/>
      <c r="DM2" s="243"/>
      <c r="DN2" s="243"/>
      <c r="DO2" s="243"/>
      <c r="DP2" s="243"/>
      <c r="DQ2" s="243"/>
      <c r="DR2" s="243"/>
      <c r="DS2" s="243"/>
      <c r="DT2" s="243"/>
      <c r="DU2" s="243"/>
      <c r="DV2" s="243"/>
      <c r="DW2" s="243"/>
      <c r="DX2" s="243"/>
      <c r="DY2" s="243"/>
      <c r="DZ2" s="243"/>
      <c r="EA2" s="243"/>
      <c r="EB2" s="243"/>
      <c r="EC2" s="243"/>
      <c r="ED2" s="243"/>
      <c r="EE2" s="243"/>
      <c r="EF2" s="243"/>
      <c r="EG2" s="243"/>
      <c r="EH2" s="243"/>
      <c r="EI2" s="243"/>
      <c r="EJ2" s="243"/>
      <c r="EK2" s="243"/>
      <c r="EL2" s="243"/>
      <c r="EM2" s="243"/>
      <c r="EN2" s="243"/>
      <c r="EO2" s="243"/>
      <c r="EP2" s="243"/>
      <c r="EQ2" s="243"/>
      <c r="ER2" s="243"/>
      <c r="ES2" s="243"/>
      <c r="ET2" s="243"/>
      <c r="EU2" s="243"/>
      <c r="EV2" s="243"/>
      <c r="EW2" s="243"/>
      <c r="EX2" s="243"/>
      <c r="EY2" s="243"/>
      <c r="EZ2" s="243"/>
      <c r="FA2" s="243"/>
      <c r="FB2" s="243"/>
      <c r="FC2" s="243"/>
      <c r="FD2" s="243"/>
      <c r="FE2" s="243"/>
      <c r="FF2" s="243"/>
      <c r="FG2" s="243"/>
      <c r="FH2" s="243"/>
      <c r="FI2" s="243"/>
      <c r="FJ2" s="243"/>
      <c r="FK2" s="243"/>
      <c r="FL2" s="243"/>
      <c r="FM2" s="243"/>
      <c r="FN2" s="243"/>
      <c r="FO2" s="243"/>
      <c r="FP2" s="243"/>
      <c r="FQ2" s="243"/>
      <c r="FR2" s="243"/>
      <c r="FS2" s="243"/>
      <c r="FT2" s="243"/>
      <c r="FU2" s="243"/>
      <c r="FV2" s="243"/>
      <c r="FW2" s="243"/>
      <c r="FX2" s="243"/>
      <c r="FY2" s="243"/>
      <c r="FZ2" s="243"/>
      <c r="GA2" s="243"/>
      <c r="GB2" s="243"/>
      <c r="GC2" s="243"/>
      <c r="GD2" s="243"/>
      <c r="GE2" s="243"/>
      <c r="GF2" s="243"/>
      <c r="GG2" s="243"/>
      <c r="GH2" s="243"/>
      <c r="GI2" s="243"/>
      <c r="GJ2" s="243"/>
      <c r="GK2" s="243"/>
      <c r="GL2" s="243"/>
      <c r="GM2" s="243"/>
      <c r="GN2" s="243"/>
      <c r="GO2" s="243"/>
      <c r="GP2" s="243"/>
      <c r="GQ2" s="243"/>
      <c r="GR2" s="243"/>
      <c r="GS2" s="243"/>
      <c r="GT2" s="243"/>
      <c r="GU2" s="243"/>
      <c r="GV2" s="243"/>
      <c r="GW2" s="243"/>
      <c r="GX2" s="243"/>
      <c r="GY2" s="243"/>
      <c r="GZ2" s="243"/>
      <c r="HA2" s="243"/>
      <c r="HB2" s="243"/>
      <c r="HC2" s="243"/>
      <c r="HD2" s="243"/>
      <c r="HE2" s="243"/>
      <c r="HF2" s="243"/>
      <c r="HG2" s="243"/>
      <c r="HH2" s="243"/>
      <c r="HI2" s="243"/>
      <c r="HJ2" s="243"/>
      <c r="HK2" s="243"/>
      <c r="HL2" s="243"/>
      <c r="HM2" s="243"/>
      <c r="HN2" s="243"/>
      <c r="HO2" s="243"/>
      <c r="HP2" s="243"/>
      <c r="HQ2" s="243"/>
      <c r="HR2" s="243"/>
      <c r="HS2" s="243"/>
      <c r="HT2" s="243"/>
      <c r="HU2" s="243"/>
      <c r="HV2" s="243"/>
      <c r="HW2" s="243"/>
      <c r="HX2" s="243"/>
      <c r="HY2" s="243"/>
      <c r="HZ2" s="243"/>
      <c r="IA2" s="243"/>
      <c r="IB2" s="243"/>
      <c r="IC2" s="243"/>
      <c r="ID2" s="243"/>
      <c r="IE2" s="243"/>
      <c r="IF2" s="243"/>
      <c r="IG2" s="243"/>
      <c r="IH2" s="243"/>
      <c r="II2" s="243"/>
      <c r="IJ2" s="243"/>
      <c r="IK2" s="243"/>
      <c r="IL2" s="243"/>
      <c r="IM2" s="243"/>
      <c r="IN2" s="243"/>
      <c r="IO2" s="243"/>
      <c r="IP2" s="243"/>
      <c r="IQ2" s="243"/>
      <c r="IR2" s="243"/>
      <c r="IS2" s="243"/>
      <c r="IT2" s="243"/>
      <c r="IU2" s="243"/>
      <c r="IV2" s="243"/>
      <c r="IW2" s="243"/>
      <c r="IX2" s="243"/>
      <c r="IY2" s="243"/>
      <c r="IZ2" s="243"/>
      <c r="JA2" s="243"/>
      <c r="JB2" s="243"/>
      <c r="JC2" s="243"/>
      <c r="JD2" s="243"/>
      <c r="JE2" s="243"/>
      <c r="JF2" s="243"/>
      <c r="JG2" s="243"/>
      <c r="JH2" s="243"/>
      <c r="JI2" s="243"/>
      <c r="JJ2" s="243"/>
      <c r="JK2" s="243"/>
      <c r="JL2" s="243"/>
      <c r="JM2" s="243"/>
      <c r="JN2" s="243"/>
      <c r="JO2" s="243"/>
      <c r="JP2" s="243"/>
      <c r="JQ2" s="243"/>
      <c r="JR2" s="243"/>
      <c r="JS2" s="243"/>
      <c r="JT2" s="243"/>
      <c r="JU2" s="243"/>
      <c r="JV2" s="243"/>
      <c r="JW2" s="243"/>
      <c r="JX2" s="243"/>
      <c r="JY2" s="243"/>
      <c r="JZ2" s="243"/>
      <c r="KA2" s="243"/>
      <c r="KB2" s="243"/>
      <c r="KC2" s="243"/>
      <c r="KD2" s="243"/>
      <c r="KE2" s="243"/>
      <c r="KF2" s="243"/>
      <c r="KG2" s="243"/>
      <c r="KH2" s="243"/>
      <c r="KI2" s="243"/>
      <c r="KJ2" s="243"/>
      <c r="KK2" s="243"/>
      <c r="KL2" s="243"/>
      <c r="KM2" s="243"/>
      <c r="KN2" s="243"/>
      <c r="KO2" s="243"/>
      <c r="KP2" s="243"/>
      <c r="KQ2" s="243"/>
      <c r="KR2" s="243"/>
      <c r="KS2" s="243"/>
      <c r="KT2" s="243"/>
      <c r="KU2" s="243"/>
      <c r="KV2" s="243"/>
      <c r="KW2" s="243"/>
      <c r="KX2" s="243"/>
      <c r="KY2" s="243"/>
      <c r="KZ2" s="243"/>
      <c r="LA2" s="243"/>
      <c r="LB2" s="243"/>
      <c r="LC2" s="243"/>
      <c r="LD2" s="243"/>
      <c r="LE2" s="243"/>
      <c r="LF2" s="243"/>
      <c r="LG2" s="243"/>
      <c r="LH2" s="243"/>
      <c r="LI2" s="243"/>
      <c r="LJ2" s="243"/>
      <c r="LK2" s="243"/>
      <c r="LL2" s="243"/>
      <c r="LM2" s="243"/>
      <c r="LN2" s="243"/>
      <c r="LO2" s="243"/>
      <c r="LP2" s="243"/>
      <c r="LQ2" s="243"/>
      <c r="LR2" s="243"/>
      <c r="LS2" s="243"/>
      <c r="LT2" s="243"/>
      <c r="LU2" s="243"/>
      <c r="LV2" s="243"/>
      <c r="LW2" s="243"/>
      <c r="LX2" s="243"/>
      <c r="LY2" s="243"/>
      <c r="LZ2" s="243"/>
      <c r="MA2" s="243"/>
      <c r="MB2" s="243"/>
      <c r="MC2" s="243"/>
      <c r="MD2" s="243"/>
      <c r="ME2" s="243"/>
      <c r="MF2" s="243"/>
      <c r="MG2" s="243"/>
      <c r="MH2" s="243"/>
      <c r="MI2" s="243"/>
      <c r="MJ2" s="243"/>
      <c r="MK2" s="243"/>
      <c r="ML2" s="243"/>
      <c r="MM2" s="243"/>
      <c r="MN2" s="243"/>
      <c r="MO2" s="243"/>
      <c r="MP2" s="243"/>
      <c r="MQ2" s="243"/>
      <c r="MR2" s="243"/>
      <c r="MS2" s="243"/>
      <c r="MT2" s="243"/>
      <c r="MU2" s="243"/>
      <c r="MV2" s="243"/>
      <c r="MW2" s="243"/>
      <c r="MX2" s="243"/>
      <c r="MY2" s="243"/>
      <c r="MZ2" s="243"/>
      <c r="NA2" s="243"/>
      <c r="NB2" s="243"/>
      <c r="NC2" s="243"/>
      <c r="ND2" s="243"/>
      <c r="NE2" s="243"/>
      <c r="NF2" s="243"/>
      <c r="NG2" s="243"/>
      <c r="NH2" s="243"/>
      <c r="NI2" s="243"/>
      <c r="NJ2" s="243"/>
      <c r="NK2" s="243"/>
      <c r="NL2" s="243"/>
      <c r="NM2" s="243"/>
      <c r="NN2" s="243"/>
      <c r="NO2" s="243"/>
      <c r="NP2" s="243"/>
      <c r="NQ2" s="243"/>
      <c r="NR2" s="243"/>
      <c r="NS2" s="243"/>
      <c r="NT2" s="243"/>
      <c r="NU2" s="243"/>
      <c r="NV2" s="243"/>
      <c r="NW2" s="243"/>
      <c r="NX2" s="243"/>
      <c r="NY2" s="243"/>
      <c r="NZ2" s="243"/>
      <c r="OA2" s="243"/>
      <c r="OB2" s="243"/>
      <c r="OC2" s="243"/>
      <c r="OD2" s="243"/>
      <c r="OE2" s="243"/>
      <c r="OF2" s="243"/>
      <c r="OG2" s="243"/>
      <c r="OH2" s="243"/>
      <c r="OI2" s="243"/>
      <c r="OJ2" s="243"/>
      <c r="OK2" s="243"/>
      <c r="OL2" s="243"/>
      <c r="OM2" s="243"/>
      <c r="ON2" s="243"/>
      <c r="OO2" s="243"/>
      <c r="OP2" s="243"/>
      <c r="OQ2" s="243"/>
      <c r="OR2" s="243"/>
      <c r="OS2" s="243"/>
      <c r="OT2" s="243"/>
      <c r="OU2" s="243"/>
      <c r="OV2" s="243"/>
      <c r="OW2" s="243"/>
      <c r="OX2" s="243"/>
      <c r="OY2" s="243"/>
      <c r="OZ2" s="243"/>
      <c r="PA2" s="243"/>
      <c r="PB2" s="243"/>
      <c r="PC2" s="243"/>
      <c r="PD2" s="243"/>
      <c r="PE2" s="243"/>
      <c r="PF2" s="243"/>
      <c r="PG2" s="243"/>
      <c r="PH2" s="243"/>
      <c r="PI2" s="243"/>
      <c r="PJ2" s="243"/>
      <c r="PK2" s="243"/>
      <c r="PL2" s="243"/>
      <c r="PM2" s="243"/>
      <c r="PN2" s="243"/>
      <c r="PO2" s="243"/>
      <c r="PP2" s="243"/>
      <c r="PQ2" s="243"/>
      <c r="PR2" s="243"/>
      <c r="PS2" s="243"/>
      <c r="PT2" s="243"/>
      <c r="PU2" s="243"/>
      <c r="PV2" s="243"/>
      <c r="PW2" s="243"/>
      <c r="PX2" s="243"/>
      <c r="PY2" s="243"/>
      <c r="PZ2" s="243"/>
      <c r="QA2" s="243"/>
      <c r="QB2" s="243"/>
      <c r="QC2" s="243"/>
      <c r="QD2" s="243"/>
      <c r="QE2" s="243"/>
      <c r="QF2" s="243"/>
      <c r="QG2" s="243"/>
      <c r="QH2" s="243"/>
      <c r="QI2" s="243"/>
      <c r="QJ2" s="243"/>
      <c r="QK2" s="243"/>
      <c r="QL2" s="243"/>
      <c r="QM2" s="243"/>
      <c r="QN2" s="243"/>
      <c r="QO2" s="243"/>
      <c r="QP2" s="243"/>
      <c r="QQ2" s="243"/>
      <c r="QR2" s="243"/>
      <c r="QS2" s="243"/>
      <c r="QT2" s="243"/>
      <c r="QU2" s="243"/>
      <c r="QV2" s="243"/>
      <c r="QW2" s="243"/>
      <c r="QX2" s="243"/>
      <c r="QY2" s="243"/>
      <c r="QZ2" s="243"/>
      <c r="RA2" s="243"/>
      <c r="RB2" s="243"/>
      <c r="RC2" s="243"/>
      <c r="RD2" s="243"/>
      <c r="RE2" s="243"/>
      <c r="RF2" s="243"/>
      <c r="RG2" s="243"/>
      <c r="RH2" s="243"/>
      <c r="RI2" s="243"/>
      <c r="RJ2" s="243"/>
      <c r="RK2" s="243"/>
      <c r="RL2" s="243"/>
      <c r="RM2" s="243"/>
      <c r="RN2" s="243"/>
      <c r="RO2" s="243"/>
      <c r="RP2" s="243"/>
      <c r="RQ2" s="243"/>
      <c r="RR2" s="243"/>
    </row>
    <row r="3" spans="1:486" s="135" customFormat="1" ht="19.05" customHeight="1">
      <c r="A3" s="280" t="s">
        <v>556</v>
      </c>
      <c r="B3" s="282" t="s">
        <v>551</v>
      </c>
      <c r="C3" s="284" t="s">
        <v>558</v>
      </c>
      <c r="D3" s="285" t="s">
        <v>552</v>
      </c>
      <c r="E3" s="286" t="s">
        <v>1390</v>
      </c>
      <c r="F3" s="287"/>
      <c r="G3" s="287"/>
      <c r="H3" s="287"/>
      <c r="I3" s="287"/>
      <c r="J3" s="287"/>
      <c r="K3" s="287"/>
      <c r="L3" s="287"/>
      <c r="M3" s="287"/>
      <c r="N3" s="287"/>
      <c r="O3" s="261" t="s">
        <v>1391</v>
      </c>
      <c r="P3" s="261" t="s">
        <v>1392</v>
      </c>
      <c r="Q3" s="261" t="s">
        <v>1393</v>
      </c>
      <c r="R3" s="268" t="s">
        <v>1432</v>
      </c>
      <c r="S3" s="263" t="s">
        <v>1394</v>
      </c>
      <c r="T3" s="263" t="s">
        <v>1395</v>
      </c>
      <c r="U3" s="263" t="s">
        <v>1396</v>
      </c>
      <c r="V3" s="263" t="s">
        <v>1397</v>
      </c>
      <c r="W3" s="265" t="s">
        <v>1398</v>
      </c>
      <c r="X3" s="265" t="s">
        <v>1399</v>
      </c>
      <c r="Y3" s="270" t="s">
        <v>1400</v>
      </c>
      <c r="Z3" s="266" t="s">
        <v>1401</v>
      </c>
      <c r="AA3" s="272" t="s">
        <v>1402</v>
      </c>
      <c r="AB3" s="261" t="s">
        <v>1403</v>
      </c>
      <c r="AC3" s="274" t="s">
        <v>1434</v>
      </c>
      <c r="AD3" s="278" t="s">
        <v>1404</v>
      </c>
      <c r="AE3" s="276" t="s">
        <v>1405</v>
      </c>
      <c r="AF3" s="257" t="s">
        <v>1512</v>
      </c>
      <c r="AG3" s="258"/>
      <c r="AH3" s="258"/>
      <c r="AI3" s="258"/>
      <c r="AJ3" s="289" t="s">
        <v>1513</v>
      </c>
      <c r="AK3" s="258"/>
      <c r="AL3" s="258"/>
      <c r="AM3" s="258"/>
      <c r="AN3" s="289" t="s">
        <v>1514</v>
      </c>
      <c r="AO3" s="258"/>
      <c r="AP3" s="258"/>
      <c r="AQ3" s="258"/>
      <c r="AR3" s="289" t="s">
        <v>1515</v>
      </c>
      <c r="AS3" s="258"/>
      <c r="AT3" s="258"/>
      <c r="AU3" s="258"/>
      <c r="AV3" s="289" t="s">
        <v>1516</v>
      </c>
      <c r="AW3" s="258"/>
      <c r="AX3" s="258"/>
      <c r="AY3" s="258"/>
      <c r="AZ3" s="289" t="s">
        <v>1517</v>
      </c>
      <c r="BA3" s="258"/>
      <c r="BB3" s="258"/>
      <c r="BC3" s="258"/>
      <c r="BD3" s="289" t="s">
        <v>1518</v>
      </c>
      <c r="BE3" s="258"/>
      <c r="BF3" s="258"/>
      <c r="BG3" s="258"/>
      <c r="BH3" s="289" t="s">
        <v>1519</v>
      </c>
      <c r="BI3" s="258"/>
      <c r="BJ3" s="258"/>
      <c r="BK3" s="258"/>
      <c r="BL3" s="289" t="s">
        <v>1520</v>
      </c>
      <c r="BM3" s="258"/>
      <c r="BN3" s="258"/>
      <c r="BO3" s="258"/>
      <c r="BP3" s="289" t="s">
        <v>1521</v>
      </c>
      <c r="BQ3" s="258"/>
      <c r="BR3" s="258"/>
      <c r="BS3" s="258"/>
      <c r="BT3" s="289" t="s">
        <v>1522</v>
      </c>
      <c r="BU3" s="258"/>
      <c r="BV3" s="258"/>
      <c r="BW3" s="258"/>
      <c r="BX3" s="289" t="s">
        <v>1523</v>
      </c>
      <c r="BY3" s="258"/>
      <c r="BZ3" s="258"/>
      <c r="CA3" s="258"/>
      <c r="CB3" s="289" t="s">
        <v>1524</v>
      </c>
      <c r="CC3" s="258"/>
      <c r="CD3" s="258"/>
      <c r="CE3" s="258"/>
      <c r="CF3" s="289" t="s">
        <v>1525</v>
      </c>
      <c r="CG3" s="258"/>
      <c r="CH3" s="258"/>
      <c r="CI3" s="258"/>
      <c r="CJ3" s="289" t="s">
        <v>1528</v>
      </c>
      <c r="CK3" s="258"/>
      <c r="CL3" s="258"/>
      <c r="CM3" s="258"/>
      <c r="CN3" s="289" t="s">
        <v>1529</v>
      </c>
      <c r="CO3" s="258"/>
      <c r="CP3" s="258"/>
      <c r="CQ3" s="258"/>
      <c r="CR3" s="289" t="s">
        <v>1531</v>
      </c>
      <c r="CS3" s="258"/>
      <c r="CT3" s="258"/>
      <c r="CU3" s="290"/>
    </row>
    <row r="4" spans="1:486" s="136" customFormat="1" ht="6" customHeight="1">
      <c r="A4" s="281"/>
      <c r="B4" s="283"/>
      <c r="C4" s="280"/>
      <c r="D4" s="275"/>
      <c r="E4" s="288"/>
      <c r="F4" s="287"/>
      <c r="G4" s="287"/>
      <c r="H4" s="287"/>
      <c r="I4" s="287"/>
      <c r="J4" s="287"/>
      <c r="K4" s="287"/>
      <c r="L4" s="287"/>
      <c r="M4" s="287"/>
      <c r="N4" s="287"/>
      <c r="O4" s="262"/>
      <c r="P4" s="262"/>
      <c r="Q4" s="262"/>
      <c r="R4" s="269"/>
      <c r="S4" s="264"/>
      <c r="T4" s="264"/>
      <c r="U4" s="264"/>
      <c r="V4" s="264"/>
      <c r="W4" s="262"/>
      <c r="X4" s="262"/>
      <c r="Y4" s="271"/>
      <c r="Z4" s="267"/>
      <c r="AA4" s="273"/>
      <c r="AB4" s="262"/>
      <c r="AC4" s="275"/>
      <c r="AD4" s="279"/>
      <c r="AE4" s="277"/>
      <c r="AF4" s="141">
        <v>44200</v>
      </c>
      <c r="AG4" s="142">
        <v>44207</v>
      </c>
      <c r="AH4" s="142">
        <v>44214</v>
      </c>
      <c r="AI4" s="142">
        <v>44221</v>
      </c>
      <c r="AJ4" s="142">
        <v>44228</v>
      </c>
      <c r="AK4" s="142">
        <v>44235</v>
      </c>
      <c r="AL4" s="142">
        <v>44242</v>
      </c>
      <c r="AM4" s="142">
        <v>44249</v>
      </c>
      <c r="AN4" s="142">
        <v>44256</v>
      </c>
      <c r="AO4" s="142">
        <v>44263</v>
      </c>
      <c r="AP4" s="142">
        <v>44270</v>
      </c>
      <c r="AQ4" s="142">
        <v>44277</v>
      </c>
      <c r="AR4" s="142">
        <v>44284</v>
      </c>
      <c r="AS4" s="142">
        <v>44291</v>
      </c>
      <c r="AT4" s="142">
        <v>44298</v>
      </c>
      <c r="AU4" s="142">
        <v>44305</v>
      </c>
      <c r="AV4" s="142">
        <v>44312</v>
      </c>
      <c r="AW4" s="142">
        <v>44319</v>
      </c>
      <c r="AX4" s="142">
        <v>44326</v>
      </c>
      <c r="AY4" s="142">
        <v>44333</v>
      </c>
      <c r="AZ4" s="142">
        <v>44340</v>
      </c>
      <c r="BA4" s="142">
        <v>44347</v>
      </c>
      <c r="BB4" s="142">
        <v>44354</v>
      </c>
      <c r="BC4" s="142">
        <v>44361</v>
      </c>
      <c r="BD4" s="142">
        <v>44368</v>
      </c>
      <c r="BE4" s="142">
        <v>44375</v>
      </c>
      <c r="BF4" s="142">
        <v>44382</v>
      </c>
      <c r="BG4" s="142">
        <v>44389</v>
      </c>
      <c r="BH4" s="142">
        <v>44396</v>
      </c>
      <c r="BI4" s="142">
        <v>44403</v>
      </c>
      <c r="BJ4" s="142">
        <v>44410</v>
      </c>
      <c r="BK4" s="142">
        <v>44417</v>
      </c>
      <c r="BL4" s="142">
        <v>44424</v>
      </c>
      <c r="BM4" s="142">
        <v>44431</v>
      </c>
      <c r="BN4" s="142">
        <v>44438</v>
      </c>
      <c r="BO4" s="142">
        <v>44445</v>
      </c>
      <c r="BP4" s="142">
        <v>44452</v>
      </c>
      <c r="BQ4" s="142">
        <v>44459</v>
      </c>
      <c r="BR4" s="142">
        <v>44466</v>
      </c>
      <c r="BS4" s="142">
        <v>44473</v>
      </c>
      <c r="BT4" s="142">
        <v>44480</v>
      </c>
      <c r="BU4" s="142">
        <v>44487</v>
      </c>
      <c r="BV4" s="142">
        <v>44494</v>
      </c>
      <c r="BW4" s="142">
        <v>44501</v>
      </c>
      <c r="BX4" s="142">
        <v>44508</v>
      </c>
      <c r="BY4" s="142">
        <v>44515</v>
      </c>
      <c r="BZ4" s="142">
        <v>44522</v>
      </c>
      <c r="CA4" s="142">
        <v>44529</v>
      </c>
      <c r="CB4" s="142">
        <v>44536</v>
      </c>
      <c r="CC4" s="142">
        <v>44543</v>
      </c>
      <c r="CD4" s="142">
        <v>44550</v>
      </c>
      <c r="CE4" s="142">
        <v>44557</v>
      </c>
      <c r="CF4" s="142">
        <v>44564</v>
      </c>
      <c r="CG4" s="142">
        <v>44571</v>
      </c>
      <c r="CH4" s="142">
        <v>44578</v>
      </c>
      <c r="CI4" s="142">
        <v>44585</v>
      </c>
      <c r="CJ4" s="142">
        <v>44592</v>
      </c>
      <c r="CK4" s="142">
        <v>44599</v>
      </c>
      <c r="CL4" s="142">
        <v>44606</v>
      </c>
      <c r="CM4" s="142">
        <v>44613</v>
      </c>
      <c r="CN4" s="142">
        <v>44620</v>
      </c>
      <c r="CO4" s="142">
        <v>44627</v>
      </c>
      <c r="CP4" s="142">
        <v>44634</v>
      </c>
      <c r="CQ4" s="142">
        <v>44641</v>
      </c>
      <c r="CR4" s="142">
        <v>44648</v>
      </c>
      <c r="CS4" s="153"/>
      <c r="CT4" s="153"/>
      <c r="CU4" s="143"/>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4"/>
      <c r="FA4" s="144"/>
      <c r="FB4" s="144"/>
      <c r="FC4" s="144"/>
      <c r="FD4" s="144"/>
      <c r="FE4" s="144"/>
      <c r="FF4" s="144"/>
      <c r="FG4" s="144"/>
      <c r="FH4" s="144"/>
      <c r="FI4" s="144"/>
      <c r="FJ4" s="144"/>
      <c r="FK4" s="144"/>
      <c r="FL4" s="144"/>
      <c r="FM4" s="144"/>
      <c r="FN4" s="144"/>
      <c r="FO4" s="144"/>
      <c r="FP4" s="144"/>
      <c r="FQ4" s="144"/>
      <c r="FR4" s="144"/>
      <c r="FS4" s="144"/>
      <c r="FT4" s="144"/>
      <c r="FU4" s="144"/>
      <c r="FV4" s="144"/>
      <c r="FW4" s="144"/>
      <c r="FX4" s="144"/>
      <c r="FY4" s="144"/>
      <c r="FZ4" s="144"/>
      <c r="GA4" s="144"/>
      <c r="GB4" s="144"/>
      <c r="GC4" s="144"/>
      <c r="GD4" s="144"/>
      <c r="GE4" s="144"/>
      <c r="GF4" s="144"/>
      <c r="GG4" s="144"/>
      <c r="GH4" s="144"/>
      <c r="GI4" s="144"/>
      <c r="GJ4" s="144"/>
      <c r="GK4" s="144"/>
      <c r="GL4" s="144"/>
      <c r="GM4" s="144"/>
      <c r="GN4" s="144"/>
      <c r="GO4" s="144"/>
      <c r="GP4" s="144"/>
      <c r="GQ4" s="144"/>
      <c r="GR4" s="144"/>
      <c r="GS4" s="144"/>
      <c r="GT4" s="144"/>
      <c r="GU4" s="144"/>
      <c r="GV4" s="144"/>
      <c r="GW4" s="144"/>
      <c r="GX4" s="144"/>
      <c r="GY4" s="144"/>
      <c r="GZ4" s="144"/>
      <c r="HA4" s="144"/>
      <c r="HB4" s="144"/>
      <c r="HC4" s="144"/>
      <c r="HD4" s="144"/>
      <c r="HE4" s="144"/>
      <c r="HF4" s="144"/>
      <c r="HG4" s="144"/>
      <c r="HH4" s="144"/>
      <c r="HI4" s="144"/>
      <c r="HJ4" s="144"/>
      <c r="HK4" s="144"/>
      <c r="HL4" s="144"/>
      <c r="HM4" s="144"/>
      <c r="HN4" s="144"/>
      <c r="HO4" s="144"/>
      <c r="HP4" s="144"/>
      <c r="HQ4" s="144"/>
      <c r="HR4" s="144"/>
      <c r="HS4" s="144"/>
      <c r="HT4" s="144"/>
      <c r="HU4" s="144"/>
      <c r="HV4" s="144"/>
      <c r="HW4" s="144"/>
      <c r="HX4" s="144"/>
      <c r="HY4" s="144"/>
      <c r="HZ4" s="144"/>
      <c r="IA4" s="144"/>
      <c r="IB4" s="144"/>
      <c r="IC4" s="144"/>
      <c r="ID4" s="144"/>
      <c r="IE4" s="144"/>
      <c r="IF4" s="144"/>
      <c r="IG4" s="144"/>
      <c r="IH4" s="144"/>
      <c r="II4" s="144"/>
      <c r="IJ4" s="144"/>
      <c r="IK4" s="144"/>
      <c r="IL4" s="144"/>
      <c r="IM4" s="144"/>
      <c r="IN4" s="144"/>
      <c r="IO4" s="144"/>
      <c r="IP4" s="144"/>
      <c r="IQ4" s="144"/>
      <c r="IR4" s="144"/>
      <c r="IS4" s="144"/>
      <c r="IT4" s="144"/>
      <c r="IU4" s="144"/>
      <c r="IV4" s="144"/>
      <c r="IW4" s="144"/>
      <c r="IX4" s="144"/>
      <c r="IY4" s="144"/>
      <c r="IZ4" s="144"/>
      <c r="JA4" s="144"/>
      <c r="JB4" s="144"/>
      <c r="JC4" s="144"/>
      <c r="JD4" s="144"/>
      <c r="JE4" s="144"/>
      <c r="JF4" s="144"/>
      <c r="JG4" s="144"/>
      <c r="JH4" s="144"/>
      <c r="JI4" s="144"/>
      <c r="JJ4" s="144"/>
      <c r="JK4" s="144"/>
      <c r="JL4" s="144"/>
      <c r="JM4" s="144"/>
      <c r="JN4" s="144"/>
      <c r="JO4" s="144"/>
      <c r="JP4" s="144"/>
      <c r="JQ4" s="144"/>
      <c r="JR4" s="144"/>
      <c r="JS4" s="144"/>
      <c r="JT4" s="144"/>
      <c r="JU4" s="144"/>
      <c r="JV4" s="144"/>
      <c r="JW4" s="144"/>
      <c r="JX4" s="144"/>
      <c r="JY4" s="144"/>
      <c r="JZ4" s="144"/>
      <c r="KA4" s="144"/>
      <c r="KB4" s="144"/>
      <c r="KC4" s="144"/>
      <c r="KD4" s="144"/>
      <c r="KE4" s="144"/>
      <c r="KF4" s="144"/>
      <c r="KG4" s="144"/>
      <c r="KH4" s="144"/>
      <c r="KI4" s="144"/>
      <c r="KJ4" s="144"/>
      <c r="KK4" s="144"/>
      <c r="KL4" s="144"/>
      <c r="KM4" s="144"/>
      <c r="KN4" s="144"/>
      <c r="KO4" s="144"/>
      <c r="KP4" s="144"/>
      <c r="KQ4" s="144"/>
      <c r="KR4" s="144"/>
      <c r="KS4" s="144"/>
      <c r="KT4" s="144"/>
      <c r="KU4" s="144"/>
      <c r="KV4" s="144"/>
      <c r="KW4" s="144"/>
      <c r="KX4" s="144"/>
      <c r="KY4" s="144"/>
      <c r="KZ4" s="144"/>
      <c r="LA4" s="144"/>
      <c r="LB4" s="144"/>
      <c r="LC4" s="144"/>
      <c r="LD4" s="144"/>
      <c r="LE4" s="144"/>
      <c r="LF4" s="144"/>
      <c r="LG4" s="144"/>
      <c r="LH4" s="144"/>
      <c r="LI4" s="144"/>
      <c r="LJ4" s="144"/>
      <c r="LK4" s="144"/>
      <c r="LL4" s="144"/>
      <c r="LM4" s="144"/>
      <c r="LN4" s="144"/>
      <c r="LO4" s="144"/>
      <c r="LP4" s="144"/>
      <c r="LQ4" s="144"/>
      <c r="LR4" s="144"/>
      <c r="LS4" s="144"/>
      <c r="LT4" s="144"/>
      <c r="LU4" s="144"/>
      <c r="LV4" s="144"/>
      <c r="LW4" s="144"/>
      <c r="LX4" s="144"/>
      <c r="LY4" s="144"/>
      <c r="LZ4" s="144"/>
      <c r="MA4" s="144"/>
      <c r="MB4" s="144"/>
      <c r="MC4" s="144"/>
      <c r="MD4" s="144"/>
      <c r="ME4" s="144"/>
      <c r="MF4" s="144"/>
      <c r="MG4" s="144"/>
      <c r="MH4" s="144"/>
      <c r="MI4" s="144"/>
      <c r="MJ4" s="144"/>
      <c r="MK4" s="144"/>
      <c r="ML4" s="144"/>
      <c r="MM4" s="144"/>
      <c r="MN4" s="144"/>
      <c r="MO4" s="144"/>
      <c r="MP4" s="144"/>
      <c r="MQ4" s="144"/>
      <c r="MR4" s="144"/>
      <c r="MS4" s="144"/>
      <c r="MT4" s="144"/>
      <c r="MU4" s="144"/>
      <c r="MV4" s="144"/>
      <c r="MW4" s="144"/>
      <c r="MX4" s="144"/>
      <c r="MY4" s="144"/>
      <c r="MZ4" s="144"/>
      <c r="NA4" s="144"/>
      <c r="NB4" s="144"/>
      <c r="NC4" s="144"/>
      <c r="ND4" s="144"/>
      <c r="NE4" s="144"/>
      <c r="NF4" s="144"/>
      <c r="NG4" s="144"/>
      <c r="NH4" s="144"/>
      <c r="NI4" s="144"/>
      <c r="NJ4" s="144"/>
      <c r="NK4" s="144"/>
      <c r="NL4" s="144"/>
      <c r="NM4" s="144"/>
      <c r="NN4" s="144"/>
      <c r="NO4" s="144"/>
      <c r="NP4" s="144"/>
      <c r="NQ4" s="144"/>
      <c r="NR4" s="144"/>
      <c r="NS4" s="144"/>
      <c r="NT4" s="144"/>
      <c r="NU4" s="144"/>
      <c r="NV4" s="144"/>
      <c r="NW4" s="144"/>
      <c r="NX4" s="144"/>
      <c r="NY4" s="144"/>
      <c r="NZ4" s="144"/>
      <c r="OA4" s="144"/>
      <c r="OB4" s="144"/>
      <c r="OC4" s="144"/>
      <c r="OD4" s="144"/>
      <c r="OE4" s="144"/>
      <c r="OF4" s="144"/>
      <c r="OG4" s="144"/>
      <c r="OH4" s="144"/>
      <c r="OI4" s="144"/>
      <c r="OJ4" s="144"/>
      <c r="OK4" s="144"/>
      <c r="OL4" s="144"/>
      <c r="OM4" s="144"/>
      <c r="ON4" s="144"/>
      <c r="OO4" s="144"/>
      <c r="OP4" s="144"/>
      <c r="OQ4" s="144"/>
      <c r="OR4" s="144"/>
      <c r="OS4" s="144"/>
      <c r="OT4" s="144"/>
      <c r="OU4" s="144"/>
      <c r="OV4" s="144"/>
      <c r="OW4" s="144"/>
      <c r="OX4" s="144"/>
      <c r="OY4" s="144"/>
      <c r="OZ4" s="144"/>
      <c r="PA4" s="144"/>
      <c r="PB4" s="144"/>
      <c r="PC4" s="144"/>
      <c r="PD4" s="144"/>
      <c r="PE4" s="144"/>
      <c r="PF4" s="144"/>
      <c r="PG4" s="144"/>
      <c r="PH4" s="144"/>
      <c r="PI4" s="144"/>
      <c r="PJ4" s="144"/>
      <c r="PK4" s="144"/>
      <c r="PL4" s="144"/>
      <c r="PM4" s="144"/>
      <c r="PN4" s="144"/>
      <c r="PO4" s="144"/>
      <c r="PP4" s="144"/>
      <c r="PQ4" s="144"/>
      <c r="PR4" s="144"/>
      <c r="PS4" s="144"/>
      <c r="PT4" s="144"/>
      <c r="PU4" s="144"/>
      <c r="PV4" s="144"/>
      <c r="PW4" s="144"/>
      <c r="PX4" s="144"/>
      <c r="PY4" s="144"/>
      <c r="PZ4" s="144"/>
      <c r="QA4" s="144"/>
      <c r="QB4" s="144"/>
      <c r="QC4" s="144"/>
      <c r="QD4" s="144"/>
      <c r="QE4" s="144"/>
      <c r="QF4" s="144"/>
      <c r="QG4" s="144"/>
      <c r="QH4" s="144"/>
      <c r="QI4" s="144"/>
      <c r="QJ4" s="144"/>
      <c r="QK4" s="144"/>
      <c r="QL4" s="144"/>
      <c r="QM4" s="144"/>
      <c r="QN4" s="144"/>
      <c r="QO4" s="144"/>
      <c r="QP4" s="144"/>
      <c r="QQ4" s="144"/>
      <c r="QR4" s="144"/>
      <c r="QS4" s="144"/>
      <c r="QT4" s="144"/>
      <c r="QU4" s="144"/>
      <c r="QV4" s="144"/>
      <c r="QW4" s="144"/>
      <c r="QX4" s="144"/>
      <c r="QY4" s="144"/>
      <c r="QZ4" s="144"/>
      <c r="RA4" s="144"/>
      <c r="RB4" s="144"/>
      <c r="RC4" s="144"/>
      <c r="RD4" s="144"/>
      <c r="RE4" s="144"/>
      <c r="RF4" s="144"/>
      <c r="RG4" s="144"/>
      <c r="RH4" s="144"/>
      <c r="RI4" s="144"/>
      <c r="RJ4" s="144"/>
      <c r="RK4" s="144"/>
      <c r="RL4" s="144"/>
      <c r="RM4" s="144"/>
      <c r="RN4" s="144"/>
      <c r="RO4" s="144"/>
      <c r="RP4" s="144"/>
      <c r="RQ4" s="144"/>
      <c r="RR4" s="144"/>
    </row>
    <row r="5" spans="1:486" ht="18" customHeight="1">
      <c r="A5" s="195"/>
      <c r="B5" s="195" t="s">
        <v>1426</v>
      </c>
      <c r="C5" s="195">
        <v>1</v>
      </c>
      <c r="D5" s="196" t="s">
        <v>1021</v>
      </c>
      <c r="E5" s="197" t="s">
        <v>1270</v>
      </c>
      <c r="F5" s="197"/>
      <c r="G5" s="197"/>
      <c r="H5" s="197"/>
      <c r="I5" s="197"/>
      <c r="J5" s="197"/>
      <c r="K5" s="197"/>
      <c r="L5" s="197"/>
      <c r="M5" s="197"/>
      <c r="N5" s="197"/>
      <c r="O5" s="197"/>
      <c r="P5" s="198">
        <v>44200</v>
      </c>
      <c r="Q5" s="198">
        <v>44589</v>
      </c>
      <c r="R5" s="199"/>
      <c r="S5" s="200">
        <v>37</v>
      </c>
      <c r="T5" s="200">
        <v>22</v>
      </c>
      <c r="U5" s="200">
        <v>272</v>
      </c>
      <c r="V5" s="200">
        <v>28</v>
      </c>
      <c r="W5" s="198">
        <v>44200</v>
      </c>
      <c r="X5" s="198"/>
      <c r="Y5" s="201">
        <v>22</v>
      </c>
      <c r="Z5" s="202">
        <v>0</v>
      </c>
      <c r="AA5" s="200"/>
      <c r="AB5" s="199"/>
      <c r="AC5" s="165"/>
      <c r="AD5" s="203">
        <v>0.59459459459459463</v>
      </c>
      <c r="AE5" s="204">
        <v>0.59459459459459463</v>
      </c>
      <c r="AF5" s="137"/>
      <c r="AG5" s="138"/>
      <c r="AH5" s="138"/>
      <c r="AI5" s="138"/>
      <c r="AJ5" s="138"/>
      <c r="AK5" s="138"/>
      <c r="AL5" s="138"/>
      <c r="AM5" s="138"/>
      <c r="AN5" s="138"/>
      <c r="AO5" s="138"/>
      <c r="AP5" s="138"/>
      <c r="AQ5" s="138"/>
      <c r="AR5" s="138"/>
      <c r="AS5" s="138"/>
      <c r="AT5" s="138"/>
      <c r="AU5" s="138"/>
      <c r="AV5" s="138"/>
      <c r="AW5" s="138"/>
      <c r="AX5" s="138"/>
      <c r="AY5" s="138"/>
      <c r="AZ5" s="138"/>
      <c r="BA5" s="138"/>
      <c r="BB5" s="138"/>
      <c r="BC5" s="138"/>
      <c r="BD5" s="138"/>
      <c r="BE5" s="138"/>
      <c r="BF5" s="138"/>
      <c r="BG5" s="138"/>
      <c r="BH5" s="138"/>
      <c r="BI5" s="138"/>
      <c r="BJ5" s="138"/>
      <c r="BK5" s="138"/>
      <c r="BL5" s="138"/>
      <c r="BM5" s="138" t="str">
        <f>" " &amp; TEXT(AE5,"#0.00%") &amp; " "</f>
        <v xml:space="preserve"> 59.46% </v>
      </c>
      <c r="BN5" s="138"/>
      <c r="BO5" s="138"/>
      <c r="BP5" s="138"/>
      <c r="BQ5" s="138"/>
      <c r="BR5" s="138"/>
      <c r="BS5" s="138"/>
      <c r="BT5" s="138"/>
      <c r="BU5" s="138"/>
      <c r="BV5" s="138"/>
      <c r="BW5" s="138"/>
      <c r="BX5" s="138"/>
      <c r="BY5" s="138"/>
      <c r="BZ5" s="138"/>
      <c r="CA5" s="138"/>
      <c r="CB5" s="138"/>
      <c r="CC5" s="138"/>
      <c r="CD5" s="138"/>
      <c r="CE5" s="138"/>
      <c r="CF5" s="138"/>
      <c r="CG5" s="138"/>
      <c r="CH5" s="138"/>
      <c r="CI5" s="138" t="str">
        <f>"     " &amp; "프로젝트 관리" &amp; " " &amp; IF(P5="","",TEXT(P5,"M/D-")) &amp; IF(Q5="","",TEXT(Q5,"M/D")) &amp; " "</f>
        <v xml:space="preserve">     프로젝트 관리 1/4-1/28 </v>
      </c>
      <c r="CJ5" s="138"/>
      <c r="CK5" s="138"/>
      <c r="CL5" s="138"/>
      <c r="CM5" s="138"/>
      <c r="CN5" s="138"/>
      <c r="CO5" s="138"/>
      <c r="CP5" s="138"/>
      <c r="CQ5" s="138"/>
      <c r="CR5" s="138"/>
      <c r="CS5" s="138"/>
      <c r="CT5" s="139"/>
      <c r="CU5" s="139"/>
    </row>
    <row r="6" spans="1:486" ht="18" customHeight="1" outlineLevel="1">
      <c r="A6" s="195"/>
      <c r="B6" s="195" t="s">
        <v>1426</v>
      </c>
      <c r="C6" s="195">
        <v>2</v>
      </c>
      <c r="D6" s="196" t="s">
        <v>1095</v>
      </c>
      <c r="E6" s="197"/>
      <c r="F6" s="197" t="s">
        <v>1271</v>
      </c>
      <c r="G6" s="197"/>
      <c r="H6" s="197"/>
      <c r="I6" s="197"/>
      <c r="J6" s="197"/>
      <c r="K6" s="197"/>
      <c r="L6" s="197"/>
      <c r="M6" s="197"/>
      <c r="N6" s="197"/>
      <c r="O6" s="197"/>
      <c r="P6" s="198">
        <v>44200</v>
      </c>
      <c r="Q6" s="198">
        <v>44218</v>
      </c>
      <c r="R6" s="199"/>
      <c r="S6" s="200">
        <v>22</v>
      </c>
      <c r="T6" s="200">
        <v>22</v>
      </c>
      <c r="U6" s="200">
        <v>15</v>
      </c>
      <c r="V6" s="200">
        <v>15</v>
      </c>
      <c r="W6" s="198">
        <v>44200</v>
      </c>
      <c r="X6" s="198">
        <v>44218</v>
      </c>
      <c r="Y6" s="201">
        <v>22</v>
      </c>
      <c r="Z6" s="202">
        <v>15</v>
      </c>
      <c r="AA6" s="200"/>
      <c r="AB6" s="199"/>
      <c r="AC6" s="165"/>
      <c r="AD6" s="203">
        <v>1</v>
      </c>
      <c r="AE6" s="204">
        <v>1</v>
      </c>
      <c r="AF6" s="137"/>
      <c r="AG6" s="138"/>
      <c r="AH6" s="138" t="str">
        <f>"     " &amp; TEXT(AE6,"#0.00%") &amp; " " &amp; "프로젝트 착수 및 계획수립" &amp; " " &amp; IF(P6="","",TEXT(P6,"M/D-")) &amp; IF(Q6="","",TEXT(Q6,"M/D")) &amp; " "</f>
        <v xml:space="preserve">     100.00% 프로젝트 착수 및 계획수립 1/4-1/22 </v>
      </c>
      <c r="AI6" s="138"/>
      <c r="AJ6" s="138"/>
      <c r="AK6" s="138"/>
      <c r="AL6" s="138"/>
      <c r="AM6" s="138"/>
      <c r="AN6" s="138"/>
      <c r="AO6" s="138"/>
      <c r="AP6" s="138"/>
      <c r="AQ6" s="138"/>
      <c r="AR6" s="138"/>
      <c r="AS6" s="138"/>
      <c r="AT6" s="138"/>
      <c r="AU6" s="138"/>
      <c r="AV6" s="138"/>
      <c r="AW6" s="138"/>
      <c r="AX6" s="138"/>
      <c r="AY6" s="138"/>
      <c r="AZ6" s="138"/>
      <c r="BA6" s="138"/>
      <c r="BB6" s="138"/>
      <c r="BC6" s="138"/>
      <c r="BD6" s="138"/>
      <c r="BE6" s="138"/>
      <c r="BF6" s="138"/>
      <c r="BG6" s="138"/>
      <c r="BH6" s="138"/>
      <c r="BI6" s="138"/>
      <c r="BJ6" s="138"/>
      <c r="BK6" s="138"/>
      <c r="BL6" s="138"/>
      <c r="BM6" s="138"/>
      <c r="BN6" s="138"/>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row>
    <row r="7" spans="1:486" ht="18" customHeight="1" outlineLevel="2">
      <c r="A7" s="195"/>
      <c r="B7" s="195"/>
      <c r="C7" s="195">
        <v>3</v>
      </c>
      <c r="D7" s="196" t="s">
        <v>1096</v>
      </c>
      <c r="E7" s="197"/>
      <c r="F7" s="197"/>
      <c r="G7" s="197" t="s">
        <v>1272</v>
      </c>
      <c r="H7" s="197"/>
      <c r="I7" s="197"/>
      <c r="J7" s="197"/>
      <c r="K7" s="197"/>
      <c r="L7" s="197"/>
      <c r="M7" s="197"/>
      <c r="N7" s="197"/>
      <c r="O7" s="197"/>
      <c r="P7" s="198">
        <v>44200</v>
      </c>
      <c r="Q7" s="198">
        <v>44200</v>
      </c>
      <c r="R7" s="199"/>
      <c r="S7" s="200">
        <v>2</v>
      </c>
      <c r="T7" s="200">
        <v>2</v>
      </c>
      <c r="U7" s="200">
        <v>1</v>
      </c>
      <c r="V7" s="200">
        <v>1</v>
      </c>
      <c r="W7" s="198">
        <v>44200</v>
      </c>
      <c r="X7" s="198">
        <v>44200</v>
      </c>
      <c r="Y7" s="201">
        <v>2</v>
      </c>
      <c r="Z7" s="202">
        <v>1</v>
      </c>
      <c r="AA7" s="200">
        <v>1</v>
      </c>
      <c r="AB7" s="199" t="s">
        <v>1713</v>
      </c>
      <c r="AC7" s="165"/>
      <c r="AD7" s="203">
        <v>1</v>
      </c>
      <c r="AE7" s="205">
        <v>1</v>
      </c>
      <c r="AF7" s="137" t="str">
        <f>" " &amp; TEXT(AE7,"#0.00%") &amp; " " &amp; "프로젝트 착수" &amp; "(권서동부장,이재익차장)" &amp; " " &amp; IF(P7="","",TEXT(P7,"M/D-")) &amp; IF(Q7="","",TEXT(Q7,"M/D")) &amp; " "</f>
        <v xml:space="preserve"> 100.00% 프로젝트 착수(권서동부장,이재익차장) 1/4-1/4 </v>
      </c>
      <c r="AG7" s="138"/>
      <c r="AH7" s="138"/>
      <c r="AI7" s="138"/>
      <c r="AJ7" s="138"/>
      <c r="AK7" s="138"/>
      <c r="AL7" s="138"/>
      <c r="AM7" s="138"/>
      <c r="AN7" s="138"/>
      <c r="AO7" s="138"/>
      <c r="AP7" s="138"/>
      <c r="AQ7" s="138"/>
      <c r="AR7" s="138"/>
      <c r="AS7" s="138"/>
      <c r="AT7" s="138"/>
      <c r="AU7" s="138"/>
      <c r="AV7" s="138"/>
      <c r="AW7" s="138"/>
      <c r="AX7" s="138"/>
      <c r="AY7" s="138"/>
      <c r="AZ7" s="138"/>
      <c r="BA7" s="138"/>
      <c r="BB7" s="138"/>
      <c r="BC7" s="138"/>
      <c r="BD7" s="138"/>
      <c r="BE7" s="138"/>
      <c r="BF7" s="138"/>
      <c r="BG7" s="138"/>
      <c r="BH7" s="138"/>
      <c r="BI7" s="138"/>
      <c r="BJ7" s="138"/>
      <c r="BK7" s="138"/>
      <c r="BL7" s="138"/>
      <c r="BM7" s="138"/>
      <c r="BN7" s="138"/>
      <c r="BO7" s="138"/>
      <c r="BP7" s="138"/>
      <c r="BQ7" s="138"/>
      <c r="BR7" s="138"/>
      <c r="BS7" s="138"/>
      <c r="BT7" s="138"/>
      <c r="BU7" s="138"/>
      <c r="BV7" s="138"/>
      <c r="BW7" s="138"/>
      <c r="BX7" s="138"/>
      <c r="BY7" s="138"/>
      <c r="BZ7" s="138"/>
      <c r="CA7" s="138"/>
      <c r="CB7" s="138"/>
      <c r="CC7" s="138"/>
      <c r="CD7" s="138"/>
      <c r="CE7" s="138"/>
      <c r="CF7" s="138"/>
      <c r="CG7" s="138"/>
      <c r="CH7" s="138"/>
      <c r="CI7" s="138"/>
      <c r="CJ7" s="138"/>
      <c r="CK7" s="138"/>
      <c r="CL7" s="138"/>
      <c r="CM7" s="138"/>
      <c r="CN7" s="138"/>
      <c r="CO7" s="138"/>
      <c r="CP7" s="138"/>
      <c r="CQ7" s="138"/>
      <c r="CR7" s="138"/>
      <c r="CS7" s="138"/>
    </row>
    <row r="8" spans="1:486" ht="18" customHeight="1" outlineLevel="2">
      <c r="A8" s="195"/>
      <c r="B8" s="195" t="s">
        <v>1426</v>
      </c>
      <c r="C8" s="195">
        <v>3</v>
      </c>
      <c r="D8" s="196" t="s">
        <v>1097</v>
      </c>
      <c r="E8" s="197"/>
      <c r="F8" s="197"/>
      <c r="G8" s="197" t="s">
        <v>1273</v>
      </c>
      <c r="H8" s="197"/>
      <c r="I8" s="197"/>
      <c r="J8" s="197"/>
      <c r="K8" s="197"/>
      <c r="L8" s="197"/>
      <c r="M8" s="197"/>
      <c r="N8" s="197"/>
      <c r="O8" s="197"/>
      <c r="P8" s="198">
        <v>44200</v>
      </c>
      <c r="Q8" s="198">
        <v>44218</v>
      </c>
      <c r="R8" s="199"/>
      <c r="S8" s="200">
        <v>20</v>
      </c>
      <c r="T8" s="200">
        <v>20</v>
      </c>
      <c r="U8" s="200">
        <v>15</v>
      </c>
      <c r="V8" s="200">
        <v>15</v>
      </c>
      <c r="W8" s="198">
        <v>44200</v>
      </c>
      <c r="X8" s="198">
        <v>44218</v>
      </c>
      <c r="Y8" s="201">
        <v>20</v>
      </c>
      <c r="Z8" s="202">
        <v>15</v>
      </c>
      <c r="AA8" s="200"/>
      <c r="AB8" s="199"/>
      <c r="AC8" s="165"/>
      <c r="AD8" s="203">
        <v>1</v>
      </c>
      <c r="AE8" s="204">
        <v>1</v>
      </c>
      <c r="AF8" s="137"/>
      <c r="AG8" s="138"/>
      <c r="AH8" s="138" t="str">
        <f>"     " &amp; TEXT(AE8,"#0.00%") &amp; " " &amp; "프로젝트 범위정의" &amp; " " &amp; IF(P8="","",TEXT(P8,"M/D-")) &amp; IF(Q8="","",TEXT(Q8,"M/D")) &amp; " "</f>
        <v xml:space="preserve">     100.00% 프로젝트 범위정의 1/4-1/22 </v>
      </c>
      <c r="AI8" s="138"/>
      <c r="AJ8" s="138"/>
      <c r="AK8" s="138"/>
      <c r="AL8" s="138"/>
      <c r="AM8" s="138"/>
      <c r="AN8" s="138"/>
      <c r="AO8" s="138"/>
      <c r="AP8" s="138"/>
      <c r="AQ8" s="138"/>
      <c r="AR8" s="138"/>
      <c r="AS8" s="138"/>
      <c r="AT8" s="138"/>
      <c r="AU8" s="138"/>
      <c r="AV8" s="138"/>
      <c r="AW8" s="138"/>
      <c r="AX8" s="138"/>
      <c r="AY8" s="138"/>
      <c r="AZ8" s="138"/>
      <c r="BA8" s="138"/>
      <c r="BB8" s="138"/>
      <c r="BC8" s="138"/>
      <c r="BD8" s="138"/>
      <c r="BE8" s="138"/>
      <c r="BF8" s="138"/>
      <c r="BG8" s="138"/>
      <c r="BH8" s="138"/>
      <c r="BI8" s="138"/>
      <c r="BJ8" s="138"/>
      <c r="BK8" s="138"/>
      <c r="BL8" s="138"/>
      <c r="BM8" s="138"/>
      <c r="BN8" s="138"/>
      <c r="BO8" s="138"/>
      <c r="BP8" s="138"/>
      <c r="BQ8" s="138"/>
      <c r="BR8" s="138"/>
      <c r="BS8" s="138"/>
      <c r="BT8" s="138"/>
      <c r="BU8" s="138"/>
      <c r="BV8" s="138"/>
      <c r="BW8" s="138"/>
      <c r="BX8" s="138"/>
      <c r="BY8" s="138"/>
      <c r="BZ8" s="138"/>
      <c r="CA8" s="138"/>
      <c r="CB8" s="138"/>
      <c r="CC8" s="138"/>
      <c r="CD8" s="138"/>
      <c r="CE8" s="138"/>
      <c r="CF8" s="138"/>
      <c r="CG8" s="138"/>
      <c r="CH8" s="138"/>
      <c r="CI8" s="138"/>
      <c r="CJ8" s="138"/>
      <c r="CK8" s="138"/>
      <c r="CL8" s="138"/>
      <c r="CM8" s="138"/>
      <c r="CN8" s="138"/>
      <c r="CO8" s="138"/>
      <c r="CP8" s="138"/>
      <c r="CQ8" s="138"/>
      <c r="CR8" s="138"/>
      <c r="CS8" s="138"/>
    </row>
    <row r="9" spans="1:486" ht="18" customHeight="1" outlineLevel="3">
      <c r="A9" s="195"/>
      <c r="B9" s="195"/>
      <c r="C9" s="195">
        <v>4</v>
      </c>
      <c r="D9" s="196" t="s">
        <v>1274</v>
      </c>
      <c r="E9" s="197"/>
      <c r="F9" s="197"/>
      <c r="G9" s="197"/>
      <c r="H9" s="197" t="s">
        <v>1275</v>
      </c>
      <c r="I9" s="197"/>
      <c r="J9" s="197"/>
      <c r="K9" s="197"/>
      <c r="L9" s="197"/>
      <c r="M9" s="197"/>
      <c r="N9" s="197"/>
      <c r="O9" s="197"/>
      <c r="P9" s="198">
        <v>44200</v>
      </c>
      <c r="Q9" s="198">
        <v>44211</v>
      </c>
      <c r="R9" s="199"/>
      <c r="S9" s="200">
        <v>20</v>
      </c>
      <c r="T9" s="200">
        <v>20</v>
      </c>
      <c r="U9" s="200">
        <v>10</v>
      </c>
      <c r="V9" s="200">
        <v>10</v>
      </c>
      <c r="W9" s="198">
        <v>44200</v>
      </c>
      <c r="X9" s="198">
        <v>44211</v>
      </c>
      <c r="Y9" s="201">
        <v>20</v>
      </c>
      <c r="Z9" s="202">
        <v>10</v>
      </c>
      <c r="AA9" s="200">
        <v>1</v>
      </c>
      <c r="AB9" s="199" t="s">
        <v>1713</v>
      </c>
      <c r="AC9" s="165" t="s">
        <v>1505</v>
      </c>
      <c r="AD9" s="203">
        <v>1</v>
      </c>
      <c r="AE9" s="205">
        <v>1</v>
      </c>
      <c r="AF9" s="137"/>
      <c r="AG9" s="138" t="str">
        <f>"     " &amp; TEXT(AE9,"#0.00%") &amp; " " &amp; "프로젝트 계획 수립" &amp; "(권서동부장,이재익차장)" &amp; " " &amp; IF(P9="","",TEXT(P9,"M/D-")) &amp; IF(Q9="","",TEXT(Q9,"M/D")) &amp; " "</f>
        <v xml:space="preserve">     100.00% 프로젝트 계획 수립(권서동부장,이재익차장) 1/4-1/15 </v>
      </c>
      <c r="AH9" s="138"/>
      <c r="AI9" s="138"/>
      <c r="AJ9" s="138"/>
      <c r="AK9" s="138"/>
      <c r="AL9" s="138"/>
      <c r="AM9" s="138"/>
      <c r="AN9" s="138"/>
      <c r="AO9" s="138"/>
      <c r="AP9" s="138"/>
      <c r="AQ9" s="138"/>
      <c r="AR9" s="138"/>
      <c r="AS9" s="138"/>
      <c r="AT9" s="138"/>
      <c r="AU9" s="138"/>
      <c r="AV9" s="138"/>
      <c r="AW9" s="138"/>
      <c r="AX9" s="138"/>
      <c r="AY9" s="138"/>
      <c r="AZ9" s="138"/>
      <c r="BA9" s="138"/>
      <c r="BB9" s="138"/>
      <c r="BC9" s="138"/>
      <c r="BD9" s="138"/>
      <c r="BE9" s="138"/>
      <c r="BF9" s="138"/>
      <c r="BG9" s="138"/>
      <c r="BH9" s="138"/>
      <c r="BI9" s="138"/>
      <c r="BJ9" s="138"/>
      <c r="BK9" s="138"/>
      <c r="BL9" s="138"/>
      <c r="BM9" s="138"/>
      <c r="BN9" s="138"/>
      <c r="BO9" s="138"/>
      <c r="BP9" s="138"/>
      <c r="BQ9" s="138"/>
      <c r="BR9" s="138"/>
      <c r="BS9" s="138"/>
      <c r="BT9" s="138"/>
      <c r="BU9" s="138"/>
      <c r="BV9" s="138"/>
      <c r="BW9" s="138"/>
      <c r="BX9" s="138"/>
      <c r="BY9" s="138"/>
      <c r="BZ9" s="138"/>
      <c r="CA9" s="138"/>
      <c r="CB9" s="138"/>
      <c r="CC9" s="138"/>
      <c r="CD9" s="138"/>
      <c r="CE9" s="138"/>
      <c r="CF9" s="138"/>
      <c r="CG9" s="138"/>
      <c r="CH9" s="138"/>
      <c r="CI9" s="138"/>
      <c r="CJ9" s="138"/>
      <c r="CK9" s="138"/>
      <c r="CL9" s="138"/>
      <c r="CM9" s="138"/>
      <c r="CN9" s="138"/>
      <c r="CO9" s="138"/>
      <c r="CP9" s="138"/>
      <c r="CQ9" s="138"/>
      <c r="CR9" s="138"/>
      <c r="CS9" s="138"/>
    </row>
    <row r="10" spans="1:486" ht="18" customHeight="1" outlineLevel="3">
      <c r="A10" s="195">
        <v>1</v>
      </c>
      <c r="B10" s="195"/>
      <c r="C10" s="195">
        <v>4</v>
      </c>
      <c r="D10" s="196" t="s">
        <v>1276</v>
      </c>
      <c r="E10" s="197"/>
      <c r="F10" s="197"/>
      <c r="G10" s="197"/>
      <c r="H10" s="197" t="s">
        <v>1277</v>
      </c>
      <c r="I10" s="197"/>
      <c r="J10" s="197"/>
      <c r="K10" s="197"/>
      <c r="L10" s="197"/>
      <c r="M10" s="197"/>
      <c r="N10" s="197"/>
      <c r="O10" s="197"/>
      <c r="P10" s="198">
        <v>44218</v>
      </c>
      <c r="Q10" s="198">
        <v>44218</v>
      </c>
      <c r="R10" s="199"/>
      <c r="S10" s="200">
        <v>0</v>
      </c>
      <c r="T10" s="200">
        <v>0</v>
      </c>
      <c r="U10" s="200">
        <v>1</v>
      </c>
      <c r="V10" s="200">
        <v>1</v>
      </c>
      <c r="W10" s="198">
        <v>44218</v>
      </c>
      <c r="X10" s="198">
        <v>44218</v>
      </c>
      <c r="Y10" s="201">
        <v>0</v>
      </c>
      <c r="Z10" s="202">
        <v>1</v>
      </c>
      <c r="AA10" s="200">
        <v>1</v>
      </c>
      <c r="AB10" s="199" t="s">
        <v>1503</v>
      </c>
      <c r="AC10" s="165" t="s">
        <v>1506</v>
      </c>
      <c r="AD10" s="203">
        <v>1</v>
      </c>
      <c r="AE10" s="205">
        <v>1</v>
      </c>
      <c r="AF10" s="137"/>
      <c r="AG10" s="138"/>
      <c r="AH10" s="138" t="str">
        <f>"        " &amp; TEXT(AE10,"#0.00%") &amp; " " &amp; "착수보고(Kick off)" &amp; "(권서동부장)" &amp; " " &amp; IF(P10="","",TEXT(P10,"M/D-")) &amp; IF(Q10="","",TEXT(Q10,"M/D")) &amp; " "</f>
        <v xml:space="preserve">        100.00% 착수보고(Kick off)(권서동부장) 1/22-1/22 </v>
      </c>
      <c r="AI10" s="138"/>
      <c r="AJ10" s="138"/>
      <c r="AK10" s="138"/>
      <c r="AL10" s="138"/>
      <c r="AM10" s="138"/>
      <c r="AN10" s="138"/>
      <c r="AO10" s="138"/>
      <c r="AP10" s="138"/>
      <c r="AQ10" s="138"/>
      <c r="AR10" s="138"/>
      <c r="AS10" s="138"/>
      <c r="AT10" s="138"/>
      <c r="AU10" s="138"/>
      <c r="AV10" s="138"/>
      <c r="AW10" s="138"/>
      <c r="AX10" s="138"/>
      <c r="AY10" s="138"/>
      <c r="AZ10" s="138"/>
      <c r="BA10" s="138"/>
      <c r="BB10" s="138"/>
      <c r="BC10" s="138"/>
      <c r="BD10" s="138"/>
      <c r="BE10" s="138"/>
      <c r="BF10" s="138"/>
      <c r="BG10" s="138"/>
      <c r="BH10" s="138"/>
      <c r="BI10" s="138"/>
      <c r="BJ10" s="138"/>
      <c r="BK10" s="138"/>
      <c r="BL10" s="138"/>
      <c r="BM10" s="138"/>
      <c r="BN10" s="138"/>
      <c r="BO10" s="138"/>
      <c r="BP10" s="138"/>
      <c r="BQ10" s="138"/>
      <c r="BR10" s="138"/>
      <c r="BS10" s="138"/>
      <c r="BT10" s="138"/>
      <c r="BU10" s="138"/>
      <c r="BV10" s="138"/>
      <c r="BW10" s="138"/>
      <c r="BX10" s="138"/>
      <c r="BY10" s="138"/>
      <c r="BZ10" s="138"/>
      <c r="CA10" s="138"/>
      <c r="CB10" s="138"/>
      <c r="CC10" s="138"/>
      <c r="CD10" s="138"/>
      <c r="CE10" s="138"/>
      <c r="CF10" s="138"/>
      <c r="CG10" s="138"/>
      <c r="CH10" s="138"/>
      <c r="CI10" s="138"/>
      <c r="CJ10" s="138"/>
      <c r="CK10" s="138"/>
      <c r="CL10" s="138"/>
      <c r="CM10" s="138"/>
      <c r="CN10" s="138"/>
      <c r="CO10" s="138"/>
      <c r="CP10" s="138"/>
      <c r="CQ10" s="138"/>
      <c r="CR10" s="138"/>
      <c r="CS10" s="138"/>
    </row>
    <row r="11" spans="1:486" ht="18" customHeight="1" outlineLevel="1">
      <c r="A11" s="195"/>
      <c r="B11" s="195" t="s">
        <v>1426</v>
      </c>
      <c r="C11" s="195">
        <v>2</v>
      </c>
      <c r="D11" s="196" t="s">
        <v>1098</v>
      </c>
      <c r="E11" s="197"/>
      <c r="F11" s="197" t="s">
        <v>1278</v>
      </c>
      <c r="G11" s="197"/>
      <c r="H11" s="197"/>
      <c r="I11" s="197"/>
      <c r="J11" s="197"/>
      <c r="K11" s="197"/>
      <c r="L11" s="197"/>
      <c r="M11" s="197"/>
      <c r="N11" s="197"/>
      <c r="O11" s="197"/>
      <c r="P11" s="198">
        <v>44428</v>
      </c>
      <c r="Q11" s="198">
        <v>44428</v>
      </c>
      <c r="R11" s="199"/>
      <c r="S11" s="200">
        <v>0</v>
      </c>
      <c r="T11" s="200">
        <v>0</v>
      </c>
      <c r="U11" s="200">
        <v>1</v>
      </c>
      <c r="V11" s="200">
        <v>0</v>
      </c>
      <c r="W11" s="198"/>
      <c r="X11" s="198"/>
      <c r="Y11" s="201">
        <v>0</v>
      </c>
      <c r="Z11" s="202">
        <v>0</v>
      </c>
      <c r="AA11" s="200"/>
      <c r="AB11" s="199"/>
      <c r="AC11" s="165"/>
      <c r="AD11" s="203">
        <v>0</v>
      </c>
      <c r="AE11" s="204">
        <v>0</v>
      </c>
      <c r="AF11" s="137"/>
      <c r="AG11" s="138"/>
      <c r="AH11" s="138"/>
      <c r="AI11" s="138"/>
      <c r="AJ11" s="138"/>
      <c r="AK11" s="138"/>
      <c r="AL11" s="138"/>
      <c r="AM11" s="138"/>
      <c r="AN11" s="138"/>
      <c r="AO11" s="138"/>
      <c r="AP11" s="138"/>
      <c r="AQ11" s="138"/>
      <c r="AR11" s="138"/>
      <c r="AS11" s="138"/>
      <c r="AT11" s="138"/>
      <c r="AU11" s="138"/>
      <c r="AV11" s="138"/>
      <c r="AW11" s="138"/>
      <c r="AX11" s="138"/>
      <c r="AY11" s="138"/>
      <c r="AZ11" s="138"/>
      <c r="BA11" s="138"/>
      <c r="BB11" s="138"/>
      <c r="BC11" s="138"/>
      <c r="BD11" s="138"/>
      <c r="BE11" s="138"/>
      <c r="BF11" s="138"/>
      <c r="BG11" s="138"/>
      <c r="BH11" s="138"/>
      <c r="BI11" s="138"/>
      <c r="BJ11" s="138"/>
      <c r="BK11" s="138"/>
      <c r="BL11" s="138" t="str">
        <f>"    " &amp; TEXT(AE11,"#0.00%") &amp; " " &amp; "프로젝트 수행 및 통제" &amp; " " &amp; IF(P11="","",TEXT(P11,"M/D-")) &amp; IF(Q11="","",TEXT(Q11,"M/D")) &amp; " "</f>
        <v xml:space="preserve">    0.00% 프로젝트 수행 및 통제 8/20-8/20 </v>
      </c>
      <c r="BM11" s="138"/>
      <c r="BN11" s="138"/>
      <c r="BO11" s="138"/>
      <c r="BP11" s="138"/>
      <c r="BQ11" s="138"/>
      <c r="BR11" s="138"/>
      <c r="BS11" s="138"/>
      <c r="BT11" s="138"/>
      <c r="BU11" s="138"/>
      <c r="BV11" s="138"/>
      <c r="BW11" s="138"/>
      <c r="BX11" s="138"/>
      <c r="BY11" s="138"/>
      <c r="BZ11" s="138"/>
      <c r="CA11" s="138"/>
      <c r="CB11" s="138"/>
      <c r="CC11" s="138"/>
      <c r="CD11" s="138"/>
      <c r="CE11" s="138"/>
      <c r="CF11" s="138"/>
      <c r="CG11" s="138"/>
      <c r="CH11" s="138"/>
      <c r="CI11" s="138"/>
      <c r="CJ11" s="138"/>
      <c r="CK11" s="138"/>
      <c r="CL11" s="138"/>
      <c r="CM11" s="138"/>
      <c r="CN11" s="138"/>
      <c r="CO11" s="138"/>
      <c r="CP11" s="138"/>
      <c r="CQ11" s="138"/>
      <c r="CR11" s="138"/>
      <c r="CS11" s="138"/>
    </row>
    <row r="12" spans="1:486" ht="18" customHeight="1" outlineLevel="2">
      <c r="A12" s="195">
        <v>1</v>
      </c>
      <c r="B12" s="195"/>
      <c r="C12" s="195">
        <v>3</v>
      </c>
      <c r="D12" s="196" t="s">
        <v>1099</v>
      </c>
      <c r="E12" s="197"/>
      <c r="F12" s="197"/>
      <c r="G12" s="197" t="s">
        <v>1670</v>
      </c>
      <c r="H12" s="197"/>
      <c r="I12" s="197"/>
      <c r="J12" s="197"/>
      <c r="K12" s="197"/>
      <c r="L12" s="197"/>
      <c r="M12" s="197"/>
      <c r="N12" s="197"/>
      <c r="O12" s="197"/>
      <c r="P12" s="198">
        <v>44428</v>
      </c>
      <c r="Q12" s="198">
        <v>44428</v>
      </c>
      <c r="R12" s="199"/>
      <c r="S12" s="200">
        <v>0</v>
      </c>
      <c r="T12" s="200">
        <v>0</v>
      </c>
      <c r="U12" s="200">
        <v>1</v>
      </c>
      <c r="V12" s="200">
        <v>0</v>
      </c>
      <c r="W12" s="198"/>
      <c r="X12" s="198"/>
      <c r="Y12" s="201">
        <v>0</v>
      </c>
      <c r="Z12" s="202">
        <v>0</v>
      </c>
      <c r="AA12" s="200">
        <v>1</v>
      </c>
      <c r="AB12" s="199" t="s">
        <v>1503</v>
      </c>
      <c r="AC12" s="165" t="s">
        <v>1508</v>
      </c>
      <c r="AD12" s="203">
        <v>0</v>
      </c>
      <c r="AE12" s="205">
        <v>0</v>
      </c>
      <c r="AF12" s="137"/>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138"/>
      <c r="BD12" s="138"/>
      <c r="BE12" s="138"/>
      <c r="BF12" s="138"/>
      <c r="BG12" s="138"/>
      <c r="BH12" s="138"/>
      <c r="BI12" s="138"/>
      <c r="BJ12" s="138"/>
      <c r="BK12" s="138"/>
      <c r="BL12" s="138" t="str">
        <f>"        " &amp; TEXT(AE12,"#0.00%") &amp; " " &amp; "중간보고" &amp; "(권서동부장)" &amp; " " &amp; IF(P12="","",TEXT(P12,"M/D-")) &amp; IF(Q12="","",TEXT(Q12,"M/D")) &amp; " "</f>
        <v xml:space="preserve">        0.00% 중간보고(권서동부장) 8/20-8/20 </v>
      </c>
      <c r="BM12" s="138"/>
      <c r="BN12" s="138"/>
      <c r="BO12" s="138"/>
      <c r="BP12" s="138"/>
      <c r="BQ12" s="138"/>
      <c r="BR12" s="138"/>
      <c r="BS12" s="138"/>
      <c r="BT12" s="138"/>
      <c r="BU12" s="138"/>
      <c r="BV12" s="138"/>
      <c r="BW12" s="138"/>
      <c r="BX12" s="138"/>
      <c r="BY12" s="138"/>
      <c r="BZ12" s="138"/>
      <c r="CA12" s="138"/>
      <c r="CB12" s="138"/>
      <c r="CC12" s="138"/>
      <c r="CD12" s="138"/>
      <c r="CE12" s="138"/>
      <c r="CF12" s="138"/>
      <c r="CG12" s="138"/>
      <c r="CH12" s="138"/>
      <c r="CI12" s="138"/>
      <c r="CJ12" s="138"/>
      <c r="CK12" s="138"/>
      <c r="CL12" s="138"/>
      <c r="CM12" s="138"/>
      <c r="CN12" s="138"/>
      <c r="CO12" s="138"/>
      <c r="CP12" s="138"/>
      <c r="CQ12" s="138"/>
      <c r="CR12" s="138"/>
      <c r="CS12" s="138"/>
    </row>
    <row r="13" spans="1:486" ht="18" customHeight="1" outlineLevel="1">
      <c r="A13" s="195"/>
      <c r="B13" s="195" t="s">
        <v>1426</v>
      </c>
      <c r="C13" s="195">
        <v>2</v>
      </c>
      <c r="D13" s="196" t="s">
        <v>1100</v>
      </c>
      <c r="E13" s="197"/>
      <c r="F13" s="197" t="s">
        <v>1279</v>
      </c>
      <c r="G13" s="197"/>
      <c r="H13" s="197"/>
      <c r="I13" s="197"/>
      <c r="J13" s="197"/>
      <c r="K13" s="197"/>
      <c r="L13" s="197"/>
      <c r="M13" s="197"/>
      <c r="N13" s="197"/>
      <c r="O13" s="197"/>
      <c r="P13" s="198">
        <v>44571</v>
      </c>
      <c r="Q13" s="198">
        <v>44589</v>
      </c>
      <c r="R13" s="199"/>
      <c r="S13" s="200">
        <v>15</v>
      </c>
      <c r="T13" s="200">
        <v>0</v>
      </c>
      <c r="U13" s="200">
        <v>15</v>
      </c>
      <c r="V13" s="200">
        <v>0</v>
      </c>
      <c r="W13" s="198"/>
      <c r="X13" s="198"/>
      <c r="Y13" s="201">
        <v>0</v>
      </c>
      <c r="Z13" s="202">
        <v>0</v>
      </c>
      <c r="AA13" s="200"/>
      <c r="AB13" s="199"/>
      <c r="AC13" s="165"/>
      <c r="AD13" s="203">
        <v>0</v>
      </c>
      <c r="AE13" s="204">
        <v>0</v>
      </c>
      <c r="AF13" s="137"/>
      <c r="AG13" s="138"/>
      <c r="AH13" s="138"/>
      <c r="AI13" s="138"/>
      <c r="AJ13" s="138"/>
      <c r="AK13" s="138"/>
      <c r="AL13" s="138"/>
      <c r="AM13" s="138"/>
      <c r="AN13" s="138"/>
      <c r="AO13" s="138"/>
      <c r="AP13" s="138"/>
      <c r="AQ13" s="138"/>
      <c r="AR13" s="138"/>
      <c r="AS13" s="138"/>
      <c r="AT13" s="138"/>
      <c r="AU13" s="138"/>
      <c r="AV13" s="138"/>
      <c r="AW13" s="138"/>
      <c r="AX13" s="138"/>
      <c r="AY13" s="138"/>
      <c r="AZ13" s="138"/>
      <c r="BA13" s="138"/>
      <c r="BB13" s="138"/>
      <c r="BC13" s="138"/>
      <c r="BD13" s="138"/>
      <c r="BE13" s="138"/>
      <c r="BF13" s="138"/>
      <c r="BG13" s="138"/>
      <c r="BH13" s="138"/>
      <c r="BI13" s="138"/>
      <c r="BJ13" s="138"/>
      <c r="BK13" s="138"/>
      <c r="BL13" s="138"/>
      <c r="BM13" s="138"/>
      <c r="BN13" s="138"/>
      <c r="BO13" s="138"/>
      <c r="BP13" s="138"/>
      <c r="BQ13" s="138"/>
      <c r="BR13" s="138"/>
      <c r="BS13" s="138"/>
      <c r="BT13" s="138"/>
      <c r="BU13" s="138"/>
      <c r="BV13" s="138"/>
      <c r="BW13" s="138"/>
      <c r="BX13" s="138"/>
      <c r="BY13" s="138"/>
      <c r="BZ13" s="138"/>
      <c r="CA13" s="138"/>
      <c r="CB13" s="138"/>
      <c r="CC13" s="138"/>
      <c r="CD13" s="138"/>
      <c r="CE13" s="138"/>
      <c r="CF13" s="138"/>
      <c r="CG13" s="138" t="str">
        <f>"" &amp; TEXT(AE13,"#0.00%") &amp; " " &amp; "프로젝트 종료" &amp; " " &amp; IF(P13="","",TEXT(P13,"M/D-")) &amp; IF(Q13="","",TEXT(Q13,"M/D")) &amp; " "</f>
        <v xml:space="preserve">0.00% 프로젝트 종료 1/10-1/28 </v>
      </c>
      <c r="CH13" s="138"/>
      <c r="CI13" s="138"/>
      <c r="CJ13" s="138"/>
      <c r="CK13" s="138"/>
      <c r="CL13" s="138"/>
      <c r="CM13" s="138"/>
      <c r="CN13" s="138"/>
      <c r="CO13" s="138"/>
      <c r="CP13" s="138"/>
      <c r="CQ13" s="138"/>
      <c r="CR13" s="138"/>
      <c r="CS13" s="138"/>
    </row>
    <row r="14" spans="1:486" ht="18" customHeight="1" outlineLevel="2">
      <c r="A14" s="195">
        <v>1</v>
      </c>
      <c r="B14" s="195"/>
      <c r="C14" s="195">
        <v>3</v>
      </c>
      <c r="D14" s="196" t="s">
        <v>1101</v>
      </c>
      <c r="E14" s="197"/>
      <c r="F14" s="197"/>
      <c r="G14" s="197" t="s">
        <v>1435</v>
      </c>
      <c r="H14" s="197"/>
      <c r="I14" s="197"/>
      <c r="J14" s="197"/>
      <c r="K14" s="197"/>
      <c r="L14" s="197"/>
      <c r="M14" s="197"/>
      <c r="N14" s="197"/>
      <c r="O14" s="197"/>
      <c r="P14" s="198">
        <v>44582</v>
      </c>
      <c r="Q14" s="198">
        <v>44582</v>
      </c>
      <c r="R14" s="199"/>
      <c r="S14" s="200">
        <v>0</v>
      </c>
      <c r="T14" s="200">
        <v>0</v>
      </c>
      <c r="U14" s="200">
        <v>1</v>
      </c>
      <c r="V14" s="200">
        <v>0</v>
      </c>
      <c r="W14" s="198"/>
      <c r="X14" s="198"/>
      <c r="Y14" s="201">
        <v>0</v>
      </c>
      <c r="Z14" s="202">
        <v>0</v>
      </c>
      <c r="AA14" s="200">
        <v>1</v>
      </c>
      <c r="AB14" s="199" t="s">
        <v>1503</v>
      </c>
      <c r="AC14" s="165"/>
      <c r="AD14" s="203">
        <v>0</v>
      </c>
      <c r="AE14" s="205">
        <v>0</v>
      </c>
      <c r="AF14" s="137"/>
      <c r="AG14" s="138"/>
      <c r="AH14" s="138"/>
      <c r="AI14" s="138"/>
      <c r="AJ14" s="138"/>
      <c r="AK14" s="138"/>
      <c r="AL14" s="138"/>
      <c r="AM14" s="138"/>
      <c r="AN14" s="138"/>
      <c r="AO14" s="138"/>
      <c r="AP14" s="138"/>
      <c r="AQ14" s="138"/>
      <c r="AR14" s="138"/>
      <c r="AS14" s="138"/>
      <c r="AT14" s="138"/>
      <c r="AU14" s="138"/>
      <c r="AV14" s="138"/>
      <c r="AW14" s="138"/>
      <c r="AX14" s="138"/>
      <c r="AY14" s="138"/>
      <c r="AZ14" s="138"/>
      <c r="BA14" s="138"/>
      <c r="BB14" s="138"/>
      <c r="BC14" s="138"/>
      <c r="BD14" s="138"/>
      <c r="BE14" s="138"/>
      <c r="BF14" s="138"/>
      <c r="BG14" s="138"/>
      <c r="BH14" s="138"/>
      <c r="BI14" s="138"/>
      <c r="BJ14" s="138"/>
      <c r="BK14" s="138"/>
      <c r="BL14" s="138"/>
      <c r="BM14" s="138"/>
      <c r="BN14" s="138"/>
      <c r="BO14" s="138"/>
      <c r="BP14" s="138"/>
      <c r="BQ14" s="138"/>
      <c r="BR14" s="138"/>
      <c r="BS14" s="138"/>
      <c r="BT14" s="138"/>
      <c r="BU14" s="138"/>
      <c r="BV14" s="138"/>
      <c r="BW14" s="138"/>
      <c r="BX14" s="138"/>
      <c r="BY14" s="138"/>
      <c r="BZ14" s="138"/>
      <c r="CA14" s="138"/>
      <c r="CB14" s="138"/>
      <c r="CC14" s="138"/>
      <c r="CD14" s="138"/>
      <c r="CE14" s="138"/>
      <c r="CF14" s="138"/>
      <c r="CG14" s="138"/>
      <c r="CH14" s="138" t="str">
        <f>"        " &amp; TEXT(AE14,"#0.00%") &amp; " " &amp; "종료보고" &amp; "(권서동부장)" &amp; " " &amp; IF(P14="","",TEXT(P14,"M/D-")) &amp; IF(Q14="","",TEXT(Q14,"M/D")) &amp; " "</f>
        <v xml:space="preserve">        0.00% 종료보고(권서동부장) 1/21-1/21 </v>
      </c>
      <c r="CI14" s="138"/>
      <c r="CJ14" s="138"/>
      <c r="CK14" s="138"/>
      <c r="CL14" s="138"/>
      <c r="CM14" s="138"/>
      <c r="CN14" s="138"/>
      <c r="CO14" s="138"/>
      <c r="CP14" s="138"/>
      <c r="CQ14" s="138"/>
      <c r="CR14" s="138"/>
      <c r="CS14" s="138"/>
    </row>
    <row r="15" spans="1:486" ht="18" customHeight="1" outlineLevel="2">
      <c r="A15" s="195">
        <v>0</v>
      </c>
      <c r="B15" s="195"/>
      <c r="C15" s="195">
        <v>3</v>
      </c>
      <c r="D15" s="196" t="s">
        <v>1105</v>
      </c>
      <c r="E15" s="197"/>
      <c r="F15" s="197"/>
      <c r="G15" s="197" t="s">
        <v>1436</v>
      </c>
      <c r="H15" s="197"/>
      <c r="I15" s="197"/>
      <c r="J15" s="197"/>
      <c r="K15" s="197"/>
      <c r="L15" s="197"/>
      <c r="M15" s="197"/>
      <c r="N15" s="197"/>
      <c r="O15" s="197"/>
      <c r="P15" s="198">
        <v>44571</v>
      </c>
      <c r="Q15" s="198">
        <v>44589</v>
      </c>
      <c r="R15" s="199"/>
      <c r="S15" s="200">
        <v>15</v>
      </c>
      <c r="T15" s="200">
        <v>0</v>
      </c>
      <c r="U15" s="200">
        <v>15</v>
      </c>
      <c r="V15" s="200">
        <v>0</v>
      </c>
      <c r="W15" s="198"/>
      <c r="X15" s="198"/>
      <c r="Y15" s="201">
        <v>0</v>
      </c>
      <c r="Z15" s="202">
        <v>0</v>
      </c>
      <c r="AA15" s="200">
        <v>1</v>
      </c>
      <c r="AB15" s="199" t="s">
        <v>1503</v>
      </c>
      <c r="AC15" s="165" t="s">
        <v>1507</v>
      </c>
      <c r="AD15" s="203">
        <v>0</v>
      </c>
      <c r="AE15" s="205">
        <v>0</v>
      </c>
      <c r="AF15" s="137"/>
      <c r="AG15" s="138"/>
      <c r="AH15" s="138"/>
      <c r="AI15" s="138"/>
      <c r="AJ15" s="138"/>
      <c r="AK15" s="138"/>
      <c r="AL15" s="138"/>
      <c r="AM15" s="138"/>
      <c r="AN15" s="138"/>
      <c r="AO15" s="138"/>
      <c r="AP15" s="138"/>
      <c r="AQ15" s="138"/>
      <c r="AR15" s="138"/>
      <c r="AS15" s="138"/>
      <c r="AT15" s="138"/>
      <c r="AU15" s="138"/>
      <c r="AV15" s="138"/>
      <c r="AW15" s="138"/>
      <c r="AX15" s="138"/>
      <c r="AY15" s="138"/>
      <c r="AZ15" s="138"/>
      <c r="BA15" s="138"/>
      <c r="BB15" s="138"/>
      <c r="BC15" s="138"/>
      <c r="BD15" s="138"/>
      <c r="BE15" s="138"/>
      <c r="BF15" s="138"/>
      <c r="BG15" s="138"/>
      <c r="BH15" s="138"/>
      <c r="BI15" s="138"/>
      <c r="BJ15" s="138"/>
      <c r="BK15" s="138"/>
      <c r="BL15" s="138"/>
      <c r="BM15" s="138"/>
      <c r="BN15" s="138"/>
      <c r="BO15" s="138"/>
      <c r="BP15" s="138"/>
      <c r="BQ15" s="138"/>
      <c r="BR15" s="138"/>
      <c r="BS15" s="138"/>
      <c r="BT15" s="138"/>
      <c r="BU15" s="138"/>
      <c r="BV15" s="138"/>
      <c r="BW15" s="138"/>
      <c r="BX15" s="138"/>
      <c r="BY15" s="138"/>
      <c r="BZ15" s="138"/>
      <c r="CA15" s="138"/>
      <c r="CB15" s="138"/>
      <c r="CC15" s="138"/>
      <c r="CD15" s="138"/>
      <c r="CE15" s="138"/>
      <c r="CF15" s="138"/>
      <c r="CG15" s="138" t="str">
        <f>"" &amp; TEXT(AE15,"#0.00%") &amp; " " &amp; "검수 및 종료" &amp; "(권서동부장)" &amp; " " &amp; IF(P15="","",TEXT(P15,"M/D-")) &amp; IF(Q15="","",TEXT(Q15,"M/D")) &amp; " "</f>
        <v xml:space="preserve">0.00% 검수 및 종료(권서동부장) 1/10-1/28 </v>
      </c>
      <c r="CH15" s="138"/>
      <c r="CI15" s="138"/>
      <c r="CJ15" s="138"/>
      <c r="CK15" s="138"/>
      <c r="CL15" s="138"/>
      <c r="CM15" s="138"/>
      <c r="CN15" s="138"/>
      <c r="CO15" s="138"/>
      <c r="CP15" s="138"/>
      <c r="CQ15" s="138"/>
      <c r="CR15" s="138"/>
      <c r="CS15" s="138"/>
    </row>
    <row r="16" spans="1:486" ht="18" customHeight="1" outlineLevel="2">
      <c r="A16" s="195"/>
      <c r="B16" s="195"/>
      <c r="C16" s="195">
        <v>0</v>
      </c>
      <c r="D16" s="196"/>
      <c r="E16" s="197"/>
      <c r="F16" s="197"/>
      <c r="G16" s="197"/>
      <c r="H16" s="197"/>
      <c r="I16" s="197"/>
      <c r="J16" s="197"/>
      <c r="K16" s="197"/>
      <c r="L16" s="197"/>
      <c r="M16" s="197"/>
      <c r="N16" s="197"/>
      <c r="O16" s="197"/>
      <c r="P16" s="198"/>
      <c r="Q16" s="198"/>
      <c r="R16" s="199"/>
      <c r="S16" s="200"/>
      <c r="T16" s="200"/>
      <c r="U16" s="200">
        <v>0</v>
      </c>
      <c r="V16" s="200">
        <v>0</v>
      </c>
      <c r="W16" s="198"/>
      <c r="X16" s="198"/>
      <c r="Y16" s="201"/>
      <c r="Z16" s="202">
        <v>0</v>
      </c>
      <c r="AA16" s="200"/>
      <c r="AB16" s="199"/>
      <c r="AC16" s="165"/>
      <c r="AD16" s="203"/>
      <c r="AE16" s="206"/>
      <c r="AF16" s="137"/>
      <c r="AG16" s="138"/>
      <c r="AH16" s="138"/>
      <c r="AI16" s="138"/>
      <c r="AJ16" s="138"/>
      <c r="AK16" s="138"/>
      <c r="AL16" s="138"/>
      <c r="AM16" s="138"/>
      <c r="AN16" s="138"/>
      <c r="AO16" s="138"/>
      <c r="AP16" s="138"/>
      <c r="AQ16" s="138"/>
      <c r="AR16" s="138"/>
      <c r="AS16" s="138"/>
      <c r="AT16" s="138"/>
      <c r="AU16" s="138"/>
      <c r="AV16" s="138"/>
      <c r="AW16" s="138"/>
      <c r="AX16" s="138"/>
      <c r="AY16" s="138"/>
      <c r="AZ16" s="138"/>
      <c r="BA16" s="138"/>
      <c r="BB16" s="138"/>
      <c r="BC16" s="138"/>
      <c r="BD16" s="138"/>
      <c r="BE16" s="138"/>
      <c r="BF16" s="138"/>
      <c r="BG16" s="138"/>
      <c r="BH16" s="138"/>
      <c r="BI16" s="138"/>
      <c r="BJ16" s="138"/>
      <c r="BK16" s="138"/>
      <c r="BL16" s="138"/>
      <c r="BM16" s="138"/>
      <c r="BN16" s="138"/>
      <c r="BO16" s="138"/>
      <c r="BP16" s="138"/>
      <c r="BQ16" s="138"/>
      <c r="BR16" s="138"/>
      <c r="BS16" s="138"/>
      <c r="BT16" s="138"/>
      <c r="BU16" s="138"/>
      <c r="BV16" s="138"/>
      <c r="BW16" s="138"/>
      <c r="BX16" s="138"/>
      <c r="BY16" s="138"/>
      <c r="BZ16" s="138"/>
      <c r="CA16" s="138"/>
      <c r="CB16" s="138"/>
      <c r="CC16" s="138"/>
      <c r="CD16" s="138"/>
      <c r="CE16" s="138"/>
      <c r="CF16" s="138"/>
      <c r="CG16" s="138"/>
      <c r="CH16" s="138"/>
      <c r="CI16" s="138"/>
      <c r="CJ16" s="138"/>
      <c r="CK16" s="138"/>
      <c r="CL16" s="138"/>
      <c r="CM16" s="138"/>
      <c r="CN16" s="138"/>
      <c r="CO16" s="138"/>
      <c r="CP16" s="138"/>
      <c r="CQ16" s="138"/>
      <c r="CR16" s="138"/>
      <c r="CS16" s="138"/>
    </row>
    <row r="17" spans="1:97" ht="18" customHeight="1">
      <c r="A17" s="195"/>
      <c r="B17" s="195" t="s">
        <v>1426</v>
      </c>
      <c r="C17" s="195">
        <v>1</v>
      </c>
      <c r="D17" s="196" t="s">
        <v>1085</v>
      </c>
      <c r="E17" s="197" t="s">
        <v>1280</v>
      </c>
      <c r="F17" s="197"/>
      <c r="G17" s="197"/>
      <c r="H17" s="197"/>
      <c r="I17" s="197"/>
      <c r="J17" s="197"/>
      <c r="K17" s="197"/>
      <c r="L17" s="197"/>
      <c r="M17" s="197"/>
      <c r="N17" s="197"/>
      <c r="O17" s="197"/>
      <c r="P17" s="198">
        <v>44215</v>
      </c>
      <c r="Q17" s="198">
        <v>44651</v>
      </c>
      <c r="R17" s="199"/>
      <c r="S17" s="200">
        <v>1060</v>
      </c>
      <c r="T17" s="200">
        <v>54</v>
      </c>
      <c r="U17" s="200">
        <v>301</v>
      </c>
      <c r="V17" s="200">
        <v>17</v>
      </c>
      <c r="W17" s="198">
        <v>44215</v>
      </c>
      <c r="X17" s="198"/>
      <c r="Y17" s="201">
        <v>25</v>
      </c>
      <c r="Z17" s="202">
        <v>0</v>
      </c>
      <c r="AA17" s="200"/>
      <c r="AB17" s="199"/>
      <c r="AC17" s="165"/>
      <c r="AD17" s="203">
        <v>5.0943396226415097E-2</v>
      </c>
      <c r="AE17" s="207">
        <v>2.358490566037736E-2</v>
      </c>
      <c r="AF17" s="137"/>
      <c r="AG17" s="138"/>
      <c r="AH17" s="138"/>
      <c r="AI17" s="138" t="str">
        <f>"    " &amp; TEXT(AE17,"#0.00%") &amp; " "</f>
        <v xml:space="preserve">    2.36% </v>
      </c>
      <c r="AJ17" s="138"/>
      <c r="AK17" s="138"/>
      <c r="AL17" s="138"/>
      <c r="AM17" s="138"/>
      <c r="AN17" s="138"/>
      <c r="AO17" s="138"/>
      <c r="AP17" s="138"/>
      <c r="AQ17" s="138"/>
      <c r="AR17" s="138"/>
      <c r="AS17" s="138"/>
      <c r="AT17" s="138"/>
      <c r="AU17" s="138"/>
      <c r="AV17" s="138"/>
      <c r="AW17" s="138"/>
      <c r="AX17" s="138"/>
      <c r="AY17" s="138"/>
      <c r="AZ17" s="138"/>
      <c r="BA17" s="138"/>
      <c r="BB17" s="138"/>
      <c r="BC17" s="138"/>
      <c r="BD17" s="138"/>
      <c r="BE17" s="138"/>
      <c r="BF17" s="138"/>
      <c r="BG17" s="138"/>
      <c r="BH17" s="138"/>
      <c r="BI17" s="138"/>
      <c r="BJ17" s="138"/>
      <c r="BK17" s="138"/>
      <c r="BL17" s="138"/>
      <c r="BM17" s="138"/>
      <c r="BN17" s="138"/>
      <c r="BO17" s="138"/>
      <c r="BP17" s="138"/>
      <c r="BQ17" s="138"/>
      <c r="BR17" s="138"/>
      <c r="BS17" s="138"/>
      <c r="BT17" s="138"/>
      <c r="BU17" s="138"/>
      <c r="BV17" s="138"/>
      <c r="BW17" s="138"/>
      <c r="BX17" s="138"/>
      <c r="BY17" s="138"/>
      <c r="BZ17" s="138"/>
      <c r="CA17" s="138"/>
      <c r="CB17" s="138"/>
      <c r="CC17" s="138"/>
      <c r="CD17" s="138"/>
      <c r="CE17" s="138"/>
      <c r="CF17" s="138"/>
      <c r="CG17" s="138"/>
      <c r="CH17" s="138"/>
      <c r="CI17" s="138"/>
      <c r="CJ17" s="138"/>
      <c r="CK17" s="138"/>
      <c r="CL17" s="138"/>
      <c r="CM17" s="138"/>
      <c r="CN17" s="138"/>
      <c r="CO17" s="138"/>
      <c r="CP17" s="138"/>
      <c r="CQ17" s="138"/>
      <c r="CR17" s="138" t="str">
        <f>"    " &amp; "시스템 개발" &amp; " " &amp; IF(P17="","",TEXT(P17,"M/D-")) &amp; IF(Q17="","",TEXT(Q17,"M/D")) &amp; " "</f>
        <v xml:space="preserve">    시스템 개발 1/19-3/31 </v>
      </c>
      <c r="CS17" s="138"/>
    </row>
    <row r="18" spans="1:97" ht="18" customHeight="1" outlineLevel="1">
      <c r="A18" s="195"/>
      <c r="B18" s="195" t="s">
        <v>1426</v>
      </c>
      <c r="C18" s="195">
        <v>2</v>
      </c>
      <c r="D18" s="196" t="s">
        <v>1323</v>
      </c>
      <c r="E18" s="197"/>
      <c r="F18" s="197" t="s">
        <v>652</v>
      </c>
      <c r="G18" s="197"/>
      <c r="H18" s="197"/>
      <c r="I18" s="197"/>
      <c r="J18" s="197"/>
      <c r="K18" s="197"/>
      <c r="L18" s="197"/>
      <c r="M18" s="197"/>
      <c r="N18" s="197"/>
      <c r="O18" s="197"/>
      <c r="P18" s="198">
        <v>44215</v>
      </c>
      <c r="Q18" s="198">
        <v>44253</v>
      </c>
      <c r="R18" s="199"/>
      <c r="S18" s="200">
        <v>109</v>
      </c>
      <c r="T18" s="200">
        <v>54</v>
      </c>
      <c r="U18" s="200">
        <v>27</v>
      </c>
      <c r="V18" s="200">
        <v>17</v>
      </c>
      <c r="W18" s="198">
        <v>44215</v>
      </c>
      <c r="X18" s="198"/>
      <c r="Y18" s="201">
        <v>25</v>
      </c>
      <c r="Z18" s="202">
        <v>0</v>
      </c>
      <c r="AA18" s="200"/>
      <c r="AB18" s="199"/>
      <c r="AC18" s="165"/>
      <c r="AD18" s="203">
        <v>0.49541284403669728</v>
      </c>
      <c r="AE18" s="207">
        <v>0.22935779816513763</v>
      </c>
      <c r="AF18" s="137"/>
      <c r="AG18" s="138"/>
      <c r="AH18" s="138"/>
      <c r="AI18" s="138" t="str">
        <f>"   " &amp; TEXT(AE18,"#0.00%") &amp; " "</f>
        <v xml:space="preserve">   22.94% </v>
      </c>
      <c r="AJ18" s="138"/>
      <c r="AK18" s="138"/>
      <c r="AL18" s="138"/>
      <c r="AM18" s="138" t="str">
        <f>"     " &amp; "분석" &amp; " " &amp; IF(P18="","",TEXT(P18,"M/D-")) &amp; IF(Q18="","",TEXT(Q18,"M/D")) &amp; " "</f>
        <v xml:space="preserve">     분석 1/19-2/26 </v>
      </c>
      <c r="AN18" s="138"/>
      <c r="AO18" s="138"/>
      <c r="AP18" s="138"/>
      <c r="AQ18" s="138"/>
      <c r="AR18" s="138"/>
      <c r="AS18" s="138"/>
      <c r="AT18" s="138"/>
      <c r="AU18" s="138"/>
      <c r="AV18" s="138"/>
      <c r="AW18" s="138"/>
      <c r="AX18" s="138"/>
      <c r="AY18" s="138"/>
      <c r="AZ18" s="138"/>
      <c r="BA18" s="138"/>
      <c r="BB18" s="138"/>
      <c r="BC18" s="138"/>
      <c r="BD18" s="138"/>
      <c r="BE18" s="138"/>
      <c r="BF18" s="138"/>
      <c r="BG18" s="138"/>
      <c r="BH18" s="138"/>
      <c r="BI18" s="138"/>
      <c r="BJ18" s="138"/>
      <c r="BK18" s="138"/>
      <c r="BL18" s="138"/>
      <c r="BM18" s="138"/>
      <c r="BN18" s="138"/>
      <c r="BO18" s="138"/>
      <c r="BP18" s="138"/>
      <c r="BQ18" s="138"/>
      <c r="BR18" s="138"/>
      <c r="BS18" s="138"/>
      <c r="BT18" s="138"/>
      <c r="BU18" s="138"/>
      <c r="BV18" s="138"/>
      <c r="BW18" s="138"/>
      <c r="BX18" s="138"/>
      <c r="BY18" s="138"/>
      <c r="BZ18" s="138"/>
      <c r="CA18" s="138"/>
      <c r="CB18" s="138"/>
      <c r="CC18" s="138"/>
      <c r="CD18" s="138"/>
      <c r="CE18" s="138"/>
      <c r="CF18" s="138"/>
      <c r="CG18" s="138"/>
      <c r="CH18" s="138"/>
      <c r="CI18" s="138"/>
      <c r="CJ18" s="138"/>
      <c r="CK18" s="138"/>
      <c r="CL18" s="138"/>
      <c r="CM18" s="138"/>
      <c r="CN18" s="138"/>
      <c r="CO18" s="138"/>
      <c r="CP18" s="138"/>
      <c r="CQ18" s="138"/>
      <c r="CR18" s="138"/>
      <c r="CS18" s="138"/>
    </row>
    <row r="19" spans="1:97" ht="18" customHeight="1" outlineLevel="2">
      <c r="A19" s="195"/>
      <c r="B19" s="195"/>
      <c r="C19" s="195">
        <v>3</v>
      </c>
      <c r="D19" s="196" t="s">
        <v>1281</v>
      </c>
      <c r="E19" s="197"/>
      <c r="F19" s="197"/>
      <c r="G19" s="197" t="s">
        <v>1282</v>
      </c>
      <c r="H19" s="197"/>
      <c r="I19" s="197"/>
      <c r="J19" s="197"/>
      <c r="K19" s="197"/>
      <c r="L19" s="197"/>
      <c r="M19" s="197"/>
      <c r="N19" s="197"/>
      <c r="O19" s="197"/>
      <c r="P19" s="198">
        <v>44215</v>
      </c>
      <c r="Q19" s="198">
        <v>44253</v>
      </c>
      <c r="R19" s="199"/>
      <c r="S19" s="200">
        <v>27</v>
      </c>
      <c r="T19" s="200">
        <v>17</v>
      </c>
      <c r="U19" s="200">
        <v>27</v>
      </c>
      <c r="V19" s="200">
        <v>17</v>
      </c>
      <c r="W19" s="198">
        <v>44215</v>
      </c>
      <c r="X19" s="198"/>
      <c r="Y19" s="201">
        <v>0</v>
      </c>
      <c r="Z19" s="202">
        <v>0</v>
      </c>
      <c r="AA19" s="200">
        <v>1</v>
      </c>
      <c r="AB19" s="199"/>
      <c r="AC19" s="165"/>
      <c r="AD19" s="203">
        <v>0.62962962962962965</v>
      </c>
      <c r="AE19" s="208">
        <v>0</v>
      </c>
      <c r="AF19" s="137"/>
      <c r="AG19" s="138"/>
      <c r="AH19" s="138" t="str">
        <f>" " &amp; TEXT(AE19,"#0.00%") &amp; " "</f>
        <v xml:space="preserve"> 0.00% </v>
      </c>
      <c r="AI19" s="138"/>
      <c r="AJ19" s="138"/>
      <c r="AK19" s="138"/>
      <c r="AL19" s="138"/>
      <c r="AM19" s="138" t="str">
        <f>"     " &amp; "요구사항정의" &amp; " " &amp; IF(P19="","",TEXT(P19,"M/D-")) &amp; IF(Q19="","",TEXT(Q19,"M/D")) &amp; " "</f>
        <v xml:space="preserve">     요구사항정의 1/19-2/26 </v>
      </c>
      <c r="AN19" s="138"/>
      <c r="AO19" s="138"/>
      <c r="AP19" s="138"/>
      <c r="AQ19" s="138"/>
      <c r="AR19" s="138"/>
      <c r="AS19" s="138"/>
      <c r="AT19" s="138"/>
      <c r="AU19" s="138"/>
      <c r="AV19" s="138"/>
      <c r="AW19" s="138"/>
      <c r="AX19" s="138"/>
      <c r="AY19" s="138"/>
      <c r="AZ19" s="138"/>
      <c r="BA19" s="138"/>
      <c r="BB19" s="138"/>
      <c r="BC19" s="138"/>
      <c r="BD19" s="138"/>
      <c r="BE19" s="138"/>
      <c r="BF19" s="138"/>
      <c r="BG19" s="138"/>
      <c r="BH19" s="138"/>
      <c r="BI19" s="138"/>
      <c r="BJ19" s="138"/>
      <c r="BK19" s="138"/>
      <c r="BL19" s="138"/>
      <c r="BM19" s="138"/>
      <c r="BN19" s="138"/>
      <c r="BO19" s="138"/>
      <c r="BP19" s="138"/>
      <c r="BQ19" s="138"/>
      <c r="BR19" s="138"/>
      <c r="BS19" s="138"/>
      <c r="BT19" s="138"/>
      <c r="BU19" s="138"/>
      <c r="BV19" s="138"/>
      <c r="BW19" s="138"/>
      <c r="BX19" s="138"/>
      <c r="BY19" s="138"/>
      <c r="BZ19" s="138"/>
      <c r="CA19" s="138"/>
      <c r="CB19" s="138"/>
      <c r="CC19" s="138"/>
      <c r="CD19" s="138"/>
      <c r="CE19" s="138"/>
      <c r="CF19" s="138"/>
      <c r="CG19" s="138"/>
      <c r="CH19" s="138"/>
      <c r="CI19" s="138"/>
      <c r="CJ19" s="138"/>
      <c r="CK19" s="138"/>
      <c r="CL19" s="138"/>
      <c r="CM19" s="138"/>
      <c r="CN19" s="138"/>
      <c r="CO19" s="138"/>
      <c r="CP19" s="138"/>
      <c r="CQ19" s="138"/>
      <c r="CR19" s="138"/>
      <c r="CS19" s="138"/>
    </row>
    <row r="20" spans="1:97" ht="18" customHeight="1" outlineLevel="2">
      <c r="A20" s="195"/>
      <c r="B20" s="195" t="s">
        <v>1426</v>
      </c>
      <c r="C20" s="195">
        <v>3</v>
      </c>
      <c r="D20" s="196" t="s">
        <v>1283</v>
      </c>
      <c r="E20" s="197"/>
      <c r="F20" s="197"/>
      <c r="G20" s="197" t="s">
        <v>1478</v>
      </c>
      <c r="H20" s="197"/>
      <c r="I20" s="197"/>
      <c r="J20" s="197"/>
      <c r="K20" s="197"/>
      <c r="L20" s="197"/>
      <c r="M20" s="197"/>
      <c r="N20" s="197"/>
      <c r="O20" s="197"/>
      <c r="P20" s="198">
        <v>44216</v>
      </c>
      <c r="Q20" s="198">
        <v>44253</v>
      </c>
      <c r="R20" s="199"/>
      <c r="S20" s="200">
        <v>69</v>
      </c>
      <c r="T20" s="200">
        <v>34</v>
      </c>
      <c r="U20" s="200">
        <v>26</v>
      </c>
      <c r="V20" s="200">
        <v>16</v>
      </c>
      <c r="W20" s="198">
        <v>44216</v>
      </c>
      <c r="X20" s="198"/>
      <c r="Y20" s="201">
        <v>25</v>
      </c>
      <c r="Z20" s="202">
        <v>0</v>
      </c>
      <c r="AA20" s="200"/>
      <c r="AB20" s="199"/>
      <c r="AC20" s="165"/>
      <c r="AD20" s="203">
        <v>0.49275362318840582</v>
      </c>
      <c r="AE20" s="207">
        <v>0.36231884057971014</v>
      </c>
      <c r="AF20" s="137"/>
      <c r="AG20" s="138"/>
      <c r="AH20" s="138"/>
      <c r="AI20" s="138"/>
      <c r="AJ20" s="138" t="str">
        <f>"  " &amp; TEXT(AE20,"#0.00%") &amp; " "</f>
        <v xml:space="preserve">  36.23% </v>
      </c>
      <c r="AK20" s="138"/>
      <c r="AL20" s="138"/>
      <c r="AM20" s="138" t="str">
        <f>"     " &amp; "업무별 프로세스 분석" &amp; " " &amp; IF(P20="","",TEXT(P20,"M/D-")) &amp; IF(Q20="","",TEXT(Q20,"M/D")) &amp; " "</f>
        <v xml:space="preserve">     업무별 프로세스 분석 1/20-2/26 </v>
      </c>
      <c r="AN20" s="138"/>
      <c r="AO20" s="138"/>
      <c r="AP20" s="138"/>
      <c r="AQ20" s="138"/>
      <c r="AR20" s="138"/>
      <c r="AS20" s="138"/>
      <c r="AT20" s="138"/>
      <c r="AU20" s="138"/>
      <c r="AV20" s="138"/>
      <c r="AW20" s="138"/>
      <c r="AX20" s="138"/>
      <c r="AY20" s="138"/>
      <c r="AZ20" s="138"/>
      <c r="BA20" s="138"/>
      <c r="BB20" s="138"/>
      <c r="BC20" s="138"/>
      <c r="BD20" s="138"/>
      <c r="BE20" s="138"/>
      <c r="BF20" s="138"/>
      <c r="BG20" s="138"/>
      <c r="BH20" s="138"/>
      <c r="BI20" s="138"/>
      <c r="BJ20" s="138"/>
      <c r="BK20" s="138"/>
      <c r="BL20" s="138"/>
      <c r="BM20" s="138"/>
      <c r="BN20" s="138"/>
      <c r="BO20" s="138"/>
      <c r="BP20" s="138"/>
      <c r="BQ20" s="138"/>
      <c r="BR20" s="138"/>
      <c r="BS20" s="138"/>
      <c r="BT20" s="138"/>
      <c r="BU20" s="138"/>
      <c r="BV20" s="138"/>
      <c r="BW20" s="138"/>
      <c r="BX20" s="138"/>
      <c r="BY20" s="138"/>
      <c r="BZ20" s="138"/>
      <c r="CA20" s="138"/>
      <c r="CB20" s="138"/>
      <c r="CC20" s="138"/>
      <c r="CD20" s="138"/>
      <c r="CE20" s="138"/>
      <c r="CF20" s="138"/>
      <c r="CG20" s="138"/>
      <c r="CH20" s="138"/>
      <c r="CI20" s="138"/>
      <c r="CJ20" s="138"/>
      <c r="CK20" s="138"/>
      <c r="CL20" s="138"/>
      <c r="CM20" s="138"/>
      <c r="CN20" s="138"/>
      <c r="CO20" s="138"/>
      <c r="CP20" s="138"/>
      <c r="CQ20" s="138"/>
      <c r="CR20" s="138"/>
      <c r="CS20" s="138"/>
    </row>
    <row r="21" spans="1:97" ht="18" customHeight="1" outlineLevel="3">
      <c r="A21" s="195"/>
      <c r="B21" s="195"/>
      <c r="C21" s="195">
        <v>4</v>
      </c>
      <c r="D21" s="196" t="s">
        <v>1284</v>
      </c>
      <c r="E21" s="197"/>
      <c r="F21" s="197"/>
      <c r="G21" s="197"/>
      <c r="H21" s="231" t="s">
        <v>1748</v>
      </c>
      <c r="I21" s="197"/>
      <c r="J21" s="197"/>
      <c r="K21" s="197"/>
      <c r="L21" s="197"/>
      <c r="M21" s="197"/>
      <c r="N21" s="197"/>
      <c r="O21" s="197"/>
      <c r="P21" s="198">
        <v>44216</v>
      </c>
      <c r="Q21" s="198">
        <v>44217</v>
      </c>
      <c r="R21" s="199"/>
      <c r="S21" s="200">
        <v>6</v>
      </c>
      <c r="T21" s="200">
        <v>6</v>
      </c>
      <c r="U21" s="200">
        <v>2</v>
      </c>
      <c r="V21" s="200">
        <v>2</v>
      </c>
      <c r="W21" s="198">
        <v>44216</v>
      </c>
      <c r="X21" s="198">
        <v>44217</v>
      </c>
      <c r="Y21" s="201">
        <v>6</v>
      </c>
      <c r="Z21" s="202">
        <v>2</v>
      </c>
      <c r="AA21" s="200"/>
      <c r="AB21" s="199" t="s">
        <v>1875</v>
      </c>
      <c r="AC21" s="165"/>
      <c r="AD21" s="203">
        <v>1</v>
      </c>
      <c r="AE21" s="205">
        <v>1</v>
      </c>
      <c r="AF21" s="137"/>
      <c r="AG21" s="138"/>
      <c r="AH21" s="138" t="str">
        <f>"    " &amp; TEXT(AE21,"#0.00%") &amp; " " &amp; "군산(계약, 본선, 운영, 운송,자동화I/F)" &amp; "(권서동부장,이재익차장,황의천과장)" &amp; " " &amp; IF(P21="","",TEXT(P21,"M/D-")) &amp; IF(Q21="","",TEXT(Q21,"M/D")) &amp; " "</f>
        <v xml:space="preserve">    100.00% 군산(계약, 본선, 운영, 운송,자동화I/F)(권서동부장,이재익차장,황의천과장) 1/20-1/21 </v>
      </c>
      <c r="AI21" s="138"/>
      <c r="AJ21" s="138"/>
      <c r="AK21" s="138"/>
      <c r="AL21" s="138"/>
      <c r="AM21" s="138"/>
      <c r="AN21" s="138"/>
      <c r="AO21" s="138"/>
      <c r="AP21" s="138"/>
      <c r="AQ21" s="138"/>
      <c r="AR21" s="138"/>
      <c r="AS21" s="138"/>
      <c r="AT21" s="138"/>
      <c r="AU21" s="138"/>
      <c r="AV21" s="138"/>
      <c r="AW21" s="138"/>
      <c r="AX21" s="138"/>
      <c r="AY21" s="138"/>
      <c r="AZ21" s="138"/>
      <c r="BA21" s="138"/>
      <c r="BB21" s="138"/>
      <c r="BC21" s="138"/>
      <c r="BD21" s="138"/>
      <c r="BE21" s="138"/>
      <c r="BF21" s="138"/>
      <c r="BG21" s="138"/>
      <c r="BH21" s="138"/>
      <c r="BI21" s="138"/>
      <c r="BJ21" s="138"/>
      <c r="BK21" s="138"/>
      <c r="BL21" s="138"/>
      <c r="BM21" s="138"/>
      <c r="BN21" s="138"/>
      <c r="BO21" s="138"/>
      <c r="BP21" s="138"/>
      <c r="BQ21" s="138"/>
      <c r="BR21" s="138"/>
      <c r="BS21" s="138"/>
      <c r="BT21" s="138"/>
      <c r="BU21" s="138"/>
      <c r="BV21" s="138"/>
      <c r="BW21" s="138"/>
      <c r="BX21" s="138"/>
      <c r="BY21" s="138"/>
      <c r="BZ21" s="138"/>
      <c r="CA21" s="138"/>
      <c r="CB21" s="138"/>
      <c r="CC21" s="138"/>
      <c r="CD21" s="138"/>
      <c r="CE21" s="138"/>
      <c r="CF21" s="138"/>
      <c r="CG21" s="138"/>
      <c r="CH21" s="138"/>
      <c r="CI21" s="138"/>
      <c r="CJ21" s="138"/>
      <c r="CK21" s="138"/>
      <c r="CL21" s="138"/>
      <c r="CM21" s="138"/>
      <c r="CN21" s="138"/>
      <c r="CO21" s="138"/>
      <c r="CP21" s="138"/>
      <c r="CQ21" s="138"/>
      <c r="CR21" s="138"/>
      <c r="CS21" s="138"/>
    </row>
    <row r="22" spans="1:97" ht="18" customHeight="1" outlineLevel="3">
      <c r="A22" s="195"/>
      <c r="B22" s="195"/>
      <c r="C22" s="195">
        <v>4</v>
      </c>
      <c r="D22" s="196" t="s">
        <v>1285</v>
      </c>
      <c r="E22" s="197"/>
      <c r="F22" s="197"/>
      <c r="G22" s="197"/>
      <c r="H22" s="197" t="s">
        <v>1740</v>
      </c>
      <c r="I22" s="197"/>
      <c r="J22" s="197"/>
      <c r="K22" s="197"/>
      <c r="L22" s="197"/>
      <c r="M22" s="197"/>
      <c r="N22" s="197"/>
      <c r="O22" s="197"/>
      <c r="P22" s="198">
        <v>44222</v>
      </c>
      <c r="Q22" s="198">
        <v>44222</v>
      </c>
      <c r="R22" s="199"/>
      <c r="S22" s="200">
        <v>3</v>
      </c>
      <c r="T22" s="200">
        <v>3</v>
      </c>
      <c r="U22" s="200">
        <v>1</v>
      </c>
      <c r="V22" s="200">
        <v>1</v>
      </c>
      <c r="W22" s="198">
        <v>44222</v>
      </c>
      <c r="X22" s="198">
        <v>44222</v>
      </c>
      <c r="Y22" s="201">
        <v>3</v>
      </c>
      <c r="Z22" s="202">
        <v>1</v>
      </c>
      <c r="AA22" s="200"/>
      <c r="AB22" s="199" t="s">
        <v>1875</v>
      </c>
      <c r="AC22" s="165"/>
      <c r="AD22" s="203">
        <v>1</v>
      </c>
      <c r="AE22" s="205">
        <v>1</v>
      </c>
      <c r="AF22" s="137"/>
      <c r="AG22" s="138"/>
      <c r="AH22" s="138"/>
      <c r="AI22" s="138" t="str">
        <f>"  " &amp; TEXT(AE22,"#0.00%") &amp; " " &amp; "북항(계약, 본선, 운영,홈페이지)(10:00~)" &amp; "(권서동부장,이재익차장,황의천과장)" &amp; " " &amp; IF(P22="","",TEXT(P22,"M/D-")) &amp; IF(Q22="","",TEXT(Q22,"M/D")) &amp; " "</f>
        <v xml:space="preserve">  100.00% 북항(계약, 본선, 운영,홈페이지)(10:00~)(권서동부장,이재익차장,황의천과장) 1/26-1/26 </v>
      </c>
      <c r="AJ22" s="138"/>
      <c r="AK22" s="138"/>
      <c r="AL22" s="138"/>
      <c r="AM22" s="138"/>
      <c r="AN22" s="138"/>
      <c r="AO22" s="138"/>
      <c r="AP22" s="138"/>
      <c r="AQ22" s="138"/>
      <c r="AR22" s="138"/>
      <c r="AS22" s="138"/>
      <c r="AT22" s="138"/>
      <c r="AU22" s="138"/>
      <c r="AV22" s="138"/>
      <c r="AW22" s="138"/>
      <c r="AX22" s="138"/>
      <c r="AY22" s="138"/>
      <c r="AZ22" s="138"/>
      <c r="BA22" s="138"/>
      <c r="BB22" s="138"/>
      <c r="BC22" s="138"/>
      <c r="BD22" s="138"/>
      <c r="BE22" s="138"/>
      <c r="BF22" s="138"/>
      <c r="BG22" s="138"/>
      <c r="BH22" s="138"/>
      <c r="BI22" s="138"/>
      <c r="BJ22" s="138"/>
      <c r="BK22" s="138"/>
      <c r="BL22" s="138"/>
      <c r="BM22" s="138"/>
      <c r="BN22" s="138"/>
      <c r="BO22" s="138"/>
      <c r="BP22" s="138"/>
      <c r="BQ22" s="138"/>
      <c r="BR22" s="138"/>
      <c r="BS22" s="138"/>
      <c r="BT22" s="138"/>
      <c r="BU22" s="138"/>
      <c r="BV22" s="138"/>
      <c r="BW22" s="138"/>
      <c r="BX22" s="138"/>
      <c r="BY22" s="138"/>
      <c r="BZ22" s="138"/>
      <c r="CA22" s="138"/>
      <c r="CB22" s="138"/>
      <c r="CC22" s="138"/>
      <c r="CD22" s="138"/>
      <c r="CE22" s="138"/>
      <c r="CF22" s="138"/>
      <c r="CG22" s="138"/>
      <c r="CH22" s="138"/>
      <c r="CI22" s="138"/>
      <c r="CJ22" s="138"/>
      <c r="CK22" s="138"/>
      <c r="CL22" s="138"/>
      <c r="CM22" s="138"/>
      <c r="CN22" s="138"/>
      <c r="CO22" s="138"/>
      <c r="CP22" s="138"/>
      <c r="CQ22" s="138"/>
      <c r="CR22" s="138"/>
      <c r="CS22" s="138"/>
    </row>
    <row r="23" spans="1:97" ht="18" customHeight="1" outlineLevel="3">
      <c r="A23" s="195"/>
      <c r="B23" s="195"/>
      <c r="C23" s="195">
        <v>4</v>
      </c>
      <c r="D23" s="196" t="s">
        <v>1480</v>
      </c>
      <c r="E23" s="197"/>
      <c r="F23" s="197"/>
      <c r="G23" s="197"/>
      <c r="H23" s="197" t="s">
        <v>1749</v>
      </c>
      <c r="I23" s="197"/>
      <c r="J23" s="197"/>
      <c r="K23" s="197"/>
      <c r="L23" s="197"/>
      <c r="M23" s="197"/>
      <c r="N23" s="197"/>
      <c r="O23" s="197"/>
      <c r="P23" s="198">
        <v>44223</v>
      </c>
      <c r="Q23" s="198">
        <v>44223</v>
      </c>
      <c r="R23" s="199"/>
      <c r="S23" s="200">
        <v>3</v>
      </c>
      <c r="T23" s="200">
        <v>3</v>
      </c>
      <c r="U23" s="200">
        <v>1</v>
      </c>
      <c r="V23" s="200">
        <v>1</v>
      </c>
      <c r="W23" s="198">
        <v>44223</v>
      </c>
      <c r="X23" s="198">
        <v>44223</v>
      </c>
      <c r="Y23" s="201">
        <v>3</v>
      </c>
      <c r="Z23" s="202">
        <v>1</v>
      </c>
      <c r="AA23" s="200"/>
      <c r="AB23" s="199" t="s">
        <v>1875</v>
      </c>
      <c r="AC23" s="165"/>
      <c r="AD23" s="203">
        <v>1</v>
      </c>
      <c r="AE23" s="205">
        <v>1</v>
      </c>
      <c r="AF23" s="137"/>
      <c r="AG23" s="138"/>
      <c r="AH23" s="138"/>
      <c r="AI23" s="138" t="str">
        <f>"   " &amp; TEXT(AE23,"#0.00%") &amp; " " &amp; "본사 SILO(10:00~운영,시설)(13:30~정선장,자동화I/F)" &amp; "(권서동부장,이재익차장,황의천과장)" &amp; " " &amp; IF(P23="","",TEXT(P23,"M/D-")) &amp; IF(Q23="","",TEXT(Q23,"M/D")) &amp; " "</f>
        <v xml:space="preserve">   100.00% 본사 SILO(10:00~운영,시설)(13:30~정선장,자동화I/F)(권서동부장,이재익차장,황의천과장) 1/27-1/27 </v>
      </c>
      <c r="AJ23" s="138"/>
      <c r="AK23" s="138"/>
      <c r="AL23" s="138"/>
      <c r="AM23" s="138"/>
      <c r="AN23" s="138"/>
      <c r="AO23" s="138"/>
      <c r="AP23" s="138"/>
      <c r="AQ23" s="138"/>
      <c r="AR23" s="138"/>
      <c r="AS23" s="138"/>
      <c r="AT23" s="138"/>
      <c r="AU23" s="138"/>
      <c r="AV23" s="138"/>
      <c r="AW23" s="138"/>
      <c r="AX23" s="138"/>
      <c r="AY23" s="138"/>
      <c r="AZ23" s="138"/>
      <c r="BA23" s="138"/>
      <c r="BB23" s="138"/>
      <c r="BC23" s="138"/>
      <c r="BD23" s="138"/>
      <c r="BE23" s="138"/>
      <c r="BF23" s="138"/>
      <c r="BG23" s="138"/>
      <c r="BH23" s="138"/>
      <c r="BI23" s="138"/>
      <c r="BJ23" s="138"/>
      <c r="BK23" s="138"/>
      <c r="BL23" s="138"/>
      <c r="BM23" s="138"/>
      <c r="BN23" s="138"/>
      <c r="BO23" s="138"/>
      <c r="BP23" s="138"/>
      <c r="BQ23" s="138"/>
      <c r="BR23" s="138"/>
      <c r="BS23" s="138"/>
      <c r="BT23" s="138"/>
      <c r="BU23" s="138"/>
      <c r="BV23" s="138"/>
      <c r="BW23" s="138"/>
      <c r="BX23" s="138"/>
      <c r="BY23" s="138"/>
      <c r="BZ23" s="138"/>
      <c r="CA23" s="138"/>
      <c r="CB23" s="138"/>
      <c r="CC23" s="138"/>
      <c r="CD23" s="138"/>
      <c r="CE23" s="138"/>
      <c r="CF23" s="138"/>
      <c r="CG23" s="138"/>
      <c r="CH23" s="138"/>
      <c r="CI23" s="138"/>
      <c r="CJ23" s="138"/>
      <c r="CK23" s="138"/>
      <c r="CL23" s="138"/>
      <c r="CM23" s="138"/>
      <c r="CN23" s="138"/>
      <c r="CO23" s="138"/>
      <c r="CP23" s="138"/>
      <c r="CQ23" s="138"/>
      <c r="CR23" s="138"/>
      <c r="CS23" s="138"/>
    </row>
    <row r="24" spans="1:97" ht="18" customHeight="1" outlineLevel="3">
      <c r="A24" s="195" t="s">
        <v>1741</v>
      </c>
      <c r="B24" s="195"/>
      <c r="C24" s="195">
        <v>4</v>
      </c>
      <c r="D24" s="196" t="s">
        <v>1481</v>
      </c>
      <c r="E24" s="197"/>
      <c r="F24" s="197"/>
      <c r="G24" s="197"/>
      <c r="H24" s="197" t="s">
        <v>1750</v>
      </c>
      <c r="I24" s="197"/>
      <c r="J24" s="197"/>
      <c r="K24" s="197"/>
      <c r="L24" s="197"/>
      <c r="M24" s="197"/>
      <c r="N24" s="197"/>
      <c r="O24" s="197"/>
      <c r="P24" s="198">
        <v>44224</v>
      </c>
      <c r="Q24" s="198">
        <v>44224</v>
      </c>
      <c r="R24" s="199"/>
      <c r="S24" s="200">
        <v>3</v>
      </c>
      <c r="T24" s="200">
        <v>3</v>
      </c>
      <c r="U24" s="200">
        <v>1</v>
      </c>
      <c r="V24" s="200">
        <v>1</v>
      </c>
      <c r="W24" s="198">
        <v>44224</v>
      </c>
      <c r="X24" s="198">
        <v>44224</v>
      </c>
      <c r="Y24" s="201">
        <v>3</v>
      </c>
      <c r="Z24" s="202">
        <v>1</v>
      </c>
      <c r="AA24" s="200">
        <v>1</v>
      </c>
      <c r="AB24" s="199" t="s">
        <v>1875</v>
      </c>
      <c r="AC24" s="165"/>
      <c r="AD24" s="203">
        <v>1</v>
      </c>
      <c r="AE24" s="205">
        <v>1</v>
      </c>
      <c r="AF24" s="137"/>
      <c r="AG24" s="138"/>
      <c r="AH24" s="138"/>
      <c r="AI24" s="138" t="str">
        <f>"    " &amp; TEXT(AE24,"#0.00%") &amp; " " &amp; "SNCT(장비정비)" &amp; "(권서동부장,이재익차장,황의천과장)" &amp; " " &amp; IF(P24="","",TEXT(P24,"M/D-")) &amp; IF(Q24="","",TEXT(Q24,"M/D")) &amp; " "</f>
        <v xml:space="preserve">    100.00% SNCT(장비정비)(권서동부장,이재익차장,황의천과장) 1/28-1/28 </v>
      </c>
      <c r="AJ24" s="138"/>
      <c r="AK24" s="138"/>
      <c r="AL24" s="138"/>
      <c r="AM24" s="138"/>
      <c r="AN24" s="138"/>
      <c r="AO24" s="138"/>
      <c r="AP24" s="138"/>
      <c r="AQ24" s="138"/>
      <c r="AR24" s="138"/>
      <c r="AS24" s="138"/>
      <c r="AT24" s="138"/>
      <c r="AU24" s="138"/>
      <c r="AV24" s="138"/>
      <c r="AW24" s="138"/>
      <c r="AX24" s="138"/>
      <c r="AY24" s="138"/>
      <c r="AZ24" s="138"/>
      <c r="BA24" s="138"/>
      <c r="BB24" s="138"/>
      <c r="BC24" s="138"/>
      <c r="BD24" s="138"/>
      <c r="BE24" s="138"/>
      <c r="BF24" s="138"/>
      <c r="BG24" s="138"/>
      <c r="BH24" s="138"/>
      <c r="BI24" s="138"/>
      <c r="BJ24" s="138"/>
      <c r="BK24" s="138"/>
      <c r="BL24" s="138"/>
      <c r="BM24" s="138"/>
      <c r="BN24" s="138"/>
      <c r="BO24" s="138"/>
      <c r="BP24" s="138"/>
      <c r="BQ24" s="138"/>
      <c r="BR24" s="138"/>
      <c r="BS24" s="138"/>
      <c r="BT24" s="138"/>
      <c r="BU24" s="138"/>
      <c r="BV24" s="138"/>
      <c r="BW24" s="138"/>
      <c r="BX24" s="138"/>
      <c r="BY24" s="138"/>
      <c r="BZ24" s="138"/>
      <c r="CA24" s="138"/>
      <c r="CB24" s="138"/>
      <c r="CC24" s="138"/>
      <c r="CD24" s="138"/>
      <c r="CE24" s="138"/>
      <c r="CF24" s="138"/>
      <c r="CG24" s="138"/>
      <c r="CH24" s="138"/>
      <c r="CI24" s="138"/>
      <c r="CJ24" s="138"/>
      <c r="CK24" s="138"/>
      <c r="CL24" s="138"/>
      <c r="CM24" s="138"/>
      <c r="CN24" s="138"/>
      <c r="CO24" s="138"/>
      <c r="CP24" s="138"/>
      <c r="CQ24" s="138"/>
      <c r="CR24" s="138"/>
      <c r="CS24" s="138"/>
    </row>
    <row r="25" spans="1:97" ht="18" customHeight="1" outlineLevel="3">
      <c r="A25" s="195"/>
      <c r="B25" s="195"/>
      <c r="C25" s="195">
        <v>4</v>
      </c>
      <c r="D25" s="196" t="s">
        <v>1482</v>
      </c>
      <c r="E25" s="197"/>
      <c r="F25" s="197"/>
      <c r="G25" s="197"/>
      <c r="H25" s="197" t="s">
        <v>1742</v>
      </c>
      <c r="I25" s="197"/>
      <c r="J25" s="197"/>
      <c r="K25" s="197"/>
      <c r="L25" s="197"/>
      <c r="M25" s="197"/>
      <c r="N25" s="197"/>
      <c r="O25" s="197"/>
      <c r="P25" s="198">
        <v>44225</v>
      </c>
      <c r="Q25" s="198">
        <v>44225</v>
      </c>
      <c r="R25" s="199"/>
      <c r="S25" s="200">
        <v>3</v>
      </c>
      <c r="T25" s="200">
        <v>3</v>
      </c>
      <c r="U25" s="200">
        <v>1</v>
      </c>
      <c r="V25" s="200">
        <v>1</v>
      </c>
      <c r="W25" s="198">
        <v>44225</v>
      </c>
      <c r="X25" s="198">
        <v>44225</v>
      </c>
      <c r="Y25" s="201">
        <v>3</v>
      </c>
      <c r="Z25" s="202">
        <v>1</v>
      </c>
      <c r="AA25" s="200"/>
      <c r="AB25" s="199" t="s">
        <v>1875</v>
      </c>
      <c r="AC25" s="165"/>
      <c r="AD25" s="203">
        <v>1</v>
      </c>
      <c r="AE25" s="205">
        <v>1</v>
      </c>
      <c r="AF25" s="137"/>
      <c r="AG25" s="138"/>
      <c r="AH25" s="138"/>
      <c r="AI25" s="138" t="str">
        <f>"     " &amp; TEXT(AE25,"#0.00%") &amp; " " &amp; "물류운영부(남항 + 평택)(10:00~운송)" &amp; "(권서동부장,이재익차장,황의천과장)" &amp; " " &amp; IF(P25="","",TEXT(P25,"M/D-")) &amp; IF(Q25="","",TEXT(Q25,"M/D")) &amp; " "</f>
        <v xml:space="preserve">     100.00% 물류운영부(남항 + 평택)(10:00~운송)(권서동부장,이재익차장,황의천과장) 1/29-1/29 </v>
      </c>
      <c r="AJ25" s="138"/>
      <c r="AK25" s="138"/>
      <c r="AL25" s="138"/>
      <c r="AM25" s="138"/>
      <c r="AN25" s="138"/>
      <c r="AO25" s="138"/>
      <c r="AP25" s="138"/>
      <c r="AQ25" s="138"/>
      <c r="AR25" s="138"/>
      <c r="AS25" s="138"/>
      <c r="AT25" s="138"/>
      <c r="AU25" s="138"/>
      <c r="AV25" s="138"/>
      <c r="AW25" s="138"/>
      <c r="AX25" s="138"/>
      <c r="AY25" s="138"/>
      <c r="AZ25" s="138"/>
      <c r="BA25" s="138"/>
      <c r="BB25" s="138"/>
      <c r="BC25" s="138"/>
      <c r="BD25" s="138"/>
      <c r="BE25" s="138"/>
      <c r="BF25" s="138"/>
      <c r="BG25" s="138"/>
      <c r="BH25" s="138"/>
      <c r="BI25" s="138"/>
      <c r="BJ25" s="138"/>
      <c r="BK25" s="138"/>
      <c r="BL25" s="138"/>
      <c r="BM25" s="138"/>
      <c r="BN25" s="138"/>
      <c r="BO25" s="138"/>
      <c r="BP25" s="138"/>
      <c r="BQ25" s="138"/>
      <c r="BR25" s="138"/>
      <c r="BS25" s="138"/>
      <c r="BT25" s="138"/>
      <c r="BU25" s="138"/>
      <c r="BV25" s="138"/>
      <c r="BW25" s="138"/>
      <c r="BX25" s="138"/>
      <c r="BY25" s="138"/>
      <c r="BZ25" s="138"/>
      <c r="CA25" s="138"/>
      <c r="CB25" s="138"/>
      <c r="CC25" s="138"/>
      <c r="CD25" s="138"/>
      <c r="CE25" s="138"/>
      <c r="CF25" s="138"/>
      <c r="CG25" s="138"/>
      <c r="CH25" s="138"/>
      <c r="CI25" s="138"/>
      <c r="CJ25" s="138"/>
      <c r="CK25" s="138"/>
      <c r="CL25" s="138"/>
      <c r="CM25" s="138"/>
      <c r="CN25" s="138"/>
      <c r="CO25" s="138"/>
      <c r="CP25" s="138"/>
      <c r="CQ25" s="138"/>
      <c r="CR25" s="138"/>
      <c r="CS25" s="138"/>
    </row>
    <row r="26" spans="1:97" ht="18" customHeight="1" outlineLevel="3">
      <c r="A26" s="195"/>
      <c r="B26" s="195"/>
      <c r="C26" s="195">
        <v>4</v>
      </c>
      <c r="D26" s="196" t="s">
        <v>1483</v>
      </c>
      <c r="E26" s="197"/>
      <c r="F26" s="197"/>
      <c r="G26" s="197"/>
      <c r="H26" s="197" t="s">
        <v>1743</v>
      </c>
      <c r="I26" s="197"/>
      <c r="J26" s="197"/>
      <c r="K26" s="197"/>
      <c r="L26" s="197"/>
      <c r="M26" s="197"/>
      <c r="N26" s="197"/>
      <c r="O26" s="197"/>
      <c r="P26" s="198">
        <v>44228</v>
      </c>
      <c r="Q26" s="198">
        <v>44228</v>
      </c>
      <c r="R26" s="199"/>
      <c r="S26" s="200">
        <v>3</v>
      </c>
      <c r="T26" s="200">
        <v>3</v>
      </c>
      <c r="U26" s="200">
        <v>1</v>
      </c>
      <c r="V26" s="200">
        <v>1</v>
      </c>
      <c r="W26" s="198">
        <v>44228</v>
      </c>
      <c r="X26" s="198">
        <v>44228</v>
      </c>
      <c r="Y26" s="201">
        <v>3</v>
      </c>
      <c r="Z26" s="202">
        <v>1</v>
      </c>
      <c r="AA26" s="200">
        <v>1</v>
      </c>
      <c r="AB26" s="199" t="s">
        <v>1875</v>
      </c>
      <c r="AC26" s="165"/>
      <c r="AD26" s="203">
        <v>1</v>
      </c>
      <c r="AE26" s="205">
        <v>1</v>
      </c>
      <c r="AF26" s="137"/>
      <c r="AG26" s="138"/>
      <c r="AH26" s="138"/>
      <c r="AI26" s="138"/>
      <c r="AJ26" s="138" t="str">
        <f>" " &amp; TEXT(AE26,"#0.00%") &amp; " " &amp; "신국제여객터미널(14:00~카페리I/F)" &amp; "(권서동부장,이재익차장,황의천과장)" &amp; " " &amp; IF(P26="","",TEXT(P26,"M/D-")) &amp; IF(Q26="","",TEXT(Q26,"M/D")) &amp; " "</f>
        <v xml:space="preserve"> 100.00% 신국제여객터미널(14:00~카페리I/F)(권서동부장,이재익차장,황의천과장) 2/1-2/1 </v>
      </c>
      <c r="AK26" s="138"/>
      <c r="AL26" s="138"/>
      <c r="AM26" s="138"/>
      <c r="AN26" s="138"/>
      <c r="AO26" s="138"/>
      <c r="AP26" s="138"/>
      <c r="AQ26" s="138"/>
      <c r="AR26" s="138"/>
      <c r="AS26" s="138"/>
      <c r="AT26" s="138"/>
      <c r="AU26" s="138"/>
      <c r="AV26" s="138"/>
      <c r="AW26" s="138"/>
      <c r="AX26" s="138"/>
      <c r="AY26" s="138"/>
      <c r="AZ26" s="138"/>
      <c r="BA26" s="138"/>
      <c r="BB26" s="138"/>
      <c r="BC26" s="138"/>
      <c r="BD26" s="138"/>
      <c r="BE26" s="138"/>
      <c r="BF26" s="138"/>
      <c r="BG26" s="138"/>
      <c r="BH26" s="138"/>
      <c r="BI26" s="138"/>
      <c r="BJ26" s="138"/>
      <c r="BK26" s="138"/>
      <c r="BL26" s="138"/>
      <c r="BM26" s="138"/>
      <c r="BN26" s="138"/>
      <c r="BO26" s="138"/>
      <c r="BP26" s="138"/>
      <c r="BQ26" s="138"/>
      <c r="BR26" s="138"/>
      <c r="BS26" s="138"/>
      <c r="BT26" s="138"/>
      <c r="BU26" s="138"/>
      <c r="BV26" s="138"/>
      <c r="BW26" s="138"/>
      <c r="BX26" s="138"/>
      <c r="BY26" s="138"/>
      <c r="BZ26" s="138"/>
      <c r="CA26" s="138"/>
      <c r="CB26" s="138"/>
      <c r="CC26" s="138"/>
      <c r="CD26" s="138"/>
      <c r="CE26" s="138"/>
      <c r="CF26" s="138"/>
      <c r="CG26" s="138"/>
      <c r="CH26" s="138"/>
      <c r="CI26" s="138"/>
      <c r="CJ26" s="138"/>
      <c r="CK26" s="138"/>
      <c r="CL26" s="138"/>
      <c r="CM26" s="138"/>
      <c r="CN26" s="138"/>
      <c r="CO26" s="138"/>
      <c r="CP26" s="138"/>
      <c r="CQ26" s="138"/>
      <c r="CR26" s="138"/>
      <c r="CS26" s="138"/>
    </row>
    <row r="27" spans="1:97" ht="18" customHeight="1" outlineLevel="3">
      <c r="A27" s="195"/>
      <c r="B27" s="195"/>
      <c r="C27" s="195">
        <v>4</v>
      </c>
      <c r="D27" s="196" t="s">
        <v>1484</v>
      </c>
      <c r="E27" s="197"/>
      <c r="F27" s="197"/>
      <c r="G27" s="197"/>
      <c r="H27" s="197" t="s">
        <v>1744</v>
      </c>
      <c r="I27" s="197"/>
      <c r="J27" s="197"/>
      <c r="K27" s="197"/>
      <c r="L27" s="197"/>
      <c r="M27" s="197"/>
      <c r="N27" s="197"/>
      <c r="O27" s="197"/>
      <c r="P27" s="198">
        <v>44231</v>
      </c>
      <c r="Q27" s="198">
        <v>44231</v>
      </c>
      <c r="R27" s="199"/>
      <c r="S27" s="200">
        <v>3</v>
      </c>
      <c r="T27" s="200">
        <v>3</v>
      </c>
      <c r="U27" s="200">
        <v>1</v>
      </c>
      <c r="V27" s="200">
        <v>1</v>
      </c>
      <c r="W27" s="198">
        <v>44231</v>
      </c>
      <c r="X27" s="198">
        <v>44231</v>
      </c>
      <c r="Y27" s="201">
        <v>3</v>
      </c>
      <c r="Z27" s="202">
        <v>1</v>
      </c>
      <c r="AA27" s="200">
        <v>1</v>
      </c>
      <c r="AB27" s="199" t="s">
        <v>1875</v>
      </c>
      <c r="AC27" s="165"/>
      <c r="AD27" s="203">
        <v>1</v>
      </c>
      <c r="AE27" s="205">
        <v>1</v>
      </c>
      <c r="AF27" s="137"/>
      <c r="AG27" s="138"/>
      <c r="AH27" s="138"/>
      <c r="AI27" s="138"/>
      <c r="AJ27" s="138" t="str">
        <f>"    " &amp; TEXT(AE27,"#0.00%") &amp; " " &amp; "총무(노임,장비,시설,자산)" &amp; "(권서동부장,이재익차장,황의천과장)" &amp; " " &amp; IF(P27="","",TEXT(P27,"M/D-")) &amp; IF(Q27="","",TEXT(Q27,"M/D")) &amp; " "</f>
        <v xml:space="preserve">    100.00% 총무(노임,장비,시설,자산)(권서동부장,이재익차장,황의천과장) 2/4-2/4 </v>
      </c>
      <c r="AK27" s="138"/>
      <c r="AL27" s="138"/>
      <c r="AM27" s="138"/>
      <c r="AN27" s="138"/>
      <c r="AO27" s="138"/>
      <c r="AP27" s="138"/>
      <c r="AQ27" s="138"/>
      <c r="AR27" s="138"/>
      <c r="AS27" s="138"/>
      <c r="AT27" s="138"/>
      <c r="AU27" s="138"/>
      <c r="AV27" s="138"/>
      <c r="AW27" s="138"/>
      <c r="AX27" s="138"/>
      <c r="AY27" s="138"/>
      <c r="AZ27" s="138"/>
      <c r="BA27" s="138"/>
      <c r="BB27" s="138"/>
      <c r="BC27" s="138"/>
      <c r="BD27" s="138"/>
      <c r="BE27" s="138"/>
      <c r="BF27" s="138"/>
      <c r="BG27" s="138"/>
      <c r="BH27" s="138"/>
      <c r="BI27" s="138"/>
      <c r="BJ27" s="138"/>
      <c r="BK27" s="138"/>
      <c r="BL27" s="138"/>
      <c r="BM27" s="138"/>
      <c r="BN27" s="138"/>
      <c r="BO27" s="138"/>
      <c r="BP27" s="138"/>
      <c r="BQ27" s="138"/>
      <c r="BR27" s="138"/>
      <c r="BS27" s="138"/>
      <c r="BT27" s="138"/>
      <c r="BU27" s="138"/>
      <c r="BV27" s="138"/>
      <c r="BW27" s="138"/>
      <c r="BX27" s="138"/>
      <c r="BY27" s="138"/>
      <c r="BZ27" s="138"/>
      <c r="CA27" s="138"/>
      <c r="CB27" s="138"/>
      <c r="CC27" s="138"/>
      <c r="CD27" s="138"/>
      <c r="CE27" s="138"/>
      <c r="CF27" s="138"/>
      <c r="CG27" s="138"/>
      <c r="CH27" s="138"/>
      <c r="CI27" s="138"/>
      <c r="CJ27" s="138"/>
      <c r="CK27" s="138"/>
      <c r="CL27" s="138"/>
      <c r="CM27" s="138"/>
      <c r="CN27" s="138"/>
      <c r="CO27" s="138"/>
      <c r="CP27" s="138"/>
      <c r="CQ27" s="138"/>
      <c r="CR27" s="138"/>
      <c r="CS27" s="138"/>
    </row>
    <row r="28" spans="1:97" ht="18" customHeight="1" outlineLevel="3">
      <c r="A28" s="195"/>
      <c r="B28" s="195"/>
      <c r="C28" s="195">
        <v>4</v>
      </c>
      <c r="D28" s="196" t="s">
        <v>1485</v>
      </c>
      <c r="E28" s="197"/>
      <c r="F28" s="197"/>
      <c r="G28" s="197"/>
      <c r="H28" s="197" t="s">
        <v>1862</v>
      </c>
      <c r="I28" s="197"/>
      <c r="J28" s="197"/>
      <c r="K28" s="197"/>
      <c r="L28" s="197"/>
      <c r="M28" s="197"/>
      <c r="N28" s="197"/>
      <c r="O28" s="197"/>
      <c r="P28" s="198">
        <v>44235</v>
      </c>
      <c r="Q28" s="198">
        <v>44235</v>
      </c>
      <c r="R28" s="199"/>
      <c r="S28" s="200">
        <v>1</v>
      </c>
      <c r="T28" s="200">
        <v>1</v>
      </c>
      <c r="U28" s="200">
        <v>1</v>
      </c>
      <c r="V28" s="200">
        <v>1</v>
      </c>
      <c r="W28" s="198">
        <v>44235</v>
      </c>
      <c r="X28" s="198">
        <v>44235</v>
      </c>
      <c r="Y28" s="201">
        <v>1</v>
      </c>
      <c r="Z28" s="202">
        <v>1</v>
      </c>
      <c r="AA28" s="200">
        <v>1</v>
      </c>
      <c r="AB28" s="199" t="s">
        <v>1502</v>
      </c>
      <c r="AC28" s="165"/>
      <c r="AD28" s="203">
        <v>1</v>
      </c>
      <c r="AE28" s="205">
        <v>1</v>
      </c>
      <c r="AF28" s="137"/>
      <c r="AG28" s="138"/>
      <c r="AH28" s="138"/>
      <c r="AI28" s="138"/>
      <c r="AJ28" s="138"/>
      <c r="AK28" s="138" t="str">
        <f>" " &amp; TEXT(AE28,"#0.00%") &amp; " " &amp; "법무(보험)" &amp; "(황의천과장)" &amp; " " &amp; IF(P28="","",TEXT(P28,"M/D-")) &amp; IF(Q28="","",TEXT(Q28,"M/D")) &amp; " "</f>
        <v xml:space="preserve"> 100.00% 법무(보험)(황의천과장) 2/8-2/8 </v>
      </c>
      <c r="AL28" s="138"/>
      <c r="AM28" s="138"/>
      <c r="AN28" s="138"/>
      <c r="AO28" s="138"/>
      <c r="AP28" s="138"/>
      <c r="AQ28" s="138"/>
      <c r="AR28" s="138"/>
      <c r="AS28" s="138"/>
      <c r="AT28" s="138"/>
      <c r="AU28" s="138"/>
      <c r="AV28" s="138"/>
      <c r="AW28" s="138"/>
      <c r="AX28" s="138"/>
      <c r="AY28" s="138"/>
      <c r="AZ28" s="138"/>
      <c r="BA28" s="138"/>
      <c r="BB28" s="138"/>
      <c r="BC28" s="138"/>
      <c r="BD28" s="138"/>
      <c r="BE28" s="138"/>
      <c r="BF28" s="138"/>
      <c r="BG28" s="138"/>
      <c r="BH28" s="138"/>
      <c r="BI28" s="138"/>
      <c r="BJ28" s="138"/>
      <c r="BK28" s="138"/>
      <c r="BL28" s="138"/>
      <c r="BM28" s="138"/>
      <c r="BN28" s="138"/>
      <c r="BO28" s="138"/>
      <c r="BP28" s="138"/>
      <c r="BQ28" s="138"/>
      <c r="BR28" s="138"/>
      <c r="BS28" s="138"/>
      <c r="BT28" s="138"/>
      <c r="BU28" s="138"/>
      <c r="BV28" s="138"/>
      <c r="BW28" s="138"/>
      <c r="BX28" s="138"/>
      <c r="BY28" s="138"/>
      <c r="BZ28" s="138"/>
      <c r="CA28" s="138"/>
      <c r="CB28" s="138"/>
      <c r="CC28" s="138"/>
      <c r="CD28" s="138"/>
      <c r="CE28" s="138"/>
      <c r="CF28" s="138"/>
      <c r="CG28" s="138"/>
      <c r="CH28" s="138"/>
      <c r="CI28" s="138"/>
      <c r="CJ28" s="138"/>
      <c r="CK28" s="138"/>
      <c r="CL28" s="138"/>
      <c r="CM28" s="138"/>
      <c r="CN28" s="138"/>
      <c r="CO28" s="138"/>
      <c r="CP28" s="138"/>
      <c r="CQ28" s="138"/>
      <c r="CR28" s="138"/>
      <c r="CS28" s="138"/>
    </row>
    <row r="29" spans="1:97" ht="18" customHeight="1" outlineLevel="3">
      <c r="A29" s="195"/>
      <c r="B29" s="195"/>
      <c r="C29" s="195">
        <v>4</v>
      </c>
      <c r="D29" s="196" t="s">
        <v>1486</v>
      </c>
      <c r="E29" s="197"/>
      <c r="F29" s="197"/>
      <c r="G29" s="197"/>
      <c r="H29" s="197" t="s">
        <v>1863</v>
      </c>
      <c r="I29" s="197"/>
      <c r="J29" s="197"/>
      <c r="K29" s="197"/>
      <c r="L29" s="197"/>
      <c r="M29" s="197"/>
      <c r="N29" s="197"/>
      <c r="O29" s="197"/>
      <c r="P29" s="198">
        <v>44242</v>
      </c>
      <c r="Q29" s="198">
        <v>44246</v>
      </c>
      <c r="R29" s="199"/>
      <c r="S29" s="200">
        <v>5</v>
      </c>
      <c r="T29" s="200">
        <v>0</v>
      </c>
      <c r="U29" s="200">
        <v>5</v>
      </c>
      <c r="V29" s="200">
        <v>0</v>
      </c>
      <c r="W29" s="198"/>
      <c r="X29" s="198"/>
      <c r="Y29" s="201">
        <v>0</v>
      </c>
      <c r="Z29" s="202">
        <v>0</v>
      </c>
      <c r="AA29" s="200">
        <v>1</v>
      </c>
      <c r="AB29" s="199" t="s">
        <v>1502</v>
      </c>
      <c r="AC29" s="165"/>
      <c r="AD29" s="203">
        <v>0</v>
      </c>
      <c r="AE29" s="205">
        <v>0</v>
      </c>
      <c r="AF29" s="137"/>
      <c r="AG29" s="138"/>
      <c r="AH29" s="138"/>
      <c r="AI29" s="138"/>
      <c r="AJ29" s="138"/>
      <c r="AK29" s="138"/>
      <c r="AL29" s="138" t="str">
        <f>"" &amp; TEXT(AE29,"#0.00%") &amp; " " &amp; "EDI 대상 List 정리" &amp; "(황의천과장)" &amp; " " &amp; IF(P29="","",TEXT(P29,"M/D-")) &amp; IF(Q29="","",TEXT(Q29,"M/D")) &amp; " "</f>
        <v xml:space="preserve">0.00% EDI 대상 List 정리(황의천과장) 2/15-2/19 </v>
      </c>
      <c r="AM29" s="138"/>
      <c r="AN29" s="138"/>
      <c r="AO29" s="138"/>
      <c r="AP29" s="138"/>
      <c r="AQ29" s="138"/>
      <c r="AR29" s="138"/>
      <c r="AS29" s="138"/>
      <c r="AT29" s="138"/>
      <c r="AU29" s="138"/>
      <c r="AV29" s="138"/>
      <c r="AW29" s="138"/>
      <c r="AX29" s="138"/>
      <c r="AY29" s="138"/>
      <c r="AZ29" s="138"/>
      <c r="BA29" s="138"/>
      <c r="BB29" s="138"/>
      <c r="BC29" s="138"/>
      <c r="BD29" s="138"/>
      <c r="BE29" s="138"/>
      <c r="BF29" s="138"/>
      <c r="BG29" s="138"/>
      <c r="BH29" s="138"/>
      <c r="BI29" s="138"/>
      <c r="BJ29" s="138"/>
      <c r="BK29" s="138"/>
      <c r="BL29" s="138"/>
      <c r="BM29" s="138"/>
      <c r="BN29" s="138"/>
      <c r="BO29" s="138"/>
      <c r="BP29" s="138"/>
      <c r="BQ29" s="138"/>
      <c r="BR29" s="138"/>
      <c r="BS29" s="138"/>
      <c r="BT29" s="138"/>
      <c r="BU29" s="138"/>
      <c r="BV29" s="138"/>
      <c r="BW29" s="138"/>
      <c r="BX29" s="138"/>
      <c r="BY29" s="138"/>
      <c r="BZ29" s="138"/>
      <c r="CA29" s="138"/>
      <c r="CB29" s="138"/>
      <c r="CC29" s="138"/>
      <c r="CD29" s="138"/>
      <c r="CE29" s="138"/>
      <c r="CF29" s="138"/>
      <c r="CG29" s="138"/>
      <c r="CH29" s="138"/>
      <c r="CI29" s="138"/>
      <c r="CJ29" s="138"/>
      <c r="CK29" s="138"/>
      <c r="CL29" s="138"/>
      <c r="CM29" s="138"/>
      <c r="CN29" s="138"/>
      <c r="CO29" s="138"/>
      <c r="CP29" s="138"/>
      <c r="CQ29" s="138"/>
      <c r="CR29" s="138"/>
      <c r="CS29" s="138"/>
    </row>
    <row r="30" spans="1:97" ht="18" customHeight="1" outlineLevel="3">
      <c r="A30" s="195"/>
      <c r="B30" s="195"/>
      <c r="C30" s="195">
        <v>4</v>
      </c>
      <c r="D30" s="196" t="s">
        <v>1487</v>
      </c>
      <c r="E30" s="197"/>
      <c r="F30" s="197"/>
      <c r="G30" s="197"/>
      <c r="H30" s="197" t="s">
        <v>1745</v>
      </c>
      <c r="I30" s="197"/>
      <c r="J30" s="197"/>
      <c r="K30" s="197"/>
      <c r="L30" s="197"/>
      <c r="M30" s="197"/>
      <c r="N30" s="197"/>
      <c r="O30" s="197"/>
      <c r="P30" s="198">
        <v>44235</v>
      </c>
      <c r="Q30" s="198">
        <v>44253</v>
      </c>
      <c r="R30" s="199"/>
      <c r="S30" s="200">
        <v>13</v>
      </c>
      <c r="T30" s="200">
        <v>3</v>
      </c>
      <c r="U30" s="200">
        <v>13</v>
      </c>
      <c r="V30" s="200">
        <v>3</v>
      </c>
      <c r="W30" s="198"/>
      <c r="X30" s="198"/>
      <c r="Y30" s="201">
        <v>0</v>
      </c>
      <c r="Z30" s="202">
        <v>0</v>
      </c>
      <c r="AA30" s="200">
        <v>1</v>
      </c>
      <c r="AB30" s="199" t="s">
        <v>1504</v>
      </c>
      <c r="AC30" s="165"/>
      <c r="AD30" s="203">
        <v>0.23076923076923078</v>
      </c>
      <c r="AE30" s="208">
        <v>0</v>
      </c>
      <c r="AF30" s="137"/>
      <c r="AG30" s="138"/>
      <c r="AH30" s="138"/>
      <c r="AI30" s="138"/>
      <c r="AJ30" s="138"/>
      <c r="AK30" s="138" t="str">
        <f>"" &amp; TEXT(AE30,"#0.00%") &amp; " " &amp; "모바일(전산팀)" &amp; "(본사지원)" &amp; " " &amp; IF(P30="","",TEXT(P30,"M/D-")) &amp; IF(Q30="","",TEXT(Q30,"M/D")) &amp; " "</f>
        <v xml:space="preserve">0.00% 모바일(전산팀)(본사지원) 2/8-2/26 </v>
      </c>
      <c r="AL30" s="138"/>
      <c r="AM30" s="138"/>
      <c r="AN30" s="138"/>
      <c r="AO30" s="138"/>
      <c r="AP30" s="138"/>
      <c r="AQ30" s="138"/>
      <c r="AR30" s="138"/>
      <c r="AS30" s="138"/>
      <c r="AT30" s="138"/>
      <c r="AU30" s="138"/>
      <c r="AV30" s="138"/>
      <c r="AW30" s="138"/>
      <c r="AX30" s="138"/>
      <c r="AY30" s="138"/>
      <c r="AZ30" s="138"/>
      <c r="BA30" s="138"/>
      <c r="BB30" s="138"/>
      <c r="BC30" s="138"/>
      <c r="BD30" s="138"/>
      <c r="BE30" s="138"/>
      <c r="BF30" s="138"/>
      <c r="BG30" s="138"/>
      <c r="BH30" s="138"/>
      <c r="BI30" s="138"/>
      <c r="BJ30" s="138"/>
      <c r="BK30" s="138"/>
      <c r="BL30" s="138"/>
      <c r="BM30" s="138"/>
      <c r="BN30" s="138"/>
      <c r="BO30" s="138"/>
      <c r="BP30" s="138"/>
      <c r="BQ30" s="138"/>
      <c r="BR30" s="138"/>
      <c r="BS30" s="138"/>
      <c r="BT30" s="138"/>
      <c r="BU30" s="138"/>
      <c r="BV30" s="138"/>
      <c r="BW30" s="138"/>
      <c r="BX30" s="138"/>
      <c r="BY30" s="138"/>
      <c r="BZ30" s="138"/>
      <c r="CA30" s="138"/>
      <c r="CB30" s="138"/>
      <c r="CC30" s="138"/>
      <c r="CD30" s="138"/>
      <c r="CE30" s="138"/>
      <c r="CF30" s="138"/>
      <c r="CG30" s="138"/>
      <c r="CH30" s="138"/>
      <c r="CI30" s="138"/>
      <c r="CJ30" s="138"/>
      <c r="CK30" s="138"/>
      <c r="CL30" s="138"/>
      <c r="CM30" s="138"/>
      <c r="CN30" s="138"/>
      <c r="CO30" s="138"/>
      <c r="CP30" s="138"/>
      <c r="CQ30" s="138"/>
      <c r="CR30" s="138"/>
      <c r="CS30" s="138"/>
    </row>
    <row r="31" spans="1:97" ht="18" customHeight="1" outlineLevel="3">
      <c r="A31" s="195"/>
      <c r="B31" s="195"/>
      <c r="C31" s="195">
        <v>4</v>
      </c>
      <c r="D31" s="196" t="s">
        <v>1488</v>
      </c>
      <c r="E31" s="197"/>
      <c r="F31" s="197"/>
      <c r="G31" s="197"/>
      <c r="H31" s="197" t="s">
        <v>1746</v>
      </c>
      <c r="I31" s="197"/>
      <c r="J31" s="197"/>
      <c r="K31" s="197"/>
      <c r="L31" s="197"/>
      <c r="M31" s="197"/>
      <c r="N31" s="197"/>
      <c r="O31" s="197"/>
      <c r="P31" s="198">
        <v>44235</v>
      </c>
      <c r="Q31" s="198">
        <v>44253</v>
      </c>
      <c r="R31" s="199"/>
      <c r="S31" s="200">
        <v>13</v>
      </c>
      <c r="T31" s="200">
        <v>3</v>
      </c>
      <c r="U31" s="200">
        <v>13</v>
      </c>
      <c r="V31" s="200">
        <v>3</v>
      </c>
      <c r="W31" s="198"/>
      <c r="X31" s="198"/>
      <c r="Y31" s="201">
        <v>0</v>
      </c>
      <c r="Z31" s="202">
        <v>0</v>
      </c>
      <c r="AA31" s="200">
        <v>1</v>
      </c>
      <c r="AB31" s="199" t="s">
        <v>1504</v>
      </c>
      <c r="AC31" s="165"/>
      <c r="AD31" s="203">
        <v>0.23076923076923078</v>
      </c>
      <c r="AE31" s="208">
        <v>0</v>
      </c>
      <c r="AF31" s="137"/>
      <c r="AG31" s="138"/>
      <c r="AH31" s="138"/>
      <c r="AI31" s="138"/>
      <c r="AJ31" s="138"/>
      <c r="AK31" s="138" t="str">
        <f>"" &amp; TEXT(AE31,"#0.00%") &amp; " " &amp; "차량위치(전산팀)" &amp; "(본사지원)" &amp; " " &amp; IF(P31="","",TEXT(P31,"M/D-")) &amp; IF(Q31="","",TEXT(Q31,"M/D")) &amp; " "</f>
        <v xml:space="preserve">0.00% 차량위치(전산팀)(본사지원) 2/8-2/26 </v>
      </c>
      <c r="AL31" s="138"/>
      <c r="AM31" s="138"/>
      <c r="AN31" s="138"/>
      <c r="AO31" s="138"/>
      <c r="AP31" s="138"/>
      <c r="AQ31" s="138"/>
      <c r="AR31" s="138"/>
      <c r="AS31" s="138"/>
      <c r="AT31" s="138"/>
      <c r="AU31" s="138"/>
      <c r="AV31" s="138"/>
      <c r="AW31" s="138"/>
      <c r="AX31" s="138"/>
      <c r="AY31" s="138"/>
      <c r="AZ31" s="138"/>
      <c r="BA31" s="138"/>
      <c r="BB31" s="138"/>
      <c r="BC31" s="138"/>
      <c r="BD31" s="138"/>
      <c r="BE31" s="138"/>
      <c r="BF31" s="138"/>
      <c r="BG31" s="138"/>
      <c r="BH31" s="138"/>
      <c r="BI31" s="138"/>
      <c r="BJ31" s="138"/>
      <c r="BK31" s="138"/>
      <c r="BL31" s="138"/>
      <c r="BM31" s="138"/>
      <c r="BN31" s="138"/>
      <c r="BO31" s="138"/>
      <c r="BP31" s="138"/>
      <c r="BQ31" s="138"/>
      <c r="BR31" s="138"/>
      <c r="BS31" s="138"/>
      <c r="BT31" s="138"/>
      <c r="BU31" s="138"/>
      <c r="BV31" s="138"/>
      <c r="BW31" s="138"/>
      <c r="BX31" s="138"/>
      <c r="BY31" s="138"/>
      <c r="BZ31" s="138"/>
      <c r="CA31" s="138"/>
      <c r="CB31" s="138"/>
      <c r="CC31" s="138"/>
      <c r="CD31" s="138"/>
      <c r="CE31" s="138"/>
      <c r="CF31" s="138"/>
      <c r="CG31" s="138"/>
      <c r="CH31" s="138"/>
      <c r="CI31" s="138"/>
      <c r="CJ31" s="138"/>
      <c r="CK31" s="138"/>
      <c r="CL31" s="138"/>
      <c r="CM31" s="138"/>
      <c r="CN31" s="138"/>
      <c r="CO31" s="138"/>
      <c r="CP31" s="138"/>
      <c r="CQ31" s="138"/>
      <c r="CR31" s="138"/>
      <c r="CS31" s="138"/>
    </row>
    <row r="32" spans="1:97" ht="18" customHeight="1" outlineLevel="3">
      <c r="A32" s="195"/>
      <c r="B32" s="195"/>
      <c r="C32" s="195">
        <v>4</v>
      </c>
      <c r="D32" s="196" t="s">
        <v>1489</v>
      </c>
      <c r="E32" s="197"/>
      <c r="F32" s="197"/>
      <c r="G32" s="197"/>
      <c r="H32" s="197" t="s">
        <v>1747</v>
      </c>
      <c r="I32" s="197"/>
      <c r="J32" s="197"/>
      <c r="K32" s="197"/>
      <c r="L32" s="197"/>
      <c r="M32" s="197"/>
      <c r="N32" s="197"/>
      <c r="O32" s="197"/>
      <c r="P32" s="198">
        <v>44235</v>
      </c>
      <c r="Q32" s="198">
        <v>44253</v>
      </c>
      <c r="R32" s="199"/>
      <c r="S32" s="200">
        <v>13</v>
      </c>
      <c r="T32" s="200">
        <v>3</v>
      </c>
      <c r="U32" s="200">
        <v>13</v>
      </c>
      <c r="V32" s="200">
        <v>3</v>
      </c>
      <c r="W32" s="198"/>
      <c r="X32" s="198"/>
      <c r="Y32" s="201">
        <v>0</v>
      </c>
      <c r="Z32" s="202">
        <v>0</v>
      </c>
      <c r="AA32" s="200">
        <v>1</v>
      </c>
      <c r="AB32" s="199" t="s">
        <v>1714</v>
      </c>
      <c r="AC32" s="165"/>
      <c r="AD32" s="203">
        <v>0.23076923076923078</v>
      </c>
      <c r="AE32" s="208">
        <v>0</v>
      </c>
      <c r="AF32" s="137"/>
      <c r="AG32" s="138"/>
      <c r="AH32" s="138"/>
      <c r="AI32" s="138"/>
      <c r="AJ32" s="138"/>
      <c r="AK32" s="138" t="str">
        <f>"" &amp; TEXT(AE32,"#0.00%") &amp; " " &amp; "선박위치(전산팀)" &amp; "(본사지원[80%],고태욱대리[20%])" &amp; " " &amp; IF(P32="","",TEXT(P32,"M/D-")) &amp; IF(Q32="","",TEXT(Q32,"M/D")) &amp; " "</f>
        <v xml:space="preserve">0.00% 선박위치(전산팀)(본사지원[80%],고태욱대리[20%]) 2/8-2/26 </v>
      </c>
      <c r="AL32" s="138"/>
      <c r="AM32" s="138"/>
      <c r="AN32" s="138"/>
      <c r="AO32" s="138"/>
      <c r="AP32" s="138"/>
      <c r="AQ32" s="138"/>
      <c r="AR32" s="138"/>
      <c r="AS32" s="138"/>
      <c r="AT32" s="138"/>
      <c r="AU32" s="138"/>
      <c r="AV32" s="138"/>
      <c r="AW32" s="138"/>
      <c r="AX32" s="138"/>
      <c r="AY32" s="138"/>
      <c r="AZ32" s="138"/>
      <c r="BA32" s="138"/>
      <c r="BB32" s="138"/>
      <c r="BC32" s="138"/>
      <c r="BD32" s="138"/>
      <c r="BE32" s="138"/>
      <c r="BF32" s="138"/>
      <c r="BG32" s="138"/>
      <c r="BH32" s="138"/>
      <c r="BI32" s="138"/>
      <c r="BJ32" s="138"/>
      <c r="BK32" s="138"/>
      <c r="BL32" s="138"/>
      <c r="BM32" s="138"/>
      <c r="BN32" s="138"/>
      <c r="BO32" s="138"/>
      <c r="BP32" s="138"/>
      <c r="BQ32" s="138"/>
      <c r="BR32" s="138"/>
      <c r="BS32" s="138"/>
      <c r="BT32" s="138"/>
      <c r="BU32" s="138"/>
      <c r="BV32" s="138"/>
      <c r="BW32" s="138"/>
      <c r="BX32" s="138"/>
      <c r="BY32" s="138"/>
      <c r="BZ32" s="138"/>
      <c r="CA32" s="138"/>
      <c r="CB32" s="138"/>
      <c r="CC32" s="138"/>
      <c r="CD32" s="138"/>
      <c r="CE32" s="138"/>
      <c r="CF32" s="138"/>
      <c r="CG32" s="138"/>
      <c r="CH32" s="138"/>
      <c r="CI32" s="138"/>
      <c r="CJ32" s="138"/>
      <c r="CK32" s="138"/>
      <c r="CL32" s="138"/>
      <c r="CM32" s="138"/>
      <c r="CN32" s="138"/>
      <c r="CO32" s="138"/>
      <c r="CP32" s="138"/>
      <c r="CQ32" s="138"/>
      <c r="CR32" s="138"/>
      <c r="CS32" s="138"/>
    </row>
    <row r="33" spans="1:97" ht="18" customHeight="1" outlineLevel="2">
      <c r="A33" s="195"/>
      <c r="B33" s="195"/>
      <c r="C33" s="195">
        <v>3</v>
      </c>
      <c r="D33" s="196" t="s">
        <v>1717</v>
      </c>
      <c r="E33" s="197"/>
      <c r="F33" s="197"/>
      <c r="G33" s="197" t="s">
        <v>1715</v>
      </c>
      <c r="H33" s="197"/>
      <c r="I33" s="197"/>
      <c r="J33" s="197"/>
      <c r="K33" s="197"/>
      <c r="L33" s="197"/>
      <c r="M33" s="197"/>
      <c r="N33" s="197"/>
      <c r="O33" s="197"/>
      <c r="P33" s="198">
        <v>44235</v>
      </c>
      <c r="Q33" s="198">
        <v>44253</v>
      </c>
      <c r="R33" s="199"/>
      <c r="S33" s="200">
        <v>13</v>
      </c>
      <c r="T33" s="200">
        <v>3</v>
      </c>
      <c r="U33" s="200">
        <v>13</v>
      </c>
      <c r="V33" s="200">
        <v>3</v>
      </c>
      <c r="W33" s="198"/>
      <c r="X33" s="198"/>
      <c r="Y33" s="201">
        <v>0</v>
      </c>
      <c r="Z33" s="202">
        <v>0</v>
      </c>
      <c r="AA33" s="200"/>
      <c r="AB33" s="199" t="s">
        <v>1716</v>
      </c>
      <c r="AC33" s="165"/>
      <c r="AD33" s="203">
        <v>0.23076923076923078</v>
      </c>
      <c r="AE33" s="208">
        <v>0</v>
      </c>
      <c r="AF33" s="137"/>
      <c r="AG33" s="138"/>
      <c r="AH33" s="138"/>
      <c r="AI33" s="138"/>
      <c r="AJ33" s="138"/>
      <c r="AK33" s="138" t="str">
        <f>"" &amp; TEXT(AE33,"#0.00%") &amp; " " &amp; "프로세스 설계서 작성" &amp; "(각 업무 담당자)" &amp; " " &amp; IF(P33="","",TEXT(P33,"M/D-")) &amp; IF(Q33="","",TEXT(Q33,"M/D")) &amp; " "</f>
        <v xml:space="preserve">0.00% 프로세스 설계서 작성(각 업무 담당자) 2/8-2/26 </v>
      </c>
      <c r="AL33" s="138"/>
      <c r="AM33" s="138"/>
      <c r="AN33" s="138"/>
      <c r="AO33" s="138"/>
      <c r="AP33" s="138"/>
      <c r="AQ33" s="138"/>
      <c r="AR33" s="138"/>
      <c r="AS33" s="138"/>
      <c r="AT33" s="138"/>
      <c r="AU33" s="138"/>
      <c r="AV33" s="138"/>
      <c r="AW33" s="138"/>
      <c r="AX33" s="138"/>
      <c r="AY33" s="138"/>
      <c r="AZ33" s="138"/>
      <c r="BA33" s="138"/>
      <c r="BB33" s="138"/>
      <c r="BC33" s="138"/>
      <c r="BD33" s="138"/>
      <c r="BE33" s="138"/>
      <c r="BF33" s="138"/>
      <c r="BG33" s="138"/>
      <c r="BH33" s="138"/>
      <c r="BI33" s="138"/>
      <c r="BJ33" s="138"/>
      <c r="BK33" s="138"/>
      <c r="BL33" s="138"/>
      <c r="BM33" s="138"/>
      <c r="BN33" s="138"/>
      <c r="BO33" s="138"/>
      <c r="BP33" s="138"/>
      <c r="BQ33" s="138"/>
      <c r="BR33" s="138"/>
      <c r="BS33" s="138"/>
      <c r="BT33" s="138"/>
      <c r="BU33" s="138"/>
      <c r="BV33" s="138"/>
      <c r="BW33" s="138"/>
      <c r="BX33" s="138"/>
      <c r="BY33" s="138"/>
      <c r="BZ33" s="138"/>
      <c r="CA33" s="138"/>
      <c r="CB33" s="138"/>
      <c r="CC33" s="138"/>
      <c r="CD33" s="138"/>
      <c r="CE33" s="138"/>
      <c r="CF33" s="138"/>
      <c r="CG33" s="138"/>
      <c r="CH33" s="138"/>
      <c r="CI33" s="138"/>
      <c r="CJ33" s="138"/>
      <c r="CK33" s="138"/>
      <c r="CL33" s="138"/>
      <c r="CM33" s="138"/>
      <c r="CN33" s="138"/>
      <c r="CO33" s="138"/>
      <c r="CP33" s="138"/>
      <c r="CQ33" s="138"/>
      <c r="CR33" s="138"/>
      <c r="CS33" s="138"/>
    </row>
    <row r="34" spans="1:97" ht="18" customHeight="1" outlineLevel="1">
      <c r="A34" s="195"/>
      <c r="B34" s="195" t="s">
        <v>1426</v>
      </c>
      <c r="C34" s="195">
        <v>2</v>
      </c>
      <c r="D34" s="196" t="s">
        <v>1324</v>
      </c>
      <c r="E34" s="197"/>
      <c r="F34" s="197" t="s">
        <v>1252</v>
      </c>
      <c r="G34" s="197"/>
      <c r="H34" s="197"/>
      <c r="I34" s="197"/>
      <c r="J34" s="197"/>
      <c r="K34" s="197"/>
      <c r="L34" s="197"/>
      <c r="M34" s="197"/>
      <c r="N34" s="197"/>
      <c r="O34" s="197"/>
      <c r="P34" s="198">
        <v>44256</v>
      </c>
      <c r="Q34" s="198">
        <v>44316</v>
      </c>
      <c r="R34" s="199"/>
      <c r="S34" s="200">
        <v>110</v>
      </c>
      <c r="T34" s="200">
        <v>0</v>
      </c>
      <c r="U34" s="200">
        <v>44</v>
      </c>
      <c r="V34" s="200">
        <v>0</v>
      </c>
      <c r="W34" s="198"/>
      <c r="X34" s="198"/>
      <c r="Y34" s="201">
        <v>0</v>
      </c>
      <c r="Z34" s="202">
        <v>0</v>
      </c>
      <c r="AA34" s="200"/>
      <c r="AB34" s="199"/>
      <c r="AC34" s="165"/>
      <c r="AD34" s="203">
        <v>0</v>
      </c>
      <c r="AE34" s="204">
        <v>0</v>
      </c>
      <c r="AF34" s="137"/>
      <c r="AG34" s="138"/>
      <c r="AH34" s="138"/>
      <c r="AI34" s="138"/>
      <c r="AJ34" s="138"/>
      <c r="AK34" s="138"/>
      <c r="AL34" s="138"/>
      <c r="AM34" s="138"/>
      <c r="AN34" s="138" t="str">
        <f>"" &amp; TEXT(AE34,"#0.00%") &amp; " "</f>
        <v xml:space="preserve">0.00% </v>
      </c>
      <c r="AO34" s="138"/>
      <c r="AP34" s="138"/>
      <c r="AQ34" s="138"/>
      <c r="AR34" s="138"/>
      <c r="AS34" s="138"/>
      <c r="AT34" s="138"/>
      <c r="AU34" s="138"/>
      <c r="AV34" s="138" t="str">
        <f>"     " &amp; "설계" &amp; " " &amp; IF(P34="","",TEXT(P34,"M/D-")) &amp; IF(Q34="","",TEXT(Q34,"M/D")) &amp; " "</f>
        <v xml:space="preserve">     설계 3/1-4/30 </v>
      </c>
      <c r="AW34" s="138"/>
      <c r="AX34" s="138"/>
      <c r="AY34" s="138"/>
      <c r="AZ34" s="138"/>
      <c r="BA34" s="138"/>
      <c r="BB34" s="138"/>
      <c r="BC34" s="138"/>
      <c r="BD34" s="138"/>
      <c r="BE34" s="138"/>
      <c r="BF34" s="138"/>
      <c r="BG34" s="138"/>
      <c r="BH34" s="138"/>
      <c r="BI34" s="138"/>
      <c r="BJ34" s="138"/>
      <c r="BK34" s="138"/>
      <c r="BL34" s="138"/>
      <c r="BM34" s="138"/>
      <c r="BN34" s="138"/>
      <c r="BO34" s="138"/>
      <c r="BP34" s="138"/>
      <c r="BQ34" s="138"/>
      <c r="BR34" s="138"/>
      <c r="BS34" s="138"/>
      <c r="BT34" s="138"/>
      <c r="BU34" s="138"/>
      <c r="BV34" s="138"/>
      <c r="BW34" s="138"/>
      <c r="BX34" s="138"/>
      <c r="BY34" s="138"/>
      <c r="BZ34" s="138"/>
      <c r="CA34" s="138"/>
      <c r="CB34" s="138"/>
      <c r="CC34" s="138"/>
      <c r="CD34" s="138"/>
      <c r="CE34" s="138"/>
      <c r="CF34" s="138"/>
      <c r="CG34" s="138"/>
      <c r="CH34" s="138"/>
      <c r="CI34" s="138"/>
      <c r="CJ34" s="138"/>
      <c r="CK34" s="138"/>
      <c r="CL34" s="138"/>
      <c r="CM34" s="138"/>
      <c r="CN34" s="138"/>
      <c r="CO34" s="138"/>
      <c r="CP34" s="138"/>
      <c r="CQ34" s="138"/>
      <c r="CR34" s="138"/>
      <c r="CS34" s="138"/>
    </row>
    <row r="35" spans="1:97" ht="18" customHeight="1" outlineLevel="2">
      <c r="A35" s="195"/>
      <c r="B35" s="195"/>
      <c r="C35" s="195">
        <v>3</v>
      </c>
      <c r="D35" s="196" t="s">
        <v>1286</v>
      </c>
      <c r="E35" s="197"/>
      <c r="F35" s="197"/>
      <c r="G35" s="197" t="s">
        <v>1287</v>
      </c>
      <c r="H35" s="197"/>
      <c r="I35" s="197"/>
      <c r="J35" s="197"/>
      <c r="K35" s="197"/>
      <c r="L35" s="197"/>
      <c r="M35" s="197"/>
      <c r="N35" s="197"/>
      <c r="O35" s="197"/>
      <c r="P35" s="198">
        <v>44256</v>
      </c>
      <c r="Q35" s="198">
        <v>44286</v>
      </c>
      <c r="R35" s="199"/>
      <c r="S35" s="200">
        <v>22</v>
      </c>
      <c r="T35" s="200">
        <v>0</v>
      </c>
      <c r="U35" s="200">
        <v>22</v>
      </c>
      <c r="V35" s="200">
        <v>0</v>
      </c>
      <c r="W35" s="198"/>
      <c r="X35" s="198"/>
      <c r="Y35" s="201">
        <v>0</v>
      </c>
      <c r="Z35" s="202">
        <v>0</v>
      </c>
      <c r="AA35" s="200">
        <v>1</v>
      </c>
      <c r="AB35" s="199"/>
      <c r="AC35" s="165"/>
      <c r="AD35" s="203">
        <v>0</v>
      </c>
      <c r="AE35" s="205">
        <v>0</v>
      </c>
      <c r="AF35" s="137"/>
      <c r="AG35" s="138"/>
      <c r="AH35" s="138"/>
      <c r="AI35" s="138"/>
      <c r="AJ35" s="138"/>
      <c r="AK35" s="138"/>
      <c r="AL35" s="138"/>
      <c r="AM35" s="138"/>
      <c r="AN35" s="138" t="str">
        <f>"" &amp; TEXT(AE35,"#0.00%") &amp; " "</f>
        <v xml:space="preserve">0.00% </v>
      </c>
      <c r="AO35" s="138"/>
      <c r="AP35" s="138"/>
      <c r="AQ35" s="138"/>
      <c r="AR35" s="138" t="str">
        <f>"   " &amp; "UI 설계" &amp; " " &amp; IF(P35="","",TEXT(P35,"M/D-")) &amp; IF(Q35="","",TEXT(Q35,"M/D")) &amp; " "</f>
        <v xml:space="preserve">   UI 설계 3/1-3/31 </v>
      </c>
      <c r="AS35" s="138"/>
      <c r="AT35" s="138"/>
      <c r="AU35" s="138"/>
      <c r="AV35" s="138"/>
      <c r="AW35" s="138"/>
      <c r="AX35" s="138"/>
      <c r="AY35" s="138"/>
      <c r="AZ35" s="138"/>
      <c r="BA35" s="138"/>
      <c r="BB35" s="138"/>
      <c r="BC35" s="138"/>
      <c r="BD35" s="138"/>
      <c r="BE35" s="138"/>
      <c r="BF35" s="138"/>
      <c r="BG35" s="138"/>
      <c r="BH35" s="138"/>
      <c r="BI35" s="138"/>
      <c r="BJ35" s="138"/>
      <c r="BK35" s="138"/>
      <c r="BL35" s="138"/>
      <c r="BM35" s="138"/>
      <c r="BN35" s="138"/>
      <c r="BO35" s="138"/>
      <c r="BP35" s="138"/>
      <c r="BQ35" s="138"/>
      <c r="BR35" s="138"/>
      <c r="BS35" s="138"/>
      <c r="BT35" s="138"/>
      <c r="BU35" s="138"/>
      <c r="BV35" s="138"/>
      <c r="BW35" s="138"/>
      <c r="BX35" s="138"/>
      <c r="BY35" s="138"/>
      <c r="BZ35" s="138"/>
      <c r="CA35" s="138"/>
      <c r="CB35" s="138"/>
      <c r="CC35" s="138"/>
      <c r="CD35" s="138"/>
      <c r="CE35" s="138"/>
      <c r="CF35" s="138"/>
      <c r="CG35" s="138"/>
      <c r="CH35" s="138"/>
      <c r="CI35" s="138"/>
      <c r="CJ35" s="138"/>
      <c r="CK35" s="138"/>
      <c r="CL35" s="138"/>
      <c r="CM35" s="138"/>
      <c r="CN35" s="138"/>
      <c r="CO35" s="138"/>
      <c r="CP35" s="138"/>
      <c r="CQ35" s="138"/>
      <c r="CR35" s="138"/>
      <c r="CS35" s="138"/>
    </row>
    <row r="36" spans="1:97" ht="18" customHeight="1" outlineLevel="2">
      <c r="A36" s="195"/>
      <c r="B36" s="195" t="s">
        <v>1426</v>
      </c>
      <c r="C36" s="195">
        <v>3</v>
      </c>
      <c r="D36" s="196" t="s">
        <v>1288</v>
      </c>
      <c r="E36" s="197"/>
      <c r="F36" s="197"/>
      <c r="G36" s="197" t="s">
        <v>1289</v>
      </c>
      <c r="H36" s="197"/>
      <c r="I36" s="197"/>
      <c r="J36" s="197"/>
      <c r="K36" s="197"/>
      <c r="L36" s="197"/>
      <c r="M36" s="197"/>
      <c r="N36" s="197"/>
      <c r="O36" s="197"/>
      <c r="P36" s="198">
        <v>44257</v>
      </c>
      <c r="Q36" s="198">
        <v>44316</v>
      </c>
      <c r="R36" s="199"/>
      <c r="S36" s="200">
        <v>88</v>
      </c>
      <c r="T36" s="200">
        <v>0</v>
      </c>
      <c r="U36" s="200">
        <v>44</v>
      </c>
      <c r="V36" s="200">
        <v>0</v>
      </c>
      <c r="W36" s="198"/>
      <c r="X36" s="198"/>
      <c r="Y36" s="201">
        <v>0</v>
      </c>
      <c r="Z36" s="202">
        <v>0</v>
      </c>
      <c r="AA36" s="200"/>
      <c r="AB36" s="199"/>
      <c r="AC36" s="165"/>
      <c r="AD36" s="203">
        <v>0</v>
      </c>
      <c r="AE36" s="204">
        <v>0</v>
      </c>
      <c r="AF36" s="137"/>
      <c r="AG36" s="138"/>
      <c r="AH36" s="138"/>
      <c r="AI36" s="138"/>
      <c r="AJ36" s="138"/>
      <c r="AK36" s="138"/>
      <c r="AL36" s="138"/>
      <c r="AM36" s="138"/>
      <c r="AN36" s="138" t="str">
        <f>" " &amp; TEXT(AE36,"#0.00%") &amp; " "</f>
        <v xml:space="preserve"> 0.00% </v>
      </c>
      <c r="AO36" s="138"/>
      <c r="AP36" s="138"/>
      <c r="AQ36" s="138"/>
      <c r="AR36" s="138"/>
      <c r="AS36" s="138"/>
      <c r="AT36" s="138"/>
      <c r="AU36" s="138"/>
      <c r="AV36" s="138" t="str">
        <f>"     " &amp; "시스템 설계" &amp; " " &amp; IF(P36="","",TEXT(P36,"M/D-")) &amp; IF(Q36="","",TEXT(Q36,"M/D")) &amp; " "</f>
        <v xml:space="preserve">     시스템 설계 3/2-4/30 </v>
      </c>
      <c r="AW36" s="138"/>
      <c r="AX36" s="138"/>
      <c r="AY36" s="138"/>
      <c r="AZ36" s="138"/>
      <c r="BA36" s="138"/>
      <c r="BB36" s="138"/>
      <c r="BC36" s="138"/>
      <c r="BD36" s="138"/>
      <c r="BE36" s="138"/>
      <c r="BF36" s="138"/>
      <c r="BG36" s="138"/>
      <c r="BH36" s="138"/>
      <c r="BI36" s="138"/>
      <c r="BJ36" s="138"/>
      <c r="BK36" s="138"/>
      <c r="BL36" s="138"/>
      <c r="BM36" s="138"/>
      <c r="BN36" s="138"/>
      <c r="BO36" s="138"/>
      <c r="BP36" s="138"/>
      <c r="BQ36" s="138"/>
      <c r="BR36" s="138"/>
      <c r="BS36" s="138"/>
      <c r="BT36" s="138"/>
      <c r="BU36" s="138"/>
      <c r="BV36" s="138"/>
      <c r="BW36" s="138"/>
      <c r="BX36" s="138"/>
      <c r="BY36" s="138"/>
      <c r="BZ36" s="138"/>
      <c r="CA36" s="138"/>
      <c r="CB36" s="138"/>
      <c r="CC36" s="138"/>
      <c r="CD36" s="138"/>
      <c r="CE36" s="138"/>
      <c r="CF36" s="138"/>
      <c r="CG36" s="138"/>
      <c r="CH36" s="138"/>
      <c r="CI36" s="138"/>
      <c r="CJ36" s="138"/>
      <c r="CK36" s="138"/>
      <c r="CL36" s="138"/>
      <c r="CM36" s="138"/>
      <c r="CN36" s="138"/>
      <c r="CO36" s="138"/>
      <c r="CP36" s="138"/>
      <c r="CQ36" s="138"/>
      <c r="CR36" s="138"/>
      <c r="CS36" s="138"/>
    </row>
    <row r="37" spans="1:97" ht="18" customHeight="1" outlineLevel="3">
      <c r="A37" s="195"/>
      <c r="B37" s="195"/>
      <c r="C37" s="195">
        <v>4</v>
      </c>
      <c r="D37" s="196" t="s">
        <v>1290</v>
      </c>
      <c r="E37" s="197"/>
      <c r="F37" s="197"/>
      <c r="G37" s="197"/>
      <c r="H37" s="197" t="s">
        <v>1292</v>
      </c>
      <c r="I37" s="197"/>
      <c r="J37" s="197"/>
      <c r="K37" s="197"/>
      <c r="L37" s="197"/>
      <c r="M37" s="197"/>
      <c r="N37" s="197"/>
      <c r="O37" s="197"/>
      <c r="P37" s="198">
        <v>44257</v>
      </c>
      <c r="Q37" s="198">
        <v>44316</v>
      </c>
      <c r="R37" s="199"/>
      <c r="S37" s="200">
        <v>44</v>
      </c>
      <c r="T37" s="200">
        <v>0</v>
      </c>
      <c r="U37" s="200">
        <v>44</v>
      </c>
      <c r="V37" s="200">
        <v>0</v>
      </c>
      <c r="W37" s="198"/>
      <c r="X37" s="198"/>
      <c r="Y37" s="201">
        <v>0</v>
      </c>
      <c r="Z37" s="202">
        <v>0</v>
      </c>
      <c r="AA37" s="200">
        <v>1</v>
      </c>
      <c r="AB37" s="199"/>
      <c r="AC37" s="165"/>
      <c r="AD37" s="203">
        <v>0</v>
      </c>
      <c r="AE37" s="205">
        <v>0</v>
      </c>
      <c r="AF37" s="137"/>
      <c r="AG37" s="138"/>
      <c r="AH37" s="138"/>
      <c r="AI37" s="138"/>
      <c r="AJ37" s="138"/>
      <c r="AK37" s="138"/>
      <c r="AL37" s="138"/>
      <c r="AM37" s="138"/>
      <c r="AN37" s="138" t="str">
        <f>" " &amp; TEXT(AE37,"#0.00%") &amp; " "</f>
        <v xml:space="preserve"> 0.00% </v>
      </c>
      <c r="AO37" s="138"/>
      <c r="AP37" s="138"/>
      <c r="AQ37" s="138"/>
      <c r="AR37" s="138"/>
      <c r="AS37" s="138"/>
      <c r="AT37" s="138"/>
      <c r="AU37" s="138"/>
      <c r="AV37" s="138" t="str">
        <f>"     " &amp; "데이터베이스설계" &amp; " " &amp; IF(P37="","",TEXT(P37,"M/D-")) &amp; IF(Q37="","",TEXT(Q37,"M/D")) &amp; " "</f>
        <v xml:space="preserve">     데이터베이스설계 3/2-4/30 </v>
      </c>
      <c r="AW37" s="138"/>
      <c r="AX37" s="138"/>
      <c r="AY37" s="138"/>
      <c r="AZ37" s="138"/>
      <c r="BA37" s="138"/>
      <c r="BB37" s="138"/>
      <c r="BC37" s="138"/>
      <c r="BD37" s="138"/>
      <c r="BE37" s="138"/>
      <c r="BF37" s="138"/>
      <c r="BG37" s="138"/>
      <c r="BH37" s="138"/>
      <c r="BI37" s="138"/>
      <c r="BJ37" s="138"/>
      <c r="BK37" s="138"/>
      <c r="BL37" s="138"/>
      <c r="BM37" s="138"/>
      <c r="BN37" s="138"/>
      <c r="BO37" s="138"/>
      <c r="BP37" s="138"/>
      <c r="BQ37" s="138"/>
      <c r="BR37" s="138"/>
      <c r="BS37" s="138"/>
      <c r="BT37" s="138"/>
      <c r="BU37" s="138"/>
      <c r="BV37" s="138"/>
      <c r="BW37" s="138"/>
      <c r="BX37" s="138"/>
      <c r="BY37" s="138"/>
      <c r="BZ37" s="138"/>
      <c r="CA37" s="138"/>
      <c r="CB37" s="138"/>
      <c r="CC37" s="138"/>
      <c r="CD37" s="138"/>
      <c r="CE37" s="138"/>
      <c r="CF37" s="138"/>
      <c r="CG37" s="138"/>
      <c r="CH37" s="138"/>
      <c r="CI37" s="138"/>
      <c r="CJ37" s="138"/>
      <c r="CK37" s="138"/>
      <c r="CL37" s="138"/>
      <c r="CM37" s="138"/>
      <c r="CN37" s="138"/>
      <c r="CO37" s="138"/>
      <c r="CP37" s="138"/>
      <c r="CQ37" s="138"/>
      <c r="CR37" s="138"/>
      <c r="CS37" s="138"/>
    </row>
    <row r="38" spans="1:97" ht="18" customHeight="1" outlineLevel="3">
      <c r="A38" s="195"/>
      <c r="B38" s="195"/>
      <c r="C38" s="195">
        <v>4</v>
      </c>
      <c r="D38" s="196" t="s">
        <v>1291</v>
      </c>
      <c r="E38" s="197"/>
      <c r="F38" s="197"/>
      <c r="G38" s="197"/>
      <c r="H38" s="197" t="s">
        <v>1293</v>
      </c>
      <c r="I38" s="197"/>
      <c r="J38" s="197"/>
      <c r="K38" s="197"/>
      <c r="L38" s="197"/>
      <c r="M38" s="197"/>
      <c r="N38" s="197"/>
      <c r="O38" s="197"/>
      <c r="P38" s="198">
        <v>44257</v>
      </c>
      <c r="Q38" s="198">
        <v>44316</v>
      </c>
      <c r="R38" s="199"/>
      <c r="S38" s="200">
        <v>44</v>
      </c>
      <c r="T38" s="200">
        <v>0</v>
      </c>
      <c r="U38" s="200">
        <v>44</v>
      </c>
      <c r="V38" s="200">
        <v>0</v>
      </c>
      <c r="W38" s="198"/>
      <c r="X38" s="198"/>
      <c r="Y38" s="201">
        <v>0</v>
      </c>
      <c r="Z38" s="202">
        <v>0</v>
      </c>
      <c r="AA38" s="200">
        <v>1</v>
      </c>
      <c r="AB38" s="199"/>
      <c r="AC38" s="165"/>
      <c r="AD38" s="203">
        <v>0</v>
      </c>
      <c r="AE38" s="205">
        <v>0</v>
      </c>
      <c r="AF38" s="137"/>
      <c r="AG38" s="138"/>
      <c r="AH38" s="138"/>
      <c r="AI38" s="138"/>
      <c r="AJ38" s="138"/>
      <c r="AK38" s="138"/>
      <c r="AL38" s="138"/>
      <c r="AM38" s="138"/>
      <c r="AN38" s="138" t="str">
        <f>" " &amp; TEXT(AE38,"#0.00%") &amp; " "</f>
        <v xml:space="preserve"> 0.00% </v>
      </c>
      <c r="AO38" s="138"/>
      <c r="AP38" s="138"/>
      <c r="AQ38" s="138"/>
      <c r="AR38" s="138"/>
      <c r="AS38" s="138"/>
      <c r="AT38" s="138"/>
      <c r="AU38" s="138"/>
      <c r="AV38" s="138" t="str">
        <f>"     " &amp; "프로그램설계" &amp; " " &amp; IF(P38="","",TEXT(P38,"M/D-")) &amp; IF(Q38="","",TEXT(Q38,"M/D")) &amp; " "</f>
        <v xml:space="preserve">     프로그램설계 3/2-4/30 </v>
      </c>
      <c r="AW38" s="138"/>
      <c r="AX38" s="138"/>
      <c r="AY38" s="138"/>
      <c r="AZ38" s="138"/>
      <c r="BA38" s="138"/>
      <c r="BB38" s="138"/>
      <c r="BC38" s="138"/>
      <c r="BD38" s="138"/>
      <c r="BE38" s="138"/>
      <c r="BF38" s="138"/>
      <c r="BG38" s="138"/>
      <c r="BH38" s="138"/>
      <c r="BI38" s="138"/>
      <c r="BJ38" s="138"/>
      <c r="BK38" s="138"/>
      <c r="BL38" s="138"/>
      <c r="BM38" s="138"/>
      <c r="BN38" s="138"/>
      <c r="BO38" s="138"/>
      <c r="BP38" s="138"/>
      <c r="BQ38" s="138"/>
      <c r="BR38" s="138"/>
      <c r="BS38" s="138"/>
      <c r="BT38" s="138"/>
      <c r="BU38" s="138"/>
      <c r="BV38" s="138"/>
      <c r="BW38" s="138"/>
      <c r="BX38" s="138"/>
      <c r="BY38" s="138"/>
      <c r="BZ38" s="138"/>
      <c r="CA38" s="138"/>
      <c r="CB38" s="138"/>
      <c r="CC38" s="138"/>
      <c r="CD38" s="138"/>
      <c r="CE38" s="138"/>
      <c r="CF38" s="138"/>
      <c r="CG38" s="138"/>
      <c r="CH38" s="138"/>
      <c r="CI38" s="138"/>
      <c r="CJ38" s="138"/>
      <c r="CK38" s="138"/>
      <c r="CL38" s="138"/>
      <c r="CM38" s="138"/>
      <c r="CN38" s="138"/>
      <c r="CO38" s="138"/>
      <c r="CP38" s="138"/>
      <c r="CQ38" s="138"/>
      <c r="CR38" s="138"/>
      <c r="CS38" s="138"/>
    </row>
    <row r="39" spans="1:97" ht="18" customHeight="1" outlineLevel="1">
      <c r="A39" s="195"/>
      <c r="B39" s="195" t="s">
        <v>1426</v>
      </c>
      <c r="C39" s="195">
        <v>2</v>
      </c>
      <c r="D39" s="196" t="s">
        <v>1325</v>
      </c>
      <c r="E39" s="197"/>
      <c r="F39" s="197" t="s">
        <v>1253</v>
      </c>
      <c r="G39" s="197"/>
      <c r="H39" s="197"/>
      <c r="I39" s="197"/>
      <c r="J39" s="197"/>
      <c r="K39" s="197"/>
      <c r="L39" s="197"/>
      <c r="M39" s="197"/>
      <c r="N39" s="197"/>
      <c r="O39" s="197"/>
      <c r="P39" s="198">
        <v>44319</v>
      </c>
      <c r="Q39" s="198">
        <v>44554</v>
      </c>
      <c r="R39" s="199"/>
      <c r="S39" s="200">
        <v>753</v>
      </c>
      <c r="T39" s="200">
        <v>0</v>
      </c>
      <c r="U39" s="200">
        <v>165</v>
      </c>
      <c r="V39" s="200">
        <v>0</v>
      </c>
      <c r="W39" s="198"/>
      <c r="X39" s="198"/>
      <c r="Y39" s="201">
        <v>0</v>
      </c>
      <c r="Z39" s="202">
        <v>0</v>
      </c>
      <c r="AA39" s="200"/>
      <c r="AB39" s="199"/>
      <c r="AC39" s="165"/>
      <c r="AD39" s="203">
        <v>0</v>
      </c>
      <c r="AE39" s="204">
        <v>0</v>
      </c>
      <c r="AF39" s="137"/>
      <c r="AG39" s="138"/>
      <c r="AH39" s="138"/>
      <c r="AI39" s="138"/>
      <c r="AJ39" s="138"/>
      <c r="AK39" s="138"/>
      <c r="AL39" s="138"/>
      <c r="AM39" s="138"/>
      <c r="AN39" s="138"/>
      <c r="AO39" s="138"/>
      <c r="AP39" s="138"/>
      <c r="AQ39" s="138"/>
      <c r="AR39" s="138"/>
      <c r="AS39" s="138"/>
      <c r="AT39" s="138"/>
      <c r="AU39" s="138"/>
      <c r="AV39" s="138"/>
      <c r="AW39" s="138" t="str">
        <f>"" &amp; TEXT(AE39,"#0.00%") &amp; " "</f>
        <v xml:space="preserve">0.00% </v>
      </c>
      <c r="AX39" s="138"/>
      <c r="AY39" s="138"/>
      <c r="AZ39" s="138"/>
      <c r="BA39" s="138"/>
      <c r="BB39" s="138"/>
      <c r="BC39" s="138"/>
      <c r="BD39" s="138"/>
      <c r="BE39" s="138"/>
      <c r="BF39" s="138"/>
      <c r="BG39" s="138"/>
      <c r="BH39" s="138"/>
      <c r="BI39" s="138"/>
      <c r="BJ39" s="138"/>
      <c r="BK39" s="138"/>
      <c r="BL39" s="138"/>
      <c r="BM39" s="138"/>
      <c r="BN39" s="138"/>
      <c r="BO39" s="138"/>
      <c r="BP39" s="138"/>
      <c r="BQ39" s="138"/>
      <c r="BR39" s="138"/>
      <c r="BS39" s="138"/>
      <c r="BT39" s="138"/>
      <c r="BU39" s="138"/>
      <c r="BV39" s="138"/>
      <c r="BW39" s="138"/>
      <c r="BX39" s="138"/>
      <c r="BY39" s="138"/>
      <c r="BZ39" s="138"/>
      <c r="CA39" s="138"/>
      <c r="CB39" s="138"/>
      <c r="CC39" s="138"/>
      <c r="CD39" s="138" t="str">
        <f>"     " &amp; "개발" &amp; " " &amp; IF(P39="","",TEXT(P39,"M/D-")) &amp; IF(Q39="","",TEXT(Q39,"M/D")) &amp; " "</f>
        <v xml:space="preserve">     개발 5/3-12/24 </v>
      </c>
      <c r="CE39" s="138"/>
      <c r="CF39" s="138"/>
      <c r="CG39" s="138"/>
      <c r="CH39" s="138"/>
      <c r="CI39" s="138"/>
      <c r="CJ39" s="138"/>
      <c r="CK39" s="138"/>
      <c r="CL39" s="138"/>
      <c r="CM39" s="138"/>
      <c r="CN39" s="138"/>
      <c r="CO39" s="138"/>
      <c r="CP39" s="138"/>
      <c r="CQ39" s="138"/>
      <c r="CR39" s="138"/>
      <c r="CS39" s="138"/>
    </row>
    <row r="40" spans="1:97" ht="18" customHeight="1" outlineLevel="2">
      <c r="A40" s="195"/>
      <c r="B40" s="195" t="s">
        <v>1426</v>
      </c>
      <c r="C40" s="195">
        <v>3</v>
      </c>
      <c r="D40" s="196" t="s">
        <v>1294</v>
      </c>
      <c r="E40" s="197"/>
      <c r="F40" s="197"/>
      <c r="G40" s="197" t="s">
        <v>1295</v>
      </c>
      <c r="H40" s="197"/>
      <c r="I40" s="197"/>
      <c r="J40" s="197"/>
      <c r="K40" s="197"/>
      <c r="L40" s="197"/>
      <c r="M40" s="197"/>
      <c r="N40" s="197"/>
      <c r="O40" s="197"/>
      <c r="P40" s="198">
        <v>44319</v>
      </c>
      <c r="Q40" s="198">
        <v>44498</v>
      </c>
      <c r="R40" s="199"/>
      <c r="S40" s="200">
        <v>698</v>
      </c>
      <c r="T40" s="200">
        <v>0</v>
      </c>
      <c r="U40" s="200">
        <v>125</v>
      </c>
      <c r="V40" s="200">
        <v>0</v>
      </c>
      <c r="W40" s="198"/>
      <c r="X40" s="198"/>
      <c r="Y40" s="201">
        <v>0</v>
      </c>
      <c r="Z40" s="202">
        <v>0</v>
      </c>
      <c r="AA40" s="200"/>
      <c r="AB40" s="199"/>
      <c r="AC40" s="165"/>
      <c r="AD40" s="203">
        <v>0</v>
      </c>
      <c r="AE40" s="204">
        <v>0</v>
      </c>
      <c r="AF40" s="137"/>
      <c r="AG40" s="138"/>
      <c r="AH40" s="138"/>
      <c r="AI40" s="138"/>
      <c r="AJ40" s="138"/>
      <c r="AK40" s="138"/>
      <c r="AL40" s="138"/>
      <c r="AM40" s="138"/>
      <c r="AN40" s="138"/>
      <c r="AO40" s="138"/>
      <c r="AP40" s="138"/>
      <c r="AQ40" s="138"/>
      <c r="AR40" s="138"/>
      <c r="AS40" s="138"/>
      <c r="AT40" s="138"/>
      <c r="AU40" s="138"/>
      <c r="AV40" s="138"/>
      <c r="AW40" s="138" t="str">
        <f>"" &amp; TEXT(AE40,"#0.00%") &amp; " "</f>
        <v xml:space="preserve">0.00% </v>
      </c>
      <c r="AX40" s="138"/>
      <c r="AY40" s="138"/>
      <c r="AZ40" s="138"/>
      <c r="BA40" s="138"/>
      <c r="BB40" s="138"/>
      <c r="BC40" s="138"/>
      <c r="BD40" s="138"/>
      <c r="BE40" s="138"/>
      <c r="BF40" s="138"/>
      <c r="BG40" s="138"/>
      <c r="BH40" s="138"/>
      <c r="BI40" s="138"/>
      <c r="BJ40" s="138"/>
      <c r="BK40" s="138"/>
      <c r="BL40" s="138"/>
      <c r="BM40" s="138"/>
      <c r="BN40" s="138"/>
      <c r="BO40" s="138"/>
      <c r="BP40" s="138"/>
      <c r="BQ40" s="138"/>
      <c r="BR40" s="138"/>
      <c r="BS40" s="138"/>
      <c r="BT40" s="138"/>
      <c r="BU40" s="138"/>
      <c r="BV40" s="138" t="str">
        <f>"     " &amp; "프로그램 개발" &amp; " " &amp; IF(P40="","",TEXT(P40,"M/D-")) &amp; IF(Q40="","",TEXT(Q40,"M/D")) &amp; " "</f>
        <v xml:space="preserve">     프로그램 개발 5/3-10/29 </v>
      </c>
      <c r="BW40" s="138"/>
      <c r="BX40" s="138"/>
      <c r="BY40" s="138"/>
      <c r="BZ40" s="138"/>
      <c r="CA40" s="138"/>
      <c r="CB40" s="138"/>
      <c r="CC40" s="138"/>
      <c r="CD40" s="138"/>
      <c r="CE40" s="138"/>
      <c r="CF40" s="138"/>
      <c r="CG40" s="138"/>
      <c r="CH40" s="138"/>
      <c r="CI40" s="138"/>
      <c r="CJ40" s="138"/>
      <c r="CK40" s="138"/>
      <c r="CL40" s="138"/>
      <c r="CM40" s="138"/>
      <c r="CN40" s="138"/>
      <c r="CO40" s="138"/>
      <c r="CP40" s="138"/>
      <c r="CQ40" s="138"/>
      <c r="CR40" s="138"/>
      <c r="CS40" s="138"/>
    </row>
    <row r="41" spans="1:97" ht="18" customHeight="1" outlineLevel="3">
      <c r="A41" s="195"/>
      <c r="B41" s="195" t="s">
        <v>1426</v>
      </c>
      <c r="C41" s="195">
        <v>4</v>
      </c>
      <c r="D41" s="196" t="s">
        <v>1296</v>
      </c>
      <c r="E41" s="197"/>
      <c r="F41" s="197"/>
      <c r="G41" s="197"/>
      <c r="H41" s="197" t="s">
        <v>1297</v>
      </c>
      <c r="I41" s="197"/>
      <c r="J41" s="197"/>
      <c r="K41" s="197"/>
      <c r="L41" s="197"/>
      <c r="M41" s="197"/>
      <c r="N41" s="197"/>
      <c r="O41" s="197"/>
      <c r="P41" s="198">
        <v>44319</v>
      </c>
      <c r="Q41" s="198">
        <v>44498</v>
      </c>
      <c r="R41" s="199"/>
      <c r="S41" s="200">
        <v>698</v>
      </c>
      <c r="T41" s="200">
        <v>0</v>
      </c>
      <c r="U41" s="200">
        <v>125</v>
      </c>
      <c r="V41" s="200">
        <v>0</v>
      </c>
      <c r="W41" s="198"/>
      <c r="X41" s="198"/>
      <c r="Y41" s="201">
        <v>0</v>
      </c>
      <c r="Z41" s="202">
        <v>0</v>
      </c>
      <c r="AA41" s="200"/>
      <c r="AB41" s="199"/>
      <c r="AC41" s="165"/>
      <c r="AD41" s="203">
        <v>0</v>
      </c>
      <c r="AE41" s="204">
        <v>0</v>
      </c>
      <c r="AF41" s="137"/>
      <c r="AG41" s="138"/>
      <c r="AH41" s="138"/>
      <c r="AI41" s="138"/>
      <c r="AJ41" s="138"/>
      <c r="AK41" s="138"/>
      <c r="AL41" s="138"/>
      <c r="AM41" s="138"/>
      <c r="AN41" s="138"/>
      <c r="AO41" s="138"/>
      <c r="AP41" s="138"/>
      <c r="AQ41" s="138"/>
      <c r="AR41" s="138"/>
      <c r="AS41" s="138"/>
      <c r="AT41" s="138"/>
      <c r="AU41" s="138"/>
      <c r="AV41" s="138"/>
      <c r="AW41" s="138" t="str">
        <f>"" &amp; TEXT(AE41,"#0.00%") &amp; " "</f>
        <v xml:space="preserve">0.00% </v>
      </c>
      <c r="AX41" s="138"/>
      <c r="AY41" s="138"/>
      <c r="AZ41" s="138"/>
      <c r="BA41" s="138"/>
      <c r="BB41" s="138"/>
      <c r="BC41" s="138"/>
      <c r="BD41" s="138"/>
      <c r="BE41" s="138"/>
      <c r="BF41" s="138"/>
      <c r="BG41" s="138"/>
      <c r="BH41" s="138"/>
      <c r="BI41" s="138"/>
      <c r="BJ41" s="138"/>
      <c r="BK41" s="138"/>
      <c r="BL41" s="138"/>
      <c r="BM41" s="138"/>
      <c r="BN41" s="138"/>
      <c r="BO41" s="138"/>
      <c r="BP41" s="138"/>
      <c r="BQ41" s="138"/>
      <c r="BR41" s="138"/>
      <c r="BS41" s="138"/>
      <c r="BT41" s="138"/>
      <c r="BU41" s="138"/>
      <c r="BV41" s="138" t="str">
        <f>"     " &amp; "프로그램코딩 및 단위테스트" &amp; " " &amp; IF(P41="","",TEXT(P41,"M/D-")) &amp; IF(Q41="","",TEXT(Q41,"M/D")) &amp; " "</f>
        <v xml:space="preserve">     프로그램코딩 및 단위테스트 5/3-10/29 </v>
      </c>
      <c r="BW41" s="138"/>
      <c r="BX41" s="138"/>
      <c r="BY41" s="138"/>
      <c r="BZ41" s="138"/>
      <c r="CA41" s="138"/>
      <c r="CB41" s="138"/>
      <c r="CC41" s="138"/>
      <c r="CD41" s="138"/>
      <c r="CE41" s="138"/>
      <c r="CF41" s="138"/>
      <c r="CG41" s="138"/>
      <c r="CH41" s="138"/>
      <c r="CI41" s="138"/>
      <c r="CJ41" s="138"/>
      <c r="CK41" s="138"/>
      <c r="CL41" s="138"/>
      <c r="CM41" s="138"/>
      <c r="CN41" s="138"/>
      <c r="CO41" s="138"/>
      <c r="CP41" s="138"/>
      <c r="CQ41" s="138"/>
      <c r="CR41" s="138"/>
      <c r="CS41" s="138"/>
    </row>
    <row r="42" spans="1:97" ht="18" customHeight="1" outlineLevel="4">
      <c r="A42" s="195"/>
      <c r="B42" s="195"/>
      <c r="C42" s="195">
        <v>5</v>
      </c>
      <c r="D42" s="196" t="s">
        <v>1533</v>
      </c>
      <c r="E42" s="197"/>
      <c r="F42" s="197"/>
      <c r="G42" s="197"/>
      <c r="H42" s="197"/>
      <c r="I42" s="197" t="s">
        <v>1676</v>
      </c>
      <c r="J42" s="197"/>
      <c r="K42" s="197"/>
      <c r="L42" s="197"/>
      <c r="M42" s="197"/>
      <c r="N42" s="197"/>
      <c r="O42" s="197"/>
      <c r="P42" s="198">
        <v>44319</v>
      </c>
      <c r="Q42" s="198">
        <v>44498</v>
      </c>
      <c r="R42" s="199"/>
      <c r="S42" s="200">
        <v>125</v>
      </c>
      <c r="T42" s="200">
        <v>0</v>
      </c>
      <c r="U42" s="200">
        <v>125</v>
      </c>
      <c r="V42" s="200">
        <v>0</v>
      </c>
      <c r="W42" s="198"/>
      <c r="X42" s="198"/>
      <c r="Y42" s="201">
        <v>0</v>
      </c>
      <c r="Z42" s="202">
        <v>0</v>
      </c>
      <c r="AA42" s="200">
        <v>1</v>
      </c>
      <c r="AB42" s="199"/>
      <c r="AC42" s="165"/>
      <c r="AD42" s="203">
        <v>0</v>
      </c>
      <c r="AE42" s="205">
        <v>0</v>
      </c>
      <c r="AF42" s="137"/>
      <c r="AG42" s="138"/>
      <c r="AH42" s="138"/>
      <c r="AI42" s="138"/>
      <c r="AJ42" s="138"/>
      <c r="AK42" s="138"/>
      <c r="AL42" s="138"/>
      <c r="AM42" s="138"/>
      <c r="AN42" s="138"/>
      <c r="AO42" s="138"/>
      <c r="AP42" s="138"/>
      <c r="AQ42" s="138"/>
      <c r="AR42" s="138"/>
      <c r="AS42" s="138"/>
      <c r="AT42" s="138"/>
      <c r="AU42" s="138"/>
      <c r="AV42" s="138"/>
      <c r="AW42" s="138" t="str">
        <f>"" &amp; TEXT(AE42,"#0.00%") &amp; " "</f>
        <v xml:space="preserve">0.00% </v>
      </c>
      <c r="AX42" s="138"/>
      <c r="AY42" s="138"/>
      <c r="AZ42" s="138"/>
      <c r="BA42" s="138"/>
      <c r="BB42" s="138"/>
      <c r="BC42" s="138"/>
      <c r="BD42" s="138"/>
      <c r="BE42" s="138"/>
      <c r="BF42" s="138"/>
      <c r="BG42" s="138"/>
      <c r="BH42" s="138"/>
      <c r="BI42" s="138"/>
      <c r="BJ42" s="138"/>
      <c r="BK42" s="138"/>
      <c r="BL42" s="138"/>
      <c r="BM42" s="138"/>
      <c r="BN42" s="138"/>
      <c r="BO42" s="138"/>
      <c r="BP42" s="138"/>
      <c r="BQ42" s="138"/>
      <c r="BR42" s="138"/>
      <c r="BS42" s="138"/>
      <c r="BT42" s="138"/>
      <c r="BU42" s="138"/>
      <c r="BV42" s="138" t="str">
        <f>"     " &amp; "영업관리 시스템" &amp; " " &amp; IF(P42="","",TEXT(P42,"M/D-")) &amp; IF(Q42="","",TEXT(Q42,"M/D")) &amp; " "</f>
        <v xml:space="preserve">     영업관리 시스템 5/3-10/29 </v>
      </c>
      <c r="BW42" s="138"/>
      <c r="BX42" s="138"/>
      <c r="BY42" s="138"/>
      <c r="BZ42" s="138"/>
      <c r="CA42" s="138"/>
      <c r="CB42" s="138"/>
      <c r="CC42" s="138"/>
      <c r="CD42" s="138"/>
      <c r="CE42" s="138"/>
      <c r="CF42" s="138"/>
      <c r="CG42" s="138"/>
      <c r="CH42" s="138"/>
      <c r="CI42" s="138"/>
      <c r="CJ42" s="138"/>
      <c r="CK42" s="138"/>
      <c r="CL42" s="138"/>
      <c r="CM42" s="138"/>
      <c r="CN42" s="138"/>
      <c r="CO42" s="138"/>
      <c r="CP42" s="138"/>
      <c r="CQ42" s="138"/>
      <c r="CR42" s="138"/>
      <c r="CS42" s="138"/>
    </row>
    <row r="43" spans="1:97" ht="18" customHeight="1" outlineLevel="4">
      <c r="A43" s="195"/>
      <c r="B43" s="195"/>
      <c r="C43" s="195">
        <v>5</v>
      </c>
      <c r="D43" s="196" t="s">
        <v>1534</v>
      </c>
      <c r="E43" s="197"/>
      <c r="F43" s="197"/>
      <c r="G43" s="197"/>
      <c r="H43" s="197"/>
      <c r="I43" s="197" t="s">
        <v>1673</v>
      </c>
      <c r="J43" s="197"/>
      <c r="K43" s="197"/>
      <c r="L43" s="197"/>
      <c r="M43" s="197"/>
      <c r="N43" s="197"/>
      <c r="O43" s="197"/>
      <c r="P43" s="198">
        <v>44319</v>
      </c>
      <c r="Q43" s="198">
        <v>44498</v>
      </c>
      <c r="R43" s="199"/>
      <c r="S43" s="200">
        <v>125</v>
      </c>
      <c r="T43" s="200">
        <v>0</v>
      </c>
      <c r="U43" s="200">
        <v>125</v>
      </c>
      <c r="V43" s="200">
        <v>0</v>
      </c>
      <c r="W43" s="198"/>
      <c r="X43" s="198"/>
      <c r="Y43" s="201">
        <v>0</v>
      </c>
      <c r="Z43" s="202">
        <v>0</v>
      </c>
      <c r="AA43" s="200"/>
      <c r="AB43" s="199"/>
      <c r="AC43" s="165"/>
      <c r="AD43" s="203">
        <v>0</v>
      </c>
      <c r="AE43" s="205">
        <v>0</v>
      </c>
      <c r="AF43" s="137"/>
      <c r="AG43" s="138"/>
      <c r="AH43" s="138"/>
      <c r="AI43" s="138"/>
      <c r="AJ43" s="138"/>
      <c r="AK43" s="138"/>
      <c r="AL43" s="138"/>
      <c r="AM43" s="138"/>
      <c r="AN43" s="138"/>
      <c r="AO43" s="138"/>
      <c r="AP43" s="138"/>
      <c r="AQ43" s="138"/>
      <c r="AR43" s="138"/>
      <c r="AS43" s="138"/>
      <c r="AT43" s="138"/>
      <c r="AU43" s="138"/>
      <c r="AV43" s="138"/>
      <c r="AW43" s="138" t="str">
        <f>"" &amp; TEXT(AE43,"#0.00%") &amp; " "</f>
        <v xml:space="preserve">0.00% </v>
      </c>
      <c r="AX43" s="138"/>
      <c r="AY43" s="138"/>
      <c r="AZ43" s="138"/>
      <c r="BA43" s="138"/>
      <c r="BB43" s="138"/>
      <c r="BC43" s="138"/>
      <c r="BD43" s="138"/>
      <c r="BE43" s="138"/>
      <c r="BF43" s="138"/>
      <c r="BG43" s="138"/>
      <c r="BH43" s="138"/>
      <c r="BI43" s="138"/>
      <c r="BJ43" s="138"/>
      <c r="BK43" s="138"/>
      <c r="BL43" s="138"/>
      <c r="BM43" s="138"/>
      <c r="BN43" s="138"/>
      <c r="BO43" s="138"/>
      <c r="BP43" s="138"/>
      <c r="BQ43" s="138"/>
      <c r="BR43" s="138"/>
      <c r="BS43" s="138"/>
      <c r="BT43" s="138"/>
      <c r="BU43" s="138"/>
      <c r="BV43" s="138" t="str">
        <f>"     " &amp; "오더관리 시스템" &amp; " " &amp; IF(P43="","",TEXT(P43,"M/D-")) &amp; IF(Q43="","",TEXT(Q43,"M/D")) &amp; " "</f>
        <v xml:space="preserve">     오더관리 시스템 5/3-10/29 </v>
      </c>
      <c r="BW43" s="138"/>
      <c r="BX43" s="138"/>
      <c r="BY43" s="138"/>
      <c r="BZ43" s="138"/>
      <c r="CA43" s="138"/>
      <c r="CB43" s="138"/>
      <c r="CC43" s="138"/>
      <c r="CD43" s="138"/>
      <c r="CE43" s="138"/>
      <c r="CF43" s="138"/>
      <c r="CG43" s="138"/>
      <c r="CH43" s="138"/>
      <c r="CI43" s="138"/>
      <c r="CJ43" s="138"/>
      <c r="CK43" s="138"/>
      <c r="CL43" s="138"/>
      <c r="CM43" s="138"/>
      <c r="CN43" s="138"/>
      <c r="CO43" s="138"/>
      <c r="CP43" s="138"/>
      <c r="CQ43" s="138"/>
      <c r="CR43" s="138"/>
      <c r="CS43" s="138"/>
    </row>
    <row r="44" spans="1:97" ht="18" customHeight="1" outlineLevel="4">
      <c r="A44" s="195"/>
      <c r="B44" s="195"/>
      <c r="C44" s="195">
        <v>5</v>
      </c>
      <c r="D44" s="196" t="s">
        <v>1535</v>
      </c>
      <c r="E44" s="197"/>
      <c r="F44" s="197"/>
      <c r="G44" s="197"/>
      <c r="H44" s="197"/>
      <c r="I44" s="197" t="s">
        <v>1671</v>
      </c>
      <c r="J44" s="197"/>
      <c r="K44" s="197"/>
      <c r="L44" s="197"/>
      <c r="M44" s="197"/>
      <c r="N44" s="197"/>
      <c r="O44" s="197"/>
      <c r="P44" s="198">
        <v>44319</v>
      </c>
      <c r="Q44" s="198">
        <v>44498</v>
      </c>
      <c r="R44" s="199"/>
      <c r="S44" s="200">
        <v>125</v>
      </c>
      <c r="T44" s="200">
        <v>0</v>
      </c>
      <c r="U44" s="200">
        <v>125</v>
      </c>
      <c r="V44" s="200">
        <v>0</v>
      </c>
      <c r="W44" s="198"/>
      <c r="X44" s="198"/>
      <c r="Y44" s="201">
        <v>0</v>
      </c>
      <c r="Z44" s="202">
        <v>0</v>
      </c>
      <c r="AA44" s="200"/>
      <c r="AB44" s="199"/>
      <c r="AC44" s="165"/>
      <c r="AD44" s="203">
        <v>0</v>
      </c>
      <c r="AE44" s="205">
        <v>0</v>
      </c>
      <c r="AF44" s="137"/>
      <c r="AG44" s="138"/>
      <c r="AH44" s="138"/>
      <c r="AI44" s="138"/>
      <c r="AJ44" s="138"/>
      <c r="AK44" s="138"/>
      <c r="AL44" s="138"/>
      <c r="AM44" s="138"/>
      <c r="AN44" s="138"/>
      <c r="AO44" s="138"/>
      <c r="AP44" s="138"/>
      <c r="AQ44" s="138"/>
      <c r="AR44" s="138"/>
      <c r="AS44" s="138"/>
      <c r="AT44" s="138"/>
      <c r="AU44" s="138"/>
      <c r="AV44" s="138"/>
      <c r="AW44" s="138" t="str">
        <f>"" &amp; TEXT(AE44,"#0.00%") &amp; " "</f>
        <v xml:space="preserve">0.00% </v>
      </c>
      <c r="AX44" s="138"/>
      <c r="AY44" s="138"/>
      <c r="AZ44" s="138"/>
      <c r="BA44" s="138"/>
      <c r="BB44" s="138"/>
      <c r="BC44" s="138"/>
      <c r="BD44" s="138"/>
      <c r="BE44" s="138"/>
      <c r="BF44" s="138"/>
      <c r="BG44" s="138"/>
      <c r="BH44" s="138"/>
      <c r="BI44" s="138"/>
      <c r="BJ44" s="138"/>
      <c r="BK44" s="138"/>
      <c r="BL44" s="138"/>
      <c r="BM44" s="138"/>
      <c r="BN44" s="138"/>
      <c r="BO44" s="138"/>
      <c r="BP44" s="138"/>
      <c r="BQ44" s="138"/>
      <c r="BR44" s="138"/>
      <c r="BS44" s="138"/>
      <c r="BT44" s="138"/>
      <c r="BU44" s="138"/>
      <c r="BV44" s="138" t="str">
        <f>"     " &amp; "하역운영 시스템" &amp; " " &amp; IF(P44="","",TEXT(P44,"M/D-")) &amp; IF(Q44="","",TEXT(Q44,"M/D")) &amp; " "</f>
        <v xml:space="preserve">     하역운영 시스템 5/3-10/29 </v>
      </c>
      <c r="BW44" s="138"/>
      <c r="BX44" s="138"/>
      <c r="BY44" s="138"/>
      <c r="BZ44" s="138"/>
      <c r="CA44" s="138"/>
      <c r="CB44" s="138"/>
      <c r="CC44" s="138"/>
      <c r="CD44" s="138"/>
      <c r="CE44" s="138"/>
      <c r="CF44" s="138"/>
      <c r="CG44" s="138"/>
      <c r="CH44" s="138"/>
      <c r="CI44" s="138"/>
      <c r="CJ44" s="138"/>
      <c r="CK44" s="138"/>
      <c r="CL44" s="138"/>
      <c r="CM44" s="138"/>
      <c r="CN44" s="138"/>
      <c r="CO44" s="138"/>
      <c r="CP44" s="138"/>
      <c r="CQ44" s="138"/>
      <c r="CR44" s="138"/>
      <c r="CS44" s="138"/>
    </row>
    <row r="45" spans="1:97" ht="18" customHeight="1" outlineLevel="4">
      <c r="A45" s="195"/>
      <c r="B45" s="195"/>
      <c r="C45" s="195">
        <v>5</v>
      </c>
      <c r="D45" s="196" t="s">
        <v>1536</v>
      </c>
      <c r="E45" s="197"/>
      <c r="F45" s="197"/>
      <c r="G45" s="197"/>
      <c r="H45" s="197"/>
      <c r="I45" s="197" t="s">
        <v>1674</v>
      </c>
      <c r="J45" s="197"/>
      <c r="K45" s="197"/>
      <c r="L45" s="197"/>
      <c r="M45" s="197"/>
      <c r="N45" s="197"/>
      <c r="O45" s="197"/>
      <c r="P45" s="198">
        <v>44319</v>
      </c>
      <c r="Q45" s="198">
        <v>44498</v>
      </c>
      <c r="R45" s="199"/>
      <c r="S45" s="200">
        <v>125</v>
      </c>
      <c r="T45" s="200">
        <v>0</v>
      </c>
      <c r="U45" s="200">
        <v>125</v>
      </c>
      <c r="V45" s="200">
        <v>0</v>
      </c>
      <c r="W45" s="198"/>
      <c r="X45" s="198"/>
      <c r="Y45" s="201">
        <v>0</v>
      </c>
      <c r="Z45" s="202">
        <v>0</v>
      </c>
      <c r="AA45" s="200">
        <v>1</v>
      </c>
      <c r="AB45" s="199"/>
      <c r="AC45" s="165"/>
      <c r="AD45" s="203">
        <v>0</v>
      </c>
      <c r="AE45" s="205">
        <v>0</v>
      </c>
      <c r="AF45" s="137"/>
      <c r="AG45" s="138"/>
      <c r="AH45" s="138"/>
      <c r="AI45" s="138"/>
      <c r="AJ45" s="138"/>
      <c r="AK45" s="138"/>
      <c r="AL45" s="138"/>
      <c r="AM45" s="138"/>
      <c r="AN45" s="138"/>
      <c r="AO45" s="138"/>
      <c r="AP45" s="138"/>
      <c r="AQ45" s="138"/>
      <c r="AR45" s="138"/>
      <c r="AS45" s="138"/>
      <c r="AT45" s="138"/>
      <c r="AU45" s="138"/>
      <c r="AV45" s="138"/>
      <c r="AW45" s="138" t="str">
        <f>"" &amp; TEXT(AE45,"#0.00%") &amp; " "</f>
        <v xml:space="preserve">0.00% </v>
      </c>
      <c r="AX45" s="138"/>
      <c r="AY45" s="138"/>
      <c r="AZ45" s="138"/>
      <c r="BA45" s="138"/>
      <c r="BB45" s="138"/>
      <c r="BC45" s="138"/>
      <c r="BD45" s="138"/>
      <c r="BE45" s="138"/>
      <c r="BF45" s="138"/>
      <c r="BG45" s="138"/>
      <c r="BH45" s="138"/>
      <c r="BI45" s="138"/>
      <c r="BJ45" s="138"/>
      <c r="BK45" s="138"/>
      <c r="BL45" s="138"/>
      <c r="BM45" s="138"/>
      <c r="BN45" s="138"/>
      <c r="BO45" s="138"/>
      <c r="BP45" s="138"/>
      <c r="BQ45" s="138"/>
      <c r="BR45" s="138"/>
      <c r="BS45" s="138"/>
      <c r="BT45" s="138"/>
      <c r="BU45" s="138"/>
      <c r="BV45" s="138" t="str">
        <f>"     " &amp; "물류운영 시스템" &amp; " " &amp; IF(P45="","",TEXT(P45,"M/D-")) &amp; IF(Q45="","",TEXT(Q45,"M/D")) &amp; " "</f>
        <v xml:space="preserve">     물류운영 시스템 5/3-10/29 </v>
      </c>
      <c r="BW45" s="138"/>
      <c r="BX45" s="138"/>
      <c r="BY45" s="138"/>
      <c r="BZ45" s="138"/>
      <c r="CA45" s="138"/>
      <c r="CB45" s="138"/>
      <c r="CC45" s="138"/>
      <c r="CD45" s="138"/>
      <c r="CE45" s="138"/>
      <c r="CF45" s="138"/>
      <c r="CG45" s="138"/>
      <c r="CH45" s="138"/>
      <c r="CI45" s="138"/>
      <c r="CJ45" s="138"/>
      <c r="CK45" s="138"/>
      <c r="CL45" s="138"/>
      <c r="CM45" s="138"/>
      <c r="CN45" s="138"/>
      <c r="CO45" s="138"/>
      <c r="CP45" s="138"/>
      <c r="CQ45" s="138"/>
      <c r="CR45" s="138"/>
      <c r="CS45" s="138"/>
    </row>
    <row r="46" spans="1:97" ht="18" customHeight="1" outlineLevel="4">
      <c r="A46" s="195"/>
      <c r="B46" s="195"/>
      <c r="C46" s="195">
        <v>5</v>
      </c>
      <c r="D46" s="196" t="s">
        <v>1678</v>
      </c>
      <c r="E46" s="197"/>
      <c r="F46" s="197"/>
      <c r="G46" s="197"/>
      <c r="H46" s="197"/>
      <c r="I46" s="197" t="s">
        <v>1675</v>
      </c>
      <c r="J46" s="197"/>
      <c r="K46" s="197"/>
      <c r="L46" s="197"/>
      <c r="M46" s="197"/>
      <c r="N46" s="197"/>
      <c r="O46" s="197"/>
      <c r="P46" s="198">
        <v>44378</v>
      </c>
      <c r="Q46" s="198">
        <v>44498</v>
      </c>
      <c r="R46" s="199"/>
      <c r="S46" s="200">
        <v>84</v>
      </c>
      <c r="T46" s="200">
        <v>0</v>
      </c>
      <c r="U46" s="200">
        <v>84</v>
      </c>
      <c r="V46" s="200">
        <v>0</v>
      </c>
      <c r="W46" s="198"/>
      <c r="X46" s="198"/>
      <c r="Y46" s="201">
        <v>0</v>
      </c>
      <c r="Z46" s="202">
        <v>0</v>
      </c>
      <c r="AA46" s="200">
        <v>1</v>
      </c>
      <c r="AB46" s="199"/>
      <c r="AC46" s="165"/>
      <c r="AD46" s="203">
        <v>0</v>
      </c>
      <c r="AE46" s="205">
        <v>0</v>
      </c>
      <c r="AF46" s="137"/>
      <c r="AG46" s="138"/>
      <c r="AH46" s="138"/>
      <c r="AI46" s="138"/>
      <c r="AJ46" s="138"/>
      <c r="AK46" s="138"/>
      <c r="AL46" s="138"/>
      <c r="AM46" s="138"/>
      <c r="AN46" s="138"/>
      <c r="AO46" s="138"/>
      <c r="AP46" s="138"/>
      <c r="AQ46" s="138"/>
      <c r="AR46" s="138"/>
      <c r="AS46" s="138"/>
      <c r="AT46" s="138"/>
      <c r="AU46" s="138"/>
      <c r="AV46" s="138"/>
      <c r="AW46" s="138"/>
      <c r="AX46" s="138"/>
      <c r="AY46" s="138"/>
      <c r="AZ46" s="138"/>
      <c r="BA46" s="138"/>
      <c r="BB46" s="138"/>
      <c r="BC46" s="138"/>
      <c r="BD46" s="138"/>
      <c r="BE46" s="138" t="str">
        <f>"   " &amp; TEXT(AE46,"#0.00%") &amp; " "</f>
        <v xml:space="preserve">   0.00% </v>
      </c>
      <c r="BF46" s="138"/>
      <c r="BG46" s="138"/>
      <c r="BH46" s="138"/>
      <c r="BI46" s="138"/>
      <c r="BJ46" s="138"/>
      <c r="BK46" s="138"/>
      <c r="BL46" s="138"/>
      <c r="BM46" s="138"/>
      <c r="BN46" s="138"/>
      <c r="BO46" s="138"/>
      <c r="BP46" s="138"/>
      <c r="BQ46" s="138"/>
      <c r="BR46" s="138"/>
      <c r="BS46" s="138"/>
      <c r="BT46" s="138"/>
      <c r="BU46" s="138"/>
      <c r="BV46" s="138" t="str">
        <f>"     " &amp; "운송시스템" &amp; " " &amp; IF(P46="","",TEXT(P46,"M/D-")) &amp; IF(Q46="","",TEXT(Q46,"M/D")) &amp; " "</f>
        <v xml:space="preserve">     운송시스템 7/1-10/29 </v>
      </c>
      <c r="BW46" s="138"/>
      <c r="BX46" s="138"/>
      <c r="BY46" s="138"/>
      <c r="BZ46" s="138"/>
      <c r="CA46" s="138"/>
      <c r="CB46" s="138"/>
      <c r="CC46" s="138"/>
      <c r="CD46" s="138"/>
      <c r="CE46" s="138"/>
      <c r="CF46" s="138"/>
      <c r="CG46" s="138"/>
      <c r="CH46" s="138"/>
      <c r="CI46" s="138"/>
      <c r="CJ46" s="138"/>
      <c r="CK46" s="138"/>
      <c r="CL46" s="138"/>
      <c r="CM46" s="138"/>
      <c r="CN46" s="138"/>
      <c r="CO46" s="138"/>
      <c r="CP46" s="138"/>
      <c r="CQ46" s="138"/>
      <c r="CR46" s="138"/>
      <c r="CS46" s="138"/>
    </row>
    <row r="47" spans="1:97" ht="18" customHeight="1" outlineLevel="4">
      <c r="A47" s="195"/>
      <c r="B47" s="195"/>
      <c r="C47" s="195">
        <v>5</v>
      </c>
      <c r="D47" s="196" t="s">
        <v>1679</v>
      </c>
      <c r="E47" s="197"/>
      <c r="F47" s="197"/>
      <c r="G47" s="197"/>
      <c r="H47" s="197"/>
      <c r="I47" s="197" t="s">
        <v>1677</v>
      </c>
      <c r="J47" s="197"/>
      <c r="K47" s="197"/>
      <c r="L47" s="197"/>
      <c r="M47" s="197"/>
      <c r="N47" s="197"/>
      <c r="O47" s="197"/>
      <c r="P47" s="198">
        <v>44424</v>
      </c>
      <c r="Q47" s="198">
        <v>44498</v>
      </c>
      <c r="R47" s="199"/>
      <c r="S47" s="200">
        <v>52</v>
      </c>
      <c r="T47" s="200">
        <v>0</v>
      </c>
      <c r="U47" s="200">
        <v>52</v>
      </c>
      <c r="V47" s="200">
        <v>0</v>
      </c>
      <c r="W47" s="198"/>
      <c r="X47" s="198"/>
      <c r="Y47" s="201">
        <v>0</v>
      </c>
      <c r="Z47" s="202">
        <v>0</v>
      </c>
      <c r="AA47" s="200">
        <v>1</v>
      </c>
      <c r="AB47" s="199"/>
      <c r="AC47" s="165"/>
      <c r="AD47" s="203">
        <v>0</v>
      </c>
      <c r="AE47" s="205">
        <v>0</v>
      </c>
      <c r="AF47" s="137"/>
      <c r="AG47" s="138"/>
      <c r="AH47" s="138"/>
      <c r="AI47" s="138"/>
      <c r="AJ47" s="138"/>
      <c r="AK47" s="138"/>
      <c r="AL47" s="138"/>
      <c r="AM47" s="138"/>
      <c r="AN47" s="138"/>
      <c r="AO47" s="138"/>
      <c r="AP47" s="138"/>
      <c r="AQ47" s="138"/>
      <c r="AR47" s="138"/>
      <c r="AS47" s="138"/>
      <c r="AT47" s="138"/>
      <c r="AU47" s="138"/>
      <c r="AV47" s="138"/>
      <c r="AW47" s="138"/>
      <c r="AX47" s="138"/>
      <c r="AY47" s="138"/>
      <c r="AZ47" s="138"/>
      <c r="BA47" s="138"/>
      <c r="BB47" s="138"/>
      <c r="BC47" s="138"/>
      <c r="BD47" s="138"/>
      <c r="BE47" s="138"/>
      <c r="BF47" s="138"/>
      <c r="BG47" s="138"/>
      <c r="BH47" s="138"/>
      <c r="BI47" s="138"/>
      <c r="BJ47" s="138"/>
      <c r="BK47" s="138"/>
      <c r="BL47" s="138" t="str">
        <f>"" &amp; TEXT(AE47,"#0.00%") &amp; " "</f>
        <v xml:space="preserve">0.00% </v>
      </c>
      <c r="BM47" s="138"/>
      <c r="BN47" s="138"/>
      <c r="BO47" s="138"/>
      <c r="BP47" s="138"/>
      <c r="BQ47" s="138"/>
      <c r="BR47" s="138"/>
      <c r="BS47" s="138"/>
      <c r="BT47" s="138"/>
      <c r="BU47" s="138"/>
      <c r="BV47" s="138" t="str">
        <f>"     " &amp; "통합 정산관리 시스템" &amp; " " &amp; IF(P47="","",TEXT(P47,"M/D-")) &amp; IF(Q47="","",TEXT(Q47,"M/D")) &amp; " "</f>
        <v xml:space="preserve">     통합 정산관리 시스템 8/16-10/29 </v>
      </c>
      <c r="BW47" s="138"/>
      <c r="BX47" s="138"/>
      <c r="BY47" s="138"/>
      <c r="BZ47" s="138"/>
      <c r="CA47" s="138"/>
      <c r="CB47" s="138"/>
      <c r="CC47" s="138"/>
      <c r="CD47" s="138"/>
      <c r="CE47" s="138"/>
      <c r="CF47" s="138"/>
      <c r="CG47" s="138"/>
      <c r="CH47" s="138"/>
      <c r="CI47" s="138"/>
      <c r="CJ47" s="138"/>
      <c r="CK47" s="138"/>
      <c r="CL47" s="138"/>
      <c r="CM47" s="138"/>
      <c r="CN47" s="138"/>
      <c r="CO47" s="138"/>
      <c r="CP47" s="138"/>
      <c r="CQ47" s="138"/>
      <c r="CR47" s="138"/>
      <c r="CS47" s="138"/>
    </row>
    <row r="48" spans="1:97" ht="18" customHeight="1" outlineLevel="4">
      <c r="A48" s="195"/>
      <c r="B48" s="195"/>
      <c r="C48" s="195">
        <v>5</v>
      </c>
      <c r="D48" s="196" t="s">
        <v>1680</v>
      </c>
      <c r="E48" s="197"/>
      <c r="F48" s="197"/>
      <c r="G48" s="197"/>
      <c r="H48" s="197"/>
      <c r="I48" s="197" t="s">
        <v>1672</v>
      </c>
      <c r="J48" s="197"/>
      <c r="K48" s="197"/>
      <c r="L48" s="197"/>
      <c r="M48" s="197"/>
      <c r="N48" s="197"/>
      <c r="O48" s="197"/>
      <c r="P48" s="198">
        <v>44410</v>
      </c>
      <c r="Q48" s="198">
        <v>44498</v>
      </c>
      <c r="R48" s="199"/>
      <c r="S48" s="200">
        <v>62</v>
      </c>
      <c r="T48" s="200">
        <v>0</v>
      </c>
      <c r="U48" s="200">
        <v>62</v>
      </c>
      <c r="V48" s="200">
        <v>0</v>
      </c>
      <c r="W48" s="198"/>
      <c r="X48" s="198"/>
      <c r="Y48" s="201">
        <v>0</v>
      </c>
      <c r="Z48" s="202">
        <v>0</v>
      </c>
      <c r="AA48" s="200">
        <v>1</v>
      </c>
      <c r="AB48" s="199"/>
      <c r="AC48" s="165"/>
      <c r="AD48" s="203">
        <v>0</v>
      </c>
      <c r="AE48" s="205">
        <v>0</v>
      </c>
      <c r="AF48" s="137"/>
      <c r="AG48" s="138"/>
      <c r="AH48" s="138"/>
      <c r="AI48" s="138"/>
      <c r="AJ48" s="138"/>
      <c r="AK48" s="138"/>
      <c r="AL48" s="138"/>
      <c r="AM48" s="138"/>
      <c r="AN48" s="138"/>
      <c r="AO48" s="138"/>
      <c r="AP48" s="138"/>
      <c r="AQ48" s="138"/>
      <c r="AR48" s="138"/>
      <c r="AS48" s="138"/>
      <c r="AT48" s="138"/>
      <c r="AU48" s="138"/>
      <c r="AV48" s="138"/>
      <c r="AW48" s="138"/>
      <c r="AX48" s="138"/>
      <c r="AY48" s="138"/>
      <c r="AZ48" s="138"/>
      <c r="BA48" s="138"/>
      <c r="BB48" s="138"/>
      <c r="BC48" s="138"/>
      <c r="BD48" s="138"/>
      <c r="BE48" s="138"/>
      <c r="BF48" s="138"/>
      <c r="BG48" s="138"/>
      <c r="BH48" s="138"/>
      <c r="BI48" s="138"/>
      <c r="BJ48" s="138" t="str">
        <f>"" &amp; TEXT(AE48,"#0.00%") &amp; " "</f>
        <v xml:space="preserve">0.00% </v>
      </c>
      <c r="BK48" s="138"/>
      <c r="BL48" s="138"/>
      <c r="BM48" s="138"/>
      <c r="BN48" s="138"/>
      <c r="BO48" s="138"/>
      <c r="BP48" s="138"/>
      <c r="BQ48" s="138"/>
      <c r="BR48" s="138"/>
      <c r="BS48" s="138"/>
      <c r="BT48" s="138"/>
      <c r="BU48" s="138"/>
      <c r="BV48" s="138" t="str">
        <f>"     " &amp; "포털시스템" &amp; " " &amp; IF(P48="","",TEXT(P48,"M/D-")) &amp; IF(Q48="","",TEXT(Q48,"M/D")) &amp; " "</f>
        <v xml:space="preserve">     포털시스템 8/2-10/29 </v>
      </c>
      <c r="BW48" s="138"/>
      <c r="BX48" s="138"/>
      <c r="BY48" s="138"/>
      <c r="BZ48" s="138"/>
      <c r="CA48" s="138"/>
      <c r="CB48" s="138"/>
      <c r="CC48" s="138"/>
      <c r="CD48" s="138"/>
      <c r="CE48" s="138"/>
      <c r="CF48" s="138"/>
      <c r="CG48" s="138"/>
      <c r="CH48" s="138"/>
      <c r="CI48" s="138"/>
      <c r="CJ48" s="138"/>
      <c r="CK48" s="138"/>
      <c r="CL48" s="138"/>
      <c r="CM48" s="138"/>
      <c r="CN48" s="138"/>
      <c r="CO48" s="138"/>
      <c r="CP48" s="138"/>
      <c r="CQ48" s="138"/>
      <c r="CR48" s="138"/>
      <c r="CS48" s="138"/>
    </row>
    <row r="49" spans="1:97" ht="18" customHeight="1" outlineLevel="2">
      <c r="A49" s="195"/>
      <c r="B49" s="195" t="s">
        <v>1426</v>
      </c>
      <c r="C49" s="195">
        <v>3</v>
      </c>
      <c r="D49" s="196" t="s">
        <v>1298</v>
      </c>
      <c r="E49" s="197"/>
      <c r="F49" s="197"/>
      <c r="G49" s="197" t="s">
        <v>1299</v>
      </c>
      <c r="H49" s="197"/>
      <c r="I49" s="197"/>
      <c r="J49" s="197"/>
      <c r="K49" s="197"/>
      <c r="L49" s="197"/>
      <c r="M49" s="197"/>
      <c r="N49" s="197"/>
      <c r="O49" s="197"/>
      <c r="P49" s="198">
        <v>44480</v>
      </c>
      <c r="Q49" s="198">
        <v>44554</v>
      </c>
      <c r="R49" s="199"/>
      <c r="S49" s="200">
        <v>55</v>
      </c>
      <c r="T49" s="200">
        <v>0</v>
      </c>
      <c r="U49" s="200">
        <v>55</v>
      </c>
      <c r="V49" s="200">
        <v>0</v>
      </c>
      <c r="W49" s="198"/>
      <c r="X49" s="198"/>
      <c r="Y49" s="201">
        <v>0</v>
      </c>
      <c r="Z49" s="202">
        <v>0</v>
      </c>
      <c r="AA49" s="200"/>
      <c r="AB49" s="199"/>
      <c r="AC49" s="165"/>
      <c r="AD49" s="203">
        <v>0</v>
      </c>
      <c r="AE49" s="204">
        <v>0</v>
      </c>
      <c r="AF49" s="137"/>
      <c r="AG49" s="138"/>
      <c r="AH49" s="138"/>
      <c r="AI49" s="138"/>
      <c r="AJ49" s="138"/>
      <c r="AK49" s="138"/>
      <c r="AL49" s="138"/>
      <c r="AM49" s="138"/>
      <c r="AN49" s="138"/>
      <c r="AO49" s="138"/>
      <c r="AP49" s="138"/>
      <c r="AQ49" s="138"/>
      <c r="AR49" s="138"/>
      <c r="AS49" s="138"/>
      <c r="AT49" s="138"/>
      <c r="AU49" s="138"/>
      <c r="AV49" s="138"/>
      <c r="AW49" s="138"/>
      <c r="AX49" s="138"/>
      <c r="AY49" s="138"/>
      <c r="AZ49" s="138"/>
      <c r="BA49" s="138"/>
      <c r="BB49" s="138"/>
      <c r="BC49" s="138"/>
      <c r="BD49" s="138"/>
      <c r="BE49" s="138"/>
      <c r="BF49" s="138"/>
      <c r="BG49" s="138"/>
      <c r="BH49" s="138"/>
      <c r="BI49" s="138"/>
      <c r="BJ49" s="138"/>
      <c r="BK49" s="138"/>
      <c r="BL49" s="138"/>
      <c r="BM49" s="138"/>
      <c r="BN49" s="138"/>
      <c r="BO49" s="138"/>
      <c r="BP49" s="138"/>
      <c r="BQ49" s="138"/>
      <c r="BR49" s="138"/>
      <c r="BS49" s="138"/>
      <c r="BT49" s="138" t="str">
        <f>"" &amp; TEXT(AE49,"#0.00%") &amp; " "</f>
        <v xml:space="preserve">0.00% </v>
      </c>
      <c r="BU49" s="138"/>
      <c r="BV49" s="138"/>
      <c r="BW49" s="138"/>
      <c r="BX49" s="138"/>
      <c r="BY49" s="138"/>
      <c r="BZ49" s="138"/>
      <c r="CA49" s="138"/>
      <c r="CB49" s="138"/>
      <c r="CC49" s="138"/>
      <c r="CD49" s="138" t="str">
        <f>"     " &amp; "테스트실시" &amp; " " &amp; IF(P49="","",TEXT(P49,"M/D-")) &amp; IF(Q49="","",TEXT(Q49,"M/D")) &amp; " "</f>
        <v xml:space="preserve">     테스트실시 10/11-12/24 </v>
      </c>
      <c r="CE49" s="138"/>
      <c r="CF49" s="138"/>
      <c r="CG49" s="138"/>
      <c r="CH49" s="138"/>
      <c r="CI49" s="138"/>
      <c r="CJ49" s="138"/>
      <c r="CK49" s="138"/>
      <c r="CL49" s="138"/>
      <c r="CM49" s="138"/>
      <c r="CN49" s="138"/>
      <c r="CO49" s="138"/>
      <c r="CP49" s="138"/>
      <c r="CQ49" s="138"/>
      <c r="CR49" s="138"/>
      <c r="CS49" s="138"/>
    </row>
    <row r="50" spans="1:97" ht="18" customHeight="1" outlineLevel="3">
      <c r="A50" s="195"/>
      <c r="B50" s="195"/>
      <c r="C50" s="195">
        <v>4</v>
      </c>
      <c r="D50" s="196" t="s">
        <v>1300</v>
      </c>
      <c r="E50" s="197"/>
      <c r="F50" s="197"/>
      <c r="G50" s="197"/>
      <c r="H50" s="197" t="s">
        <v>1301</v>
      </c>
      <c r="I50" s="197"/>
      <c r="J50" s="197"/>
      <c r="K50" s="197"/>
      <c r="L50" s="197"/>
      <c r="M50" s="197"/>
      <c r="N50" s="197"/>
      <c r="O50" s="197"/>
      <c r="P50" s="198">
        <v>44501</v>
      </c>
      <c r="Q50" s="198">
        <v>44554</v>
      </c>
      <c r="R50" s="199"/>
      <c r="S50" s="200">
        <v>40</v>
      </c>
      <c r="T50" s="200">
        <v>0</v>
      </c>
      <c r="U50" s="200">
        <v>40</v>
      </c>
      <c r="V50" s="200">
        <v>0</v>
      </c>
      <c r="W50" s="198"/>
      <c r="X50" s="198"/>
      <c r="Y50" s="201">
        <v>0</v>
      </c>
      <c r="Z50" s="202">
        <v>0</v>
      </c>
      <c r="AA50" s="200">
        <v>1</v>
      </c>
      <c r="AB50" s="199"/>
      <c r="AC50" s="165"/>
      <c r="AD50" s="203">
        <v>0</v>
      </c>
      <c r="AE50" s="205">
        <v>0</v>
      </c>
      <c r="AF50" s="137"/>
      <c r="AG50" s="138"/>
      <c r="AH50" s="138"/>
      <c r="AI50" s="138"/>
      <c r="AJ50" s="138"/>
      <c r="AK50" s="138"/>
      <c r="AL50" s="138"/>
      <c r="AM50" s="138"/>
      <c r="AN50" s="138"/>
      <c r="AO50" s="138"/>
      <c r="AP50" s="138"/>
      <c r="AQ50" s="138"/>
      <c r="AR50" s="138"/>
      <c r="AS50" s="138"/>
      <c r="AT50" s="138"/>
      <c r="AU50" s="138"/>
      <c r="AV50" s="138"/>
      <c r="AW50" s="138"/>
      <c r="AX50" s="138"/>
      <c r="AY50" s="138"/>
      <c r="AZ50" s="138"/>
      <c r="BA50" s="138"/>
      <c r="BB50" s="138"/>
      <c r="BC50" s="138"/>
      <c r="BD50" s="138"/>
      <c r="BE50" s="138"/>
      <c r="BF50" s="138"/>
      <c r="BG50" s="138"/>
      <c r="BH50" s="138"/>
      <c r="BI50" s="138"/>
      <c r="BJ50" s="138"/>
      <c r="BK50" s="138"/>
      <c r="BL50" s="138"/>
      <c r="BM50" s="138"/>
      <c r="BN50" s="138"/>
      <c r="BO50" s="138"/>
      <c r="BP50" s="138"/>
      <c r="BQ50" s="138"/>
      <c r="BR50" s="138"/>
      <c r="BS50" s="138"/>
      <c r="BT50" s="138"/>
      <c r="BU50" s="138"/>
      <c r="BV50" s="138"/>
      <c r="BW50" s="138" t="str">
        <f>"" &amp; TEXT(AE50,"#0.00%") &amp; " "</f>
        <v xml:space="preserve">0.00% </v>
      </c>
      <c r="BX50" s="138"/>
      <c r="BY50" s="138"/>
      <c r="BZ50" s="138"/>
      <c r="CA50" s="138"/>
      <c r="CB50" s="138"/>
      <c r="CC50" s="138"/>
      <c r="CD50" s="138" t="str">
        <f>"     " &amp; "통합테스트실시" &amp; " " &amp; IF(P50="","",TEXT(P50,"M/D-")) &amp; IF(Q50="","",TEXT(Q50,"M/D")) &amp; " "</f>
        <v xml:space="preserve">     통합테스트실시 11/1-12/24 </v>
      </c>
      <c r="CE50" s="138"/>
      <c r="CF50" s="138"/>
      <c r="CG50" s="138"/>
      <c r="CH50" s="138"/>
      <c r="CI50" s="138"/>
      <c r="CJ50" s="138"/>
      <c r="CK50" s="138"/>
      <c r="CL50" s="138"/>
      <c r="CM50" s="138"/>
      <c r="CN50" s="138"/>
      <c r="CO50" s="138"/>
      <c r="CP50" s="138"/>
      <c r="CQ50" s="138"/>
      <c r="CR50" s="138"/>
      <c r="CS50" s="138"/>
    </row>
    <row r="51" spans="1:97" ht="18" customHeight="1" outlineLevel="3">
      <c r="A51" s="195"/>
      <c r="B51" s="195"/>
      <c r="C51" s="195">
        <v>4</v>
      </c>
      <c r="D51" s="196" t="s">
        <v>1302</v>
      </c>
      <c r="E51" s="197"/>
      <c r="F51" s="197"/>
      <c r="G51" s="197"/>
      <c r="H51" s="197" t="s">
        <v>1303</v>
      </c>
      <c r="I51" s="197"/>
      <c r="J51" s="197"/>
      <c r="K51" s="197"/>
      <c r="L51" s="197"/>
      <c r="M51" s="197"/>
      <c r="N51" s="197"/>
      <c r="O51" s="197"/>
      <c r="P51" s="198">
        <v>44480</v>
      </c>
      <c r="Q51" s="198">
        <v>44498</v>
      </c>
      <c r="R51" s="199"/>
      <c r="S51" s="200">
        <v>15</v>
      </c>
      <c r="T51" s="200">
        <v>0</v>
      </c>
      <c r="U51" s="200">
        <v>15</v>
      </c>
      <c r="V51" s="200">
        <v>0</v>
      </c>
      <c r="W51" s="198"/>
      <c r="X51" s="198"/>
      <c r="Y51" s="201">
        <v>0</v>
      </c>
      <c r="Z51" s="202">
        <v>0</v>
      </c>
      <c r="AA51" s="200">
        <v>1</v>
      </c>
      <c r="AB51" s="199"/>
      <c r="AC51" s="165"/>
      <c r="AD51" s="203">
        <v>0</v>
      </c>
      <c r="AE51" s="205">
        <v>0</v>
      </c>
      <c r="AF51" s="137"/>
      <c r="AG51" s="138"/>
      <c r="AH51" s="138"/>
      <c r="AI51" s="138"/>
      <c r="AJ51" s="138"/>
      <c r="AK51" s="138"/>
      <c r="AL51" s="138"/>
      <c r="AM51" s="138"/>
      <c r="AN51" s="138"/>
      <c r="AO51" s="138"/>
      <c r="AP51" s="138"/>
      <c r="AQ51" s="138"/>
      <c r="AR51" s="138"/>
      <c r="AS51" s="138"/>
      <c r="AT51" s="138"/>
      <c r="AU51" s="138"/>
      <c r="AV51" s="138"/>
      <c r="AW51" s="138"/>
      <c r="AX51" s="138"/>
      <c r="AY51" s="138"/>
      <c r="AZ51" s="138"/>
      <c r="BA51" s="138"/>
      <c r="BB51" s="138"/>
      <c r="BC51" s="138"/>
      <c r="BD51" s="138"/>
      <c r="BE51" s="138"/>
      <c r="BF51" s="138"/>
      <c r="BG51" s="138"/>
      <c r="BH51" s="138"/>
      <c r="BI51" s="138"/>
      <c r="BJ51" s="138"/>
      <c r="BK51" s="138"/>
      <c r="BL51" s="138"/>
      <c r="BM51" s="138"/>
      <c r="BN51" s="138"/>
      <c r="BO51" s="138"/>
      <c r="BP51" s="138"/>
      <c r="BQ51" s="138"/>
      <c r="BR51" s="138"/>
      <c r="BS51" s="138"/>
      <c r="BT51" s="138" t="str">
        <f>"" &amp; TEXT(AE51,"#0.00%") &amp; " " &amp; "시스템테스트실시" &amp; " " &amp; IF(P51="","",TEXT(P51,"M/D-")) &amp; IF(Q51="","",TEXT(Q51,"M/D")) &amp; " "</f>
        <v xml:space="preserve">0.00% 시스템테스트실시 10/11-10/29 </v>
      </c>
      <c r="BU51" s="138"/>
      <c r="BV51" s="138"/>
      <c r="BW51" s="138"/>
      <c r="BX51" s="138"/>
      <c r="BY51" s="138"/>
      <c r="BZ51" s="138"/>
      <c r="CA51" s="138"/>
      <c r="CB51" s="138"/>
      <c r="CC51" s="138"/>
      <c r="CD51" s="138"/>
      <c r="CE51" s="138"/>
      <c r="CF51" s="138"/>
      <c r="CG51" s="138"/>
      <c r="CH51" s="138"/>
      <c r="CI51" s="138"/>
      <c r="CJ51" s="138"/>
      <c r="CK51" s="138"/>
      <c r="CL51" s="138"/>
      <c r="CM51" s="138"/>
      <c r="CN51" s="138"/>
      <c r="CO51" s="138"/>
      <c r="CP51" s="138"/>
      <c r="CQ51" s="138"/>
      <c r="CR51" s="138"/>
      <c r="CS51" s="138"/>
    </row>
    <row r="52" spans="1:97" ht="18" customHeight="1" outlineLevel="1">
      <c r="A52" s="195"/>
      <c r="B52" s="195" t="s">
        <v>1426</v>
      </c>
      <c r="C52" s="195">
        <v>2</v>
      </c>
      <c r="D52" s="196" t="s">
        <v>1326</v>
      </c>
      <c r="E52" s="197"/>
      <c r="F52" s="197" t="s">
        <v>1304</v>
      </c>
      <c r="G52" s="197"/>
      <c r="H52" s="197"/>
      <c r="I52" s="197"/>
      <c r="J52" s="197"/>
      <c r="K52" s="197"/>
      <c r="L52" s="197"/>
      <c r="M52" s="197"/>
      <c r="N52" s="197"/>
      <c r="O52" s="197"/>
      <c r="P52" s="198">
        <v>44531</v>
      </c>
      <c r="Q52" s="198">
        <v>44651</v>
      </c>
      <c r="R52" s="199"/>
      <c r="S52" s="200">
        <v>88</v>
      </c>
      <c r="T52" s="200">
        <v>0</v>
      </c>
      <c r="U52" s="200">
        <v>83</v>
      </c>
      <c r="V52" s="200">
        <v>0</v>
      </c>
      <c r="W52" s="198"/>
      <c r="X52" s="198"/>
      <c r="Y52" s="201">
        <v>0</v>
      </c>
      <c r="Z52" s="202">
        <v>0</v>
      </c>
      <c r="AA52" s="200"/>
      <c r="AB52" s="199"/>
      <c r="AC52" s="165"/>
      <c r="AD52" s="203">
        <v>0</v>
      </c>
      <c r="AE52" s="204">
        <v>0</v>
      </c>
      <c r="AF52" s="137"/>
      <c r="AG52" s="138"/>
      <c r="AH52" s="138"/>
      <c r="AI52" s="138"/>
      <c r="AJ52" s="138"/>
      <c r="AK52" s="138"/>
      <c r="AL52" s="138"/>
      <c r="AM52" s="138"/>
      <c r="AN52" s="138"/>
      <c r="AO52" s="138"/>
      <c r="AP52" s="138"/>
      <c r="AQ52" s="138"/>
      <c r="AR52" s="138"/>
      <c r="AS52" s="138"/>
      <c r="AT52" s="138"/>
      <c r="AU52" s="138"/>
      <c r="AV52" s="138"/>
      <c r="AW52" s="138"/>
      <c r="AX52" s="138"/>
      <c r="AY52" s="138"/>
      <c r="AZ52" s="138"/>
      <c r="BA52" s="138"/>
      <c r="BB52" s="138"/>
      <c r="BC52" s="138"/>
      <c r="BD52" s="138"/>
      <c r="BE52" s="138"/>
      <c r="BF52" s="138"/>
      <c r="BG52" s="138"/>
      <c r="BH52" s="138"/>
      <c r="BI52" s="138"/>
      <c r="BJ52" s="138"/>
      <c r="BK52" s="138"/>
      <c r="BL52" s="138"/>
      <c r="BM52" s="138"/>
      <c r="BN52" s="138"/>
      <c r="BO52" s="138"/>
      <c r="BP52" s="138"/>
      <c r="BQ52" s="138"/>
      <c r="BR52" s="138"/>
      <c r="BS52" s="138"/>
      <c r="BT52" s="138"/>
      <c r="BU52" s="138"/>
      <c r="BV52" s="138"/>
      <c r="BW52" s="138"/>
      <c r="BX52" s="138"/>
      <c r="BY52" s="138"/>
      <c r="BZ52" s="138"/>
      <c r="CA52" s="138" t="str">
        <f>"  " &amp; TEXT(AE52,"#0.00%") &amp; " "</f>
        <v xml:space="preserve">  0.00% </v>
      </c>
      <c r="CB52" s="138"/>
      <c r="CC52" s="138"/>
      <c r="CD52" s="138"/>
      <c r="CE52" s="138"/>
      <c r="CF52" s="138"/>
      <c r="CG52" s="138"/>
      <c r="CH52" s="138"/>
      <c r="CI52" s="138"/>
      <c r="CJ52" s="138"/>
      <c r="CK52" s="138"/>
      <c r="CL52" s="138"/>
      <c r="CM52" s="138"/>
      <c r="CN52" s="138"/>
      <c r="CO52" s="138"/>
      <c r="CP52" s="138"/>
      <c r="CQ52" s="138"/>
      <c r="CR52" s="138" t="str">
        <f>"    " &amp; "구현" &amp; " " &amp; IF(P52="","",TEXT(P52,"M/D-")) &amp; IF(Q52="","",TEXT(Q52,"M/D")) &amp; " "</f>
        <v xml:space="preserve">    구현 12/1-3/31 </v>
      </c>
      <c r="CS52" s="138"/>
    </row>
    <row r="53" spans="1:97" ht="18" customHeight="1" outlineLevel="2">
      <c r="A53" s="195"/>
      <c r="B53" s="195" t="s">
        <v>1426</v>
      </c>
      <c r="C53" s="195">
        <v>3</v>
      </c>
      <c r="D53" s="196" t="s">
        <v>1305</v>
      </c>
      <c r="E53" s="197"/>
      <c r="F53" s="197"/>
      <c r="G53" s="197" t="s">
        <v>1306</v>
      </c>
      <c r="H53" s="197"/>
      <c r="I53" s="197"/>
      <c r="J53" s="197"/>
      <c r="K53" s="197"/>
      <c r="L53" s="197"/>
      <c r="M53" s="197"/>
      <c r="N53" s="197"/>
      <c r="O53" s="197"/>
      <c r="P53" s="198">
        <v>44531</v>
      </c>
      <c r="Q53" s="198">
        <v>44554</v>
      </c>
      <c r="R53" s="199"/>
      <c r="S53" s="200">
        <v>18</v>
      </c>
      <c r="T53" s="200">
        <v>0</v>
      </c>
      <c r="U53" s="200">
        <v>18</v>
      </c>
      <c r="V53" s="200">
        <v>0</v>
      </c>
      <c r="W53" s="198"/>
      <c r="X53" s="198"/>
      <c r="Y53" s="201">
        <v>0</v>
      </c>
      <c r="Z53" s="202">
        <v>0</v>
      </c>
      <c r="AA53" s="200"/>
      <c r="AB53" s="199"/>
      <c r="AC53" s="165"/>
      <c r="AD53" s="203">
        <v>0</v>
      </c>
      <c r="AE53" s="204">
        <v>0</v>
      </c>
      <c r="AF53" s="137"/>
      <c r="AG53" s="138"/>
      <c r="AH53" s="138"/>
      <c r="AI53" s="138"/>
      <c r="AJ53" s="138"/>
      <c r="AK53" s="138"/>
      <c r="AL53" s="138"/>
      <c r="AM53" s="138"/>
      <c r="AN53" s="138"/>
      <c r="AO53" s="138"/>
      <c r="AP53" s="138"/>
      <c r="AQ53" s="138"/>
      <c r="AR53" s="138"/>
      <c r="AS53" s="138"/>
      <c r="AT53" s="138"/>
      <c r="AU53" s="138"/>
      <c r="AV53" s="138"/>
      <c r="AW53" s="138"/>
      <c r="AX53" s="138"/>
      <c r="AY53" s="138"/>
      <c r="AZ53" s="138"/>
      <c r="BA53" s="138"/>
      <c r="BB53" s="138"/>
      <c r="BC53" s="138"/>
      <c r="BD53" s="138"/>
      <c r="BE53" s="138"/>
      <c r="BF53" s="138"/>
      <c r="BG53" s="138"/>
      <c r="BH53" s="138"/>
      <c r="BI53" s="138"/>
      <c r="BJ53" s="138"/>
      <c r="BK53" s="138"/>
      <c r="BL53" s="138"/>
      <c r="BM53" s="138"/>
      <c r="BN53" s="138"/>
      <c r="BO53" s="138"/>
      <c r="BP53" s="138"/>
      <c r="BQ53" s="138"/>
      <c r="BR53" s="138"/>
      <c r="BS53" s="138"/>
      <c r="BT53" s="138"/>
      <c r="BU53" s="138"/>
      <c r="BV53" s="138"/>
      <c r="BW53" s="138"/>
      <c r="BX53" s="138"/>
      <c r="BY53" s="138"/>
      <c r="BZ53" s="138"/>
      <c r="CA53" s="138" t="str">
        <f>"  " &amp; TEXT(AE53,"#0.00%") &amp; " "</f>
        <v xml:space="preserve">  0.00% </v>
      </c>
      <c r="CB53" s="138"/>
      <c r="CC53" s="138"/>
      <c r="CD53" s="138" t="str">
        <f>"     " &amp; "구현준비" &amp; " " &amp; IF(P53="","",TEXT(P53,"M/D-")) &amp; IF(Q53="","",TEXT(Q53,"M/D")) &amp; " "</f>
        <v xml:space="preserve">     구현준비 12/1-12/24 </v>
      </c>
      <c r="CE53" s="138"/>
      <c r="CF53" s="138"/>
      <c r="CG53" s="138"/>
      <c r="CH53" s="138"/>
      <c r="CI53" s="138"/>
      <c r="CJ53" s="138"/>
      <c r="CK53" s="138"/>
      <c r="CL53" s="138"/>
      <c r="CM53" s="138"/>
      <c r="CN53" s="138"/>
      <c r="CO53" s="138"/>
      <c r="CP53" s="138"/>
      <c r="CQ53" s="138"/>
      <c r="CR53" s="138"/>
      <c r="CS53" s="138"/>
    </row>
    <row r="54" spans="1:97" ht="18" customHeight="1" outlineLevel="3">
      <c r="A54" s="195"/>
      <c r="B54" s="195"/>
      <c r="C54" s="195">
        <v>4</v>
      </c>
      <c r="D54" s="196" t="s">
        <v>1307</v>
      </c>
      <c r="E54" s="197"/>
      <c r="F54" s="197"/>
      <c r="G54" s="197"/>
      <c r="H54" s="197" t="s">
        <v>1308</v>
      </c>
      <c r="I54" s="197"/>
      <c r="J54" s="197"/>
      <c r="K54" s="197"/>
      <c r="L54" s="197"/>
      <c r="M54" s="197"/>
      <c r="N54" s="197"/>
      <c r="O54" s="197"/>
      <c r="P54" s="198">
        <v>44531</v>
      </c>
      <c r="Q54" s="198">
        <v>44554</v>
      </c>
      <c r="R54" s="199"/>
      <c r="S54" s="200">
        <v>18</v>
      </c>
      <c r="T54" s="200">
        <v>0</v>
      </c>
      <c r="U54" s="200">
        <v>18</v>
      </c>
      <c r="V54" s="200">
        <v>0</v>
      </c>
      <c r="W54" s="198"/>
      <c r="X54" s="198"/>
      <c r="Y54" s="201">
        <v>0</v>
      </c>
      <c r="Z54" s="202">
        <v>0</v>
      </c>
      <c r="AA54" s="200">
        <v>1</v>
      </c>
      <c r="AB54" s="199"/>
      <c r="AC54" s="165"/>
      <c r="AD54" s="203">
        <v>0</v>
      </c>
      <c r="AE54" s="205">
        <v>0</v>
      </c>
      <c r="AF54" s="137"/>
      <c r="AG54" s="138"/>
      <c r="AH54" s="138"/>
      <c r="AI54" s="138"/>
      <c r="AJ54" s="138"/>
      <c r="AK54" s="138"/>
      <c r="AL54" s="138"/>
      <c r="AM54" s="138"/>
      <c r="AN54" s="138"/>
      <c r="AO54" s="138"/>
      <c r="AP54" s="138"/>
      <c r="AQ54" s="138"/>
      <c r="AR54" s="138"/>
      <c r="AS54" s="138"/>
      <c r="AT54" s="138"/>
      <c r="AU54" s="138"/>
      <c r="AV54" s="138"/>
      <c r="AW54" s="138"/>
      <c r="AX54" s="138"/>
      <c r="AY54" s="138"/>
      <c r="AZ54" s="138"/>
      <c r="BA54" s="138"/>
      <c r="BB54" s="138"/>
      <c r="BC54" s="138"/>
      <c r="BD54" s="138"/>
      <c r="BE54" s="138"/>
      <c r="BF54" s="138"/>
      <c r="BG54" s="138"/>
      <c r="BH54" s="138"/>
      <c r="BI54" s="138"/>
      <c r="BJ54" s="138"/>
      <c r="BK54" s="138"/>
      <c r="BL54" s="138"/>
      <c r="BM54" s="138"/>
      <c r="BN54" s="138"/>
      <c r="BO54" s="138"/>
      <c r="BP54" s="138"/>
      <c r="BQ54" s="138"/>
      <c r="BR54" s="138"/>
      <c r="BS54" s="138"/>
      <c r="BT54" s="138"/>
      <c r="BU54" s="138"/>
      <c r="BV54" s="138"/>
      <c r="BW54" s="138"/>
      <c r="BX54" s="138"/>
      <c r="BY54" s="138"/>
      <c r="BZ54" s="138"/>
      <c r="CA54" s="138" t="str">
        <f>"  " &amp; TEXT(AE54,"#0.00%") &amp; " "</f>
        <v xml:space="preserve">  0.00% </v>
      </c>
      <c r="CB54" s="138"/>
      <c r="CC54" s="138"/>
      <c r="CD54" s="138" t="str">
        <f>"     " &amp; "Release 및 Contingency plan수립" &amp; " " &amp; IF(P54="","",TEXT(P54,"M/D-")) &amp; IF(Q54="","",TEXT(Q54,"M/D")) &amp; " "</f>
        <v xml:space="preserve">     Release 및 Contingency plan수립 12/1-12/24 </v>
      </c>
      <c r="CE54" s="138"/>
      <c r="CF54" s="138"/>
      <c r="CG54" s="138"/>
      <c r="CH54" s="138"/>
      <c r="CI54" s="138"/>
      <c r="CJ54" s="138"/>
      <c r="CK54" s="138"/>
      <c r="CL54" s="138"/>
      <c r="CM54" s="138"/>
      <c r="CN54" s="138"/>
      <c r="CO54" s="138"/>
      <c r="CP54" s="138"/>
      <c r="CQ54" s="138"/>
      <c r="CR54" s="138"/>
      <c r="CS54" s="138"/>
    </row>
    <row r="55" spans="1:97" ht="18" customHeight="1" outlineLevel="2">
      <c r="A55" s="195"/>
      <c r="B55" s="195" t="s">
        <v>1426</v>
      </c>
      <c r="C55" s="195">
        <v>3</v>
      </c>
      <c r="D55" s="196" t="s">
        <v>1309</v>
      </c>
      <c r="E55" s="197"/>
      <c r="F55" s="197"/>
      <c r="G55" s="197" t="s">
        <v>1310</v>
      </c>
      <c r="H55" s="197"/>
      <c r="I55" s="197"/>
      <c r="J55" s="197"/>
      <c r="K55" s="197"/>
      <c r="L55" s="197"/>
      <c r="M55" s="197"/>
      <c r="N55" s="197"/>
      <c r="O55" s="197"/>
      <c r="P55" s="198">
        <v>44557</v>
      </c>
      <c r="Q55" s="198">
        <v>44564</v>
      </c>
      <c r="R55" s="199"/>
      <c r="S55" s="200">
        <v>10</v>
      </c>
      <c r="T55" s="200">
        <v>0</v>
      </c>
      <c r="U55" s="200">
        <v>6</v>
      </c>
      <c r="V55" s="200">
        <v>0</v>
      </c>
      <c r="W55" s="198"/>
      <c r="X55" s="198"/>
      <c r="Y55" s="201">
        <v>0</v>
      </c>
      <c r="Z55" s="202">
        <v>0</v>
      </c>
      <c r="AA55" s="200"/>
      <c r="AB55" s="199"/>
      <c r="AC55" s="165"/>
      <c r="AD55" s="203">
        <v>0</v>
      </c>
      <c r="AE55" s="204">
        <v>0</v>
      </c>
      <c r="AF55" s="137"/>
      <c r="AG55" s="138"/>
      <c r="AH55" s="138"/>
      <c r="AI55" s="138"/>
      <c r="AJ55" s="138"/>
      <c r="AK55" s="138"/>
      <c r="AL55" s="138"/>
      <c r="AM55" s="138"/>
      <c r="AN55" s="138"/>
      <c r="AO55" s="138"/>
      <c r="AP55" s="138"/>
      <c r="AQ55" s="138"/>
      <c r="AR55" s="138"/>
      <c r="AS55" s="138"/>
      <c r="AT55" s="138"/>
      <c r="AU55" s="138"/>
      <c r="AV55" s="138"/>
      <c r="AW55" s="138"/>
      <c r="AX55" s="138"/>
      <c r="AY55" s="138"/>
      <c r="AZ55" s="138"/>
      <c r="BA55" s="138"/>
      <c r="BB55" s="138"/>
      <c r="BC55" s="138"/>
      <c r="BD55" s="138"/>
      <c r="BE55" s="138"/>
      <c r="BF55" s="138"/>
      <c r="BG55" s="138"/>
      <c r="BH55" s="138"/>
      <c r="BI55" s="138"/>
      <c r="BJ55" s="138"/>
      <c r="BK55" s="138"/>
      <c r="BL55" s="138"/>
      <c r="BM55" s="138"/>
      <c r="BN55" s="138"/>
      <c r="BO55" s="138"/>
      <c r="BP55" s="138"/>
      <c r="BQ55" s="138"/>
      <c r="BR55" s="138"/>
      <c r="BS55" s="138"/>
      <c r="BT55" s="138"/>
      <c r="BU55" s="138"/>
      <c r="BV55" s="138"/>
      <c r="BW55" s="138"/>
      <c r="BX55" s="138"/>
      <c r="BY55" s="138"/>
      <c r="BZ55" s="138"/>
      <c r="CA55" s="138"/>
      <c r="CB55" s="138"/>
      <c r="CC55" s="138"/>
      <c r="CD55" s="138"/>
      <c r="CE55" s="138" t="str">
        <f>"" &amp; TEXT(AE55,"#0.00%") &amp; " " &amp; "Conversion 및 Release" &amp; " " &amp; IF(P55="","",TEXT(P55,"M/D-")) &amp; IF(Q55="","",TEXT(Q55,"M/D")) &amp; " "</f>
        <v xml:space="preserve">0.00% Conversion 및 Release 12/27-1/3 </v>
      </c>
      <c r="CF55" s="138"/>
      <c r="CG55" s="138"/>
      <c r="CH55" s="138"/>
      <c r="CI55" s="138"/>
      <c r="CJ55" s="138"/>
      <c r="CK55" s="138"/>
      <c r="CL55" s="138"/>
      <c r="CM55" s="138"/>
      <c r="CN55" s="138"/>
      <c r="CO55" s="138"/>
      <c r="CP55" s="138"/>
      <c r="CQ55" s="138"/>
      <c r="CR55" s="138"/>
      <c r="CS55" s="138"/>
    </row>
    <row r="56" spans="1:97" ht="18" customHeight="1" outlineLevel="3">
      <c r="A56" s="195"/>
      <c r="B56" s="195"/>
      <c r="C56" s="195">
        <v>4</v>
      </c>
      <c r="D56" s="196" t="s">
        <v>1311</v>
      </c>
      <c r="E56" s="197"/>
      <c r="F56" s="197"/>
      <c r="G56" s="197"/>
      <c r="H56" s="197" t="s">
        <v>1312</v>
      </c>
      <c r="I56" s="197"/>
      <c r="J56" s="197"/>
      <c r="K56" s="197"/>
      <c r="L56" s="197"/>
      <c r="M56" s="197"/>
      <c r="N56" s="197"/>
      <c r="O56" s="197"/>
      <c r="P56" s="198">
        <v>44557</v>
      </c>
      <c r="Q56" s="198">
        <v>44562</v>
      </c>
      <c r="R56" s="199"/>
      <c r="S56" s="200">
        <v>5</v>
      </c>
      <c r="T56" s="200">
        <v>0</v>
      </c>
      <c r="U56" s="200">
        <v>5</v>
      </c>
      <c r="V56" s="200">
        <v>0</v>
      </c>
      <c r="W56" s="198"/>
      <c r="X56" s="198"/>
      <c r="Y56" s="201">
        <v>0</v>
      </c>
      <c r="Z56" s="202">
        <v>0</v>
      </c>
      <c r="AA56" s="200">
        <v>1</v>
      </c>
      <c r="AB56" s="199"/>
      <c r="AC56" s="165"/>
      <c r="AD56" s="203">
        <v>0</v>
      </c>
      <c r="AE56" s="205">
        <v>0</v>
      </c>
      <c r="AF56" s="137"/>
      <c r="AG56" s="138"/>
      <c r="AH56" s="138"/>
      <c r="AI56" s="138"/>
      <c r="AJ56" s="138"/>
      <c r="AK56" s="138"/>
      <c r="AL56" s="138"/>
      <c r="AM56" s="138"/>
      <c r="AN56" s="138"/>
      <c r="AO56" s="138"/>
      <c r="AP56" s="138"/>
      <c r="AQ56" s="138"/>
      <c r="AR56" s="138"/>
      <c r="AS56" s="138"/>
      <c r="AT56" s="138"/>
      <c r="AU56" s="138"/>
      <c r="AV56" s="138"/>
      <c r="AW56" s="138"/>
      <c r="AX56" s="138"/>
      <c r="AY56" s="138"/>
      <c r="AZ56" s="138"/>
      <c r="BA56" s="138"/>
      <c r="BB56" s="138"/>
      <c r="BC56" s="138"/>
      <c r="BD56" s="138"/>
      <c r="BE56" s="138"/>
      <c r="BF56" s="138"/>
      <c r="BG56" s="138"/>
      <c r="BH56" s="138"/>
      <c r="BI56" s="138"/>
      <c r="BJ56" s="138"/>
      <c r="BK56" s="138"/>
      <c r="BL56" s="138"/>
      <c r="BM56" s="138"/>
      <c r="BN56" s="138"/>
      <c r="BO56" s="138"/>
      <c r="BP56" s="138"/>
      <c r="BQ56" s="138"/>
      <c r="BR56" s="138"/>
      <c r="BS56" s="138"/>
      <c r="BT56" s="138"/>
      <c r="BU56" s="138"/>
      <c r="BV56" s="138"/>
      <c r="BW56" s="138"/>
      <c r="BX56" s="138"/>
      <c r="BY56" s="138"/>
      <c r="BZ56" s="138"/>
      <c r="CA56" s="138"/>
      <c r="CB56" s="138"/>
      <c r="CC56" s="138"/>
      <c r="CD56" s="138"/>
      <c r="CE56" s="138" t="str">
        <f>"" &amp; TEXT(AE56,"#0.00%") &amp; " " &amp; "데이터베이스구축" &amp; " " &amp; IF(P56="","",TEXT(P56,"M/D-")) &amp; IF(Q56="","",TEXT(Q56,"M/D")) &amp; " "</f>
        <v xml:space="preserve">0.00% 데이터베이스구축 12/27-1/1 </v>
      </c>
      <c r="CF56" s="138"/>
      <c r="CG56" s="138"/>
      <c r="CH56" s="138"/>
      <c r="CI56" s="138"/>
      <c r="CJ56" s="138"/>
      <c r="CK56" s="138"/>
      <c r="CL56" s="138"/>
      <c r="CM56" s="138"/>
      <c r="CN56" s="138"/>
      <c r="CO56" s="138"/>
      <c r="CP56" s="138"/>
      <c r="CQ56" s="138"/>
      <c r="CR56" s="138"/>
      <c r="CS56" s="138"/>
    </row>
    <row r="57" spans="1:97" ht="18" customHeight="1" outlineLevel="3">
      <c r="A57" s="195"/>
      <c r="B57" s="195"/>
      <c r="C57" s="195">
        <v>4</v>
      </c>
      <c r="D57" s="196" t="s">
        <v>1313</v>
      </c>
      <c r="E57" s="197"/>
      <c r="F57" s="197"/>
      <c r="G57" s="197"/>
      <c r="H57" s="197" t="s">
        <v>1314</v>
      </c>
      <c r="I57" s="197"/>
      <c r="J57" s="197"/>
      <c r="K57" s="197"/>
      <c r="L57" s="197"/>
      <c r="M57" s="197"/>
      <c r="N57" s="197"/>
      <c r="O57" s="197"/>
      <c r="P57" s="198">
        <v>44557</v>
      </c>
      <c r="Q57" s="198">
        <v>44562</v>
      </c>
      <c r="R57" s="199"/>
      <c r="S57" s="200">
        <v>5</v>
      </c>
      <c r="T57" s="200">
        <v>0</v>
      </c>
      <c r="U57" s="200">
        <v>5</v>
      </c>
      <c r="V57" s="200">
        <v>0</v>
      </c>
      <c r="W57" s="198"/>
      <c r="X57" s="198"/>
      <c r="Y57" s="201">
        <v>0</v>
      </c>
      <c r="Z57" s="202">
        <v>0</v>
      </c>
      <c r="AA57" s="200">
        <v>1</v>
      </c>
      <c r="AB57" s="199"/>
      <c r="AC57" s="165"/>
      <c r="AD57" s="203">
        <v>0</v>
      </c>
      <c r="AE57" s="205">
        <v>0</v>
      </c>
      <c r="AF57" s="137"/>
      <c r="AG57" s="138"/>
      <c r="AH57" s="138"/>
      <c r="AI57" s="138"/>
      <c r="AJ57" s="138"/>
      <c r="AK57" s="138"/>
      <c r="AL57" s="138"/>
      <c r="AM57" s="138"/>
      <c r="AN57" s="138"/>
      <c r="AO57" s="138"/>
      <c r="AP57" s="138"/>
      <c r="AQ57" s="138"/>
      <c r="AR57" s="138"/>
      <c r="AS57" s="138"/>
      <c r="AT57" s="138"/>
      <c r="AU57" s="138"/>
      <c r="AV57" s="138"/>
      <c r="AW57" s="138"/>
      <c r="AX57" s="138"/>
      <c r="AY57" s="138"/>
      <c r="AZ57" s="138"/>
      <c r="BA57" s="138"/>
      <c r="BB57" s="138"/>
      <c r="BC57" s="138"/>
      <c r="BD57" s="138"/>
      <c r="BE57" s="138"/>
      <c r="BF57" s="138"/>
      <c r="BG57" s="138"/>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t="str">
        <f>"" &amp; TEXT(AE57,"#0.00%") &amp; " " &amp; "소프트웨어설치" &amp; " " &amp; IF(P57="","",TEXT(P57,"M/D-")) &amp; IF(Q57="","",TEXT(Q57,"M/D")) &amp; " "</f>
        <v xml:space="preserve">0.00% 소프트웨어설치 12/27-1/1 </v>
      </c>
      <c r="CF57" s="138"/>
      <c r="CG57" s="138"/>
      <c r="CH57" s="138"/>
      <c r="CI57" s="138"/>
      <c r="CJ57" s="138"/>
      <c r="CK57" s="138"/>
      <c r="CL57" s="138"/>
      <c r="CM57" s="138"/>
      <c r="CN57" s="138"/>
      <c r="CO57" s="138"/>
      <c r="CP57" s="138"/>
      <c r="CQ57" s="138"/>
      <c r="CR57" s="138"/>
      <c r="CS57" s="138"/>
    </row>
    <row r="58" spans="1:97" ht="18" customHeight="1" outlineLevel="3">
      <c r="A58" s="195"/>
      <c r="B58" s="195"/>
      <c r="C58" s="195">
        <v>4</v>
      </c>
      <c r="D58" s="196" t="s">
        <v>1315</v>
      </c>
      <c r="E58" s="197"/>
      <c r="F58" s="197"/>
      <c r="G58" s="197"/>
      <c r="H58" s="197" t="s">
        <v>1681</v>
      </c>
      <c r="I58" s="197"/>
      <c r="J58" s="197"/>
      <c r="K58" s="197"/>
      <c r="L58" s="197"/>
      <c r="M58" s="197"/>
      <c r="N58" s="197"/>
      <c r="O58" s="197"/>
      <c r="P58" s="198">
        <v>44563</v>
      </c>
      <c r="Q58" s="198">
        <v>44563</v>
      </c>
      <c r="R58" s="199"/>
      <c r="S58" s="200">
        <v>0</v>
      </c>
      <c r="T58" s="200">
        <v>0</v>
      </c>
      <c r="U58" s="200">
        <v>0</v>
      </c>
      <c r="V58" s="200">
        <v>0</v>
      </c>
      <c r="W58" s="198"/>
      <c r="X58" s="198"/>
      <c r="Y58" s="201">
        <v>0</v>
      </c>
      <c r="Z58" s="202">
        <v>0</v>
      </c>
      <c r="AA58" s="200"/>
      <c r="AB58" s="199"/>
      <c r="AC58" s="165"/>
      <c r="AD58" s="203">
        <v>0</v>
      </c>
      <c r="AE58" s="205">
        <v>0</v>
      </c>
      <c r="AF58" s="137"/>
      <c r="AG58" s="138"/>
      <c r="AH58" s="138"/>
      <c r="AI58" s="138"/>
      <c r="AJ58" s="138"/>
      <c r="AK58" s="138"/>
      <c r="AL58" s="138"/>
      <c r="AM58" s="138"/>
      <c r="AN58" s="138"/>
      <c r="AO58" s="138"/>
      <c r="AP58" s="138"/>
      <c r="AQ58" s="138"/>
      <c r="AR58" s="138"/>
      <c r="AS58" s="138"/>
      <c r="AT58" s="138"/>
      <c r="AU58" s="138"/>
      <c r="AV58" s="138"/>
      <c r="AW58" s="138"/>
      <c r="AX58" s="138"/>
      <c r="AY58" s="138"/>
      <c r="AZ58" s="138"/>
      <c r="BA58" s="138"/>
      <c r="BB58" s="138"/>
      <c r="BC58" s="138"/>
      <c r="BD58" s="138"/>
      <c r="BE58" s="138"/>
      <c r="BF58" s="138"/>
      <c r="BG58" s="138"/>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t="str">
        <f>"      " &amp; TEXT(AE58,"#0.00%") &amp; " " &amp; "데이터 Migration" &amp; " " &amp; IF(P58="","",TEXT(P58,"M/D-")) &amp; IF(Q58="","",TEXT(Q58,"M/D")) &amp; " "</f>
        <v xml:space="preserve">      0.00% 데이터 Migration 1/2-1/2 </v>
      </c>
      <c r="CF58" s="138"/>
      <c r="CG58" s="138"/>
      <c r="CH58" s="138"/>
      <c r="CI58" s="138"/>
      <c r="CJ58" s="138"/>
      <c r="CK58" s="138"/>
      <c r="CL58" s="138"/>
      <c r="CM58" s="138"/>
      <c r="CN58" s="138"/>
      <c r="CO58" s="138"/>
      <c r="CP58" s="138"/>
      <c r="CQ58" s="138"/>
      <c r="CR58" s="138"/>
      <c r="CS58" s="138"/>
    </row>
    <row r="59" spans="1:97" ht="18" customHeight="1" outlineLevel="3">
      <c r="A59" s="195">
        <v>1</v>
      </c>
      <c r="B59" s="195"/>
      <c r="C59" s="195">
        <v>4</v>
      </c>
      <c r="D59" s="196" t="s">
        <v>1316</v>
      </c>
      <c r="E59" s="197"/>
      <c r="F59" s="197"/>
      <c r="G59" s="197"/>
      <c r="H59" s="197" t="s">
        <v>1317</v>
      </c>
      <c r="I59" s="197"/>
      <c r="J59" s="197"/>
      <c r="K59" s="197"/>
      <c r="L59" s="197"/>
      <c r="M59" s="197"/>
      <c r="N59" s="197"/>
      <c r="O59" s="197"/>
      <c r="P59" s="198">
        <v>44564</v>
      </c>
      <c r="Q59" s="198">
        <v>44564</v>
      </c>
      <c r="R59" s="199"/>
      <c r="S59" s="200">
        <v>0</v>
      </c>
      <c r="T59" s="200">
        <v>0</v>
      </c>
      <c r="U59" s="200">
        <v>1</v>
      </c>
      <c r="V59" s="200">
        <v>0</v>
      </c>
      <c r="W59" s="198"/>
      <c r="X59" s="198"/>
      <c r="Y59" s="201">
        <v>0</v>
      </c>
      <c r="Z59" s="202">
        <v>0</v>
      </c>
      <c r="AA59" s="200">
        <v>1</v>
      </c>
      <c r="AB59" s="199"/>
      <c r="AC59" s="165"/>
      <c r="AD59" s="203">
        <v>0</v>
      </c>
      <c r="AE59" s="205">
        <v>0</v>
      </c>
      <c r="AF59" s="137"/>
      <c r="AG59" s="138"/>
      <c r="AH59" s="138"/>
      <c r="AI59" s="138"/>
      <c r="AJ59" s="138"/>
      <c r="AK59" s="138"/>
      <c r="AL59" s="138"/>
      <c r="AM59" s="138"/>
      <c r="AN59" s="138"/>
      <c r="AO59" s="138"/>
      <c r="AP59" s="138"/>
      <c r="AQ59" s="138"/>
      <c r="AR59" s="138"/>
      <c r="AS59" s="138"/>
      <c r="AT59" s="138"/>
      <c r="AU59" s="138"/>
      <c r="AV59" s="138"/>
      <c r="AW59" s="138"/>
      <c r="AX59" s="138"/>
      <c r="AY59" s="138"/>
      <c r="AZ59" s="138"/>
      <c r="BA59" s="138"/>
      <c r="BB59" s="138"/>
      <c r="BC59" s="138"/>
      <c r="BD59" s="138"/>
      <c r="BE59" s="138"/>
      <c r="BF59" s="138"/>
      <c r="BG59" s="138"/>
      <c r="BH59" s="138"/>
      <c r="BI59" s="138"/>
      <c r="BJ59" s="138"/>
      <c r="BK59" s="138"/>
      <c r="BL59" s="138"/>
      <c r="BM59" s="138"/>
      <c r="BN59" s="138"/>
      <c r="BO59" s="138"/>
      <c r="BP59" s="138"/>
      <c r="BQ59" s="138"/>
      <c r="BR59" s="138"/>
      <c r="BS59" s="138"/>
      <c r="BT59" s="138"/>
      <c r="BU59" s="138"/>
      <c r="BV59" s="138"/>
      <c r="BW59" s="138"/>
      <c r="BX59" s="138"/>
      <c r="BY59" s="138"/>
      <c r="BZ59" s="138"/>
      <c r="CA59" s="138"/>
      <c r="CB59" s="138"/>
      <c r="CC59" s="138"/>
      <c r="CD59" s="138"/>
      <c r="CE59" s="138"/>
      <c r="CF59" s="138" t="str">
        <f>"    " &amp; TEXT(AE59,"#0.00%") &amp; " " &amp; "시스템오픈" &amp; " " &amp; IF(P59="","",TEXT(P59,"M/D-")) &amp; IF(Q59="","",TEXT(Q59,"M/D")) &amp; " "</f>
        <v xml:space="preserve">    0.00% 시스템오픈 1/3-1/3 </v>
      </c>
      <c r="CG59" s="138"/>
      <c r="CH59" s="138"/>
      <c r="CI59" s="138"/>
      <c r="CJ59" s="138"/>
      <c r="CK59" s="138"/>
      <c r="CL59" s="138"/>
      <c r="CM59" s="138"/>
      <c r="CN59" s="138"/>
      <c r="CO59" s="138"/>
      <c r="CP59" s="138"/>
      <c r="CQ59" s="138"/>
      <c r="CR59" s="138"/>
      <c r="CS59" s="138"/>
    </row>
    <row r="60" spans="1:97" ht="18" customHeight="1" outlineLevel="2">
      <c r="A60" s="195"/>
      <c r="B60" s="195"/>
      <c r="C60" s="195">
        <v>3</v>
      </c>
      <c r="D60" s="196" t="s">
        <v>1526</v>
      </c>
      <c r="E60" s="197"/>
      <c r="F60" s="197"/>
      <c r="G60" s="197" t="s">
        <v>1527</v>
      </c>
      <c r="H60" s="197"/>
      <c r="I60" s="197"/>
      <c r="J60" s="197"/>
      <c r="K60" s="197"/>
      <c r="L60" s="197"/>
      <c r="M60" s="197"/>
      <c r="N60" s="197"/>
      <c r="O60" s="197"/>
      <c r="P60" s="198">
        <v>44564</v>
      </c>
      <c r="Q60" s="198">
        <v>44651</v>
      </c>
      <c r="R60" s="199"/>
      <c r="S60" s="200">
        <v>60</v>
      </c>
      <c r="T60" s="200">
        <v>0</v>
      </c>
      <c r="U60" s="200">
        <v>60</v>
      </c>
      <c r="V60" s="200">
        <v>0</v>
      </c>
      <c r="W60" s="198"/>
      <c r="X60" s="198"/>
      <c r="Y60" s="201">
        <v>0</v>
      </c>
      <c r="Z60" s="202">
        <v>0</v>
      </c>
      <c r="AA60" s="200"/>
      <c r="AB60" s="199"/>
      <c r="AC60" s="165"/>
      <c r="AD60" s="203">
        <v>0</v>
      </c>
      <c r="AE60" s="205">
        <v>0</v>
      </c>
      <c r="AF60" s="137"/>
      <c r="AG60" s="138"/>
      <c r="AH60" s="138"/>
      <c r="AI60" s="138"/>
      <c r="AJ60" s="138"/>
      <c r="AK60" s="138"/>
      <c r="AL60" s="138"/>
      <c r="AM60" s="138"/>
      <c r="AN60" s="138"/>
      <c r="AO60" s="138"/>
      <c r="AP60" s="138"/>
      <c r="AQ60" s="138"/>
      <c r="AR60" s="138"/>
      <c r="AS60" s="138"/>
      <c r="AT60" s="138"/>
      <c r="AU60" s="138"/>
      <c r="AV60" s="138"/>
      <c r="AW60" s="138"/>
      <c r="AX60" s="138"/>
      <c r="AY60" s="138"/>
      <c r="AZ60" s="138"/>
      <c r="BA60" s="138"/>
      <c r="BB60" s="138"/>
      <c r="BC60" s="138"/>
      <c r="BD60" s="138"/>
      <c r="BE60" s="138"/>
      <c r="BF60" s="138"/>
      <c r="BG60" s="138"/>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8" t="str">
        <f>"" &amp; TEXT(AE60,"#0.00%") &amp; " "</f>
        <v xml:space="preserve">0.00% </v>
      </c>
      <c r="CG60" s="138"/>
      <c r="CH60" s="138"/>
      <c r="CI60" s="138"/>
      <c r="CJ60" s="138"/>
      <c r="CK60" s="138"/>
      <c r="CL60" s="138"/>
      <c r="CM60" s="138"/>
      <c r="CN60" s="138"/>
      <c r="CO60" s="138"/>
      <c r="CP60" s="138"/>
      <c r="CQ60" s="138"/>
      <c r="CR60" s="138" t="str">
        <f>"    " &amp; "안정화 지원" &amp; " " &amp; IF(P60="","",TEXT(P60,"M/D-")) &amp; IF(Q60="","",TEXT(Q60,"M/D")) &amp; " "</f>
        <v xml:space="preserve">    안정화 지원 1/3-3/31 </v>
      </c>
      <c r="CS60" s="138"/>
    </row>
    <row r="61" spans="1:97" ht="18" customHeight="1" outlineLevel="2">
      <c r="A61" s="195"/>
      <c r="B61" s="195"/>
      <c r="C61" s="195">
        <v>0</v>
      </c>
      <c r="D61" s="196"/>
      <c r="E61" s="197"/>
      <c r="F61" s="197"/>
      <c r="G61" s="197"/>
      <c r="H61" s="197"/>
      <c r="I61" s="197"/>
      <c r="J61" s="197"/>
      <c r="K61" s="197"/>
      <c r="L61" s="197"/>
      <c r="M61" s="197"/>
      <c r="N61" s="197"/>
      <c r="O61" s="197"/>
      <c r="P61" s="198"/>
      <c r="Q61" s="198"/>
      <c r="R61" s="199"/>
      <c r="S61" s="200"/>
      <c r="T61" s="200"/>
      <c r="U61" s="200">
        <v>0</v>
      </c>
      <c r="V61" s="200">
        <v>0</v>
      </c>
      <c r="W61" s="198"/>
      <c r="X61" s="198"/>
      <c r="Y61" s="201"/>
      <c r="Z61" s="202">
        <v>0</v>
      </c>
      <c r="AA61" s="200"/>
      <c r="AB61" s="199"/>
      <c r="AC61" s="165"/>
      <c r="AD61" s="203"/>
      <c r="AE61" s="206"/>
      <c r="AF61" s="137"/>
      <c r="AG61" s="138"/>
      <c r="AH61" s="138"/>
      <c r="AI61" s="138"/>
      <c r="AJ61" s="138"/>
      <c r="AK61" s="138"/>
      <c r="AL61" s="138"/>
      <c r="AM61" s="138"/>
      <c r="AN61" s="138"/>
      <c r="AO61" s="138"/>
      <c r="AP61" s="138"/>
      <c r="AQ61" s="138"/>
      <c r="AR61" s="138"/>
      <c r="AS61" s="138"/>
      <c r="AT61" s="138"/>
      <c r="AU61" s="138"/>
      <c r="AV61" s="138"/>
      <c r="AW61" s="138"/>
      <c r="AX61" s="138"/>
      <c r="AY61" s="138"/>
      <c r="AZ61" s="138"/>
      <c r="BA61" s="138"/>
      <c r="BB61" s="138"/>
      <c r="BC61" s="138"/>
      <c r="BD61" s="138"/>
      <c r="BE61" s="138"/>
      <c r="BF61" s="138"/>
      <c r="BG61" s="138"/>
      <c r="BH61" s="138"/>
      <c r="BI61" s="138"/>
      <c r="BJ61" s="138"/>
      <c r="BK61" s="138"/>
      <c r="BL61" s="138"/>
      <c r="BM61" s="138"/>
      <c r="BN61" s="138"/>
      <c r="BO61" s="138"/>
      <c r="BP61" s="138"/>
      <c r="BQ61" s="138"/>
      <c r="BR61" s="138"/>
      <c r="BS61" s="138"/>
      <c r="BT61" s="138"/>
      <c r="BU61" s="138"/>
      <c r="BV61" s="138"/>
      <c r="BW61" s="138"/>
      <c r="BX61" s="138"/>
      <c r="BY61" s="138"/>
      <c r="BZ61" s="138"/>
      <c r="CA61" s="138"/>
      <c r="CB61" s="138"/>
      <c r="CC61" s="138"/>
      <c r="CD61" s="138"/>
      <c r="CE61" s="138"/>
      <c r="CF61" s="138"/>
      <c r="CG61" s="138"/>
      <c r="CH61" s="138"/>
      <c r="CI61" s="138"/>
      <c r="CJ61" s="138"/>
      <c r="CK61" s="138"/>
      <c r="CL61" s="138"/>
      <c r="CM61" s="138"/>
      <c r="CN61" s="138"/>
      <c r="CO61" s="138"/>
      <c r="CP61" s="138"/>
      <c r="CQ61" s="138"/>
      <c r="CR61" s="138"/>
      <c r="CS61" s="138"/>
    </row>
    <row r="62" spans="1:97" ht="18" customHeight="1">
      <c r="A62" s="233"/>
      <c r="B62" s="233" t="s">
        <v>1426</v>
      </c>
      <c r="C62" s="233">
        <v>1</v>
      </c>
      <c r="D62" s="234" t="s">
        <v>1102</v>
      </c>
      <c r="E62" s="235" t="s">
        <v>1537</v>
      </c>
      <c r="F62" s="235"/>
      <c r="G62" s="235"/>
      <c r="H62" s="235"/>
      <c r="I62" s="235"/>
      <c r="J62" s="235"/>
      <c r="K62" s="235"/>
      <c r="L62" s="235"/>
      <c r="M62" s="235"/>
      <c r="N62" s="235"/>
      <c r="O62" s="235"/>
      <c r="P62" s="236">
        <v>44230</v>
      </c>
      <c r="Q62" s="236">
        <v>44651</v>
      </c>
      <c r="R62" s="235"/>
      <c r="S62" s="237">
        <v>826</v>
      </c>
      <c r="T62" s="237">
        <v>2</v>
      </c>
      <c r="U62" s="237">
        <v>290</v>
      </c>
      <c r="V62" s="237">
        <v>6</v>
      </c>
      <c r="W62" s="236">
        <v>44230</v>
      </c>
      <c r="X62" s="236"/>
      <c r="Y62" s="238">
        <v>2</v>
      </c>
      <c r="Z62" s="239">
        <v>0</v>
      </c>
      <c r="AA62" s="237"/>
      <c r="AB62" s="235" t="s">
        <v>1831</v>
      </c>
      <c r="AC62" s="232"/>
      <c r="AD62" s="203">
        <v>2.4213075060532689E-3</v>
      </c>
      <c r="AE62" s="204">
        <v>2.4213075060532689E-3</v>
      </c>
      <c r="AF62" s="137"/>
      <c r="AG62" s="138"/>
      <c r="AH62" s="138"/>
      <c r="AI62" s="138"/>
      <c r="AJ62" s="138" t="str">
        <f>"   " &amp; TEXT(AE62,"#0.00%") &amp; " "</f>
        <v xml:space="preserve">   0.24% </v>
      </c>
      <c r="AK62" s="138"/>
      <c r="AL62" s="138"/>
      <c r="AM62" s="138"/>
      <c r="AN62" s="138"/>
      <c r="AO62" s="138"/>
      <c r="AP62" s="138"/>
      <c r="AQ62" s="138"/>
      <c r="AR62" s="138"/>
      <c r="AS62" s="138"/>
      <c r="AT62" s="138"/>
      <c r="AU62" s="138"/>
      <c r="AV62" s="138"/>
      <c r="AW62" s="138"/>
      <c r="AX62" s="138"/>
      <c r="AY62" s="138"/>
      <c r="AZ62" s="138"/>
      <c r="BA62" s="138"/>
      <c r="BB62" s="138"/>
      <c r="BC62" s="138"/>
      <c r="BD62" s="138"/>
      <c r="BE62" s="138"/>
      <c r="BF62" s="138"/>
      <c r="BG62" s="138"/>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8"/>
      <c r="CE62" s="138"/>
      <c r="CF62" s="138"/>
      <c r="CG62" s="138"/>
      <c r="CH62" s="138"/>
      <c r="CI62" s="138"/>
      <c r="CJ62" s="138"/>
      <c r="CK62" s="138"/>
      <c r="CL62" s="138"/>
      <c r="CM62" s="138"/>
      <c r="CN62" s="138"/>
      <c r="CO62" s="138"/>
      <c r="CP62" s="138"/>
      <c r="CQ62" s="138"/>
      <c r="CR62" s="138" t="str">
        <f>"    " &amp; "ERP Package" &amp; "(박은배수석(010-3288-7980))" &amp; " " &amp; IF(P62="","",TEXT(P62,"M/D-")) &amp; IF(Q62="","",TEXT(Q62,"M/D")) &amp; " "</f>
        <v xml:space="preserve">    ERP Package(박은배수석(010-3288-7980)) 2/3-3/31 </v>
      </c>
      <c r="CS62" s="138"/>
    </row>
    <row r="63" spans="1:97" ht="18" customHeight="1" outlineLevel="1">
      <c r="A63" s="233"/>
      <c r="B63" s="233"/>
      <c r="C63" s="233">
        <v>2</v>
      </c>
      <c r="D63" s="234" t="s">
        <v>1689</v>
      </c>
      <c r="E63" s="235"/>
      <c r="F63" s="235" t="s">
        <v>1682</v>
      </c>
      <c r="G63" s="235"/>
      <c r="H63" s="235"/>
      <c r="I63" s="235"/>
      <c r="J63" s="235"/>
      <c r="K63" s="235"/>
      <c r="L63" s="235"/>
      <c r="M63" s="235"/>
      <c r="N63" s="235"/>
      <c r="O63" s="235"/>
      <c r="P63" s="236">
        <v>44230</v>
      </c>
      <c r="Q63" s="236">
        <v>44230</v>
      </c>
      <c r="R63" s="235"/>
      <c r="S63" s="237">
        <v>1</v>
      </c>
      <c r="T63" s="237">
        <v>1</v>
      </c>
      <c r="U63" s="237">
        <v>1</v>
      </c>
      <c r="V63" s="237">
        <v>1</v>
      </c>
      <c r="W63" s="236">
        <v>44230</v>
      </c>
      <c r="X63" s="236">
        <v>44230</v>
      </c>
      <c r="Y63" s="238">
        <v>1</v>
      </c>
      <c r="Z63" s="239">
        <v>1</v>
      </c>
      <c r="AA63" s="237"/>
      <c r="AB63" s="235" t="s">
        <v>1876</v>
      </c>
      <c r="AC63" s="232"/>
      <c r="AD63" s="203">
        <v>1</v>
      </c>
      <c r="AE63" s="205">
        <v>1</v>
      </c>
      <c r="AF63" s="137"/>
      <c r="AG63" s="138"/>
      <c r="AH63" s="138"/>
      <c r="AI63" s="138"/>
      <c r="AJ63" s="138" t="str">
        <f>"   " &amp; TEXT(AE63,"#0.00%") &amp; " " &amp; "Package 설치" &amp; "(박은배수석)" &amp; " " &amp; IF(P63="","",TEXT(P63,"M/D-")) &amp; IF(Q63="","",TEXT(Q63,"M/D")) &amp; " "</f>
        <v xml:space="preserve">   100.00% Package 설치(박은배수석) 2/3-2/3 </v>
      </c>
      <c r="AK63" s="138"/>
      <c r="AL63" s="138"/>
      <c r="AM63" s="138"/>
      <c r="AN63" s="138"/>
      <c r="AO63" s="138"/>
      <c r="AP63" s="138"/>
      <c r="AQ63" s="138"/>
      <c r="AR63" s="138"/>
      <c r="AS63" s="138"/>
      <c r="AT63" s="138"/>
      <c r="AU63" s="138"/>
      <c r="AV63" s="138"/>
      <c r="AW63" s="138"/>
      <c r="AX63" s="138"/>
      <c r="AY63" s="138"/>
      <c r="AZ63" s="138"/>
      <c r="BA63" s="138"/>
      <c r="BB63" s="138"/>
      <c r="BC63" s="138"/>
      <c r="BD63" s="138"/>
      <c r="BE63" s="138"/>
      <c r="BF63" s="138"/>
      <c r="BG63" s="138"/>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8"/>
      <c r="CG63" s="138"/>
      <c r="CH63" s="138"/>
      <c r="CI63" s="138"/>
      <c r="CJ63" s="138"/>
      <c r="CK63" s="138"/>
      <c r="CL63" s="138"/>
      <c r="CM63" s="138"/>
      <c r="CN63" s="138"/>
      <c r="CO63" s="138"/>
      <c r="CP63" s="138"/>
      <c r="CQ63" s="138"/>
      <c r="CR63" s="138"/>
      <c r="CS63" s="138"/>
    </row>
    <row r="64" spans="1:97" ht="18" customHeight="1" outlineLevel="1">
      <c r="A64" s="233"/>
      <c r="B64" s="233" t="s">
        <v>1426</v>
      </c>
      <c r="C64" s="233">
        <v>2</v>
      </c>
      <c r="D64" s="234" t="s">
        <v>1690</v>
      </c>
      <c r="E64" s="235"/>
      <c r="F64" s="235" t="s">
        <v>1864</v>
      </c>
      <c r="G64" s="235"/>
      <c r="H64" s="235"/>
      <c r="I64" s="235"/>
      <c r="J64" s="235"/>
      <c r="K64" s="235"/>
      <c r="L64" s="235"/>
      <c r="M64" s="235"/>
      <c r="N64" s="235"/>
      <c r="O64" s="235"/>
      <c r="P64" s="232">
        <v>44251</v>
      </c>
      <c r="Q64" s="232">
        <v>44300</v>
      </c>
      <c r="R64" s="235"/>
      <c r="S64" s="237">
        <v>8</v>
      </c>
      <c r="T64" s="237">
        <v>0</v>
      </c>
      <c r="U64" s="237">
        <v>35</v>
      </c>
      <c r="V64" s="237">
        <v>0</v>
      </c>
      <c r="W64" s="236"/>
      <c r="X64" s="236"/>
      <c r="Y64" s="238">
        <v>0</v>
      </c>
      <c r="Z64" s="239">
        <v>0</v>
      </c>
      <c r="AA64" s="237"/>
      <c r="AB64" s="235"/>
      <c r="AC64" s="232"/>
      <c r="AD64" s="203">
        <v>0</v>
      </c>
      <c r="AE64" s="204">
        <v>0</v>
      </c>
      <c r="AF64" s="137"/>
      <c r="AG64" s="138"/>
      <c r="AH64" s="138"/>
      <c r="AI64" s="138"/>
      <c r="AJ64" s="138"/>
      <c r="AK64" s="138"/>
      <c r="AL64" s="138"/>
      <c r="AM64" s="138" t="str">
        <f>"  " &amp; TEXT(AE64,"#0.00%") &amp; " "</f>
        <v xml:space="preserve">  0.00% </v>
      </c>
      <c r="AN64" s="138"/>
      <c r="AO64" s="138"/>
      <c r="AP64" s="138"/>
      <c r="AQ64" s="138"/>
      <c r="AR64" s="138"/>
      <c r="AS64" s="138"/>
      <c r="AT64" s="138" t="str">
        <f>"   " &amp; "FI(Financial,일반회계)" &amp; " " &amp; IF(P64="","",TEXT(P64,"M/D-")) &amp; IF(Q64="","",TEXT(Q64,"M/D")) &amp; " "</f>
        <v xml:space="preserve">   FI(Financial,일반회계) 2/24-4/14 </v>
      </c>
      <c r="AU64" s="138"/>
      <c r="AV64" s="138"/>
      <c r="AW64" s="138"/>
      <c r="AX64" s="138"/>
      <c r="AY64" s="138"/>
      <c r="AZ64" s="138"/>
      <c r="BA64" s="138"/>
      <c r="BB64" s="138"/>
      <c r="BC64" s="138"/>
      <c r="BD64" s="138"/>
      <c r="BE64" s="138"/>
      <c r="BF64" s="138"/>
      <c r="BG64" s="138"/>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c r="CD64" s="138"/>
      <c r="CE64" s="138"/>
      <c r="CF64" s="138"/>
      <c r="CG64" s="138"/>
      <c r="CH64" s="138"/>
      <c r="CI64" s="138"/>
      <c r="CJ64" s="138"/>
      <c r="CK64" s="138"/>
      <c r="CL64" s="138"/>
      <c r="CM64" s="138"/>
      <c r="CN64" s="138"/>
      <c r="CO64" s="138"/>
      <c r="CP64" s="138"/>
      <c r="CQ64" s="138"/>
      <c r="CR64" s="138"/>
      <c r="CS64" s="138"/>
    </row>
    <row r="65" spans="1:97" ht="18" customHeight="1" outlineLevel="2">
      <c r="A65" s="233"/>
      <c r="B65" s="233"/>
      <c r="C65" s="233">
        <v>3</v>
      </c>
      <c r="D65" s="234" t="s">
        <v>1691</v>
      </c>
      <c r="E65" s="235"/>
      <c r="F65" s="235"/>
      <c r="G65" s="235" t="s">
        <v>1850</v>
      </c>
      <c r="H65" s="235"/>
      <c r="I65" s="235"/>
      <c r="J65" s="235"/>
      <c r="K65" s="235"/>
      <c r="L65" s="235"/>
      <c r="M65" s="235"/>
      <c r="N65" s="235"/>
      <c r="O65" s="235"/>
      <c r="P65" s="232">
        <v>44251</v>
      </c>
      <c r="Q65" s="232">
        <v>44251</v>
      </c>
      <c r="R65" s="235"/>
      <c r="S65" s="237">
        <v>1</v>
      </c>
      <c r="T65" s="237">
        <v>0</v>
      </c>
      <c r="U65" s="237">
        <v>1</v>
      </c>
      <c r="V65" s="237">
        <v>0</v>
      </c>
      <c r="W65" s="236"/>
      <c r="X65" s="236"/>
      <c r="Y65" s="238">
        <v>0</v>
      </c>
      <c r="Z65" s="239">
        <v>0</v>
      </c>
      <c r="AA65" s="237"/>
      <c r="AB65" s="235" t="s">
        <v>1876</v>
      </c>
      <c r="AC65" s="232"/>
      <c r="AD65" s="203">
        <v>0</v>
      </c>
      <c r="AE65" s="205">
        <v>0</v>
      </c>
      <c r="AF65" s="137"/>
      <c r="AG65" s="138"/>
      <c r="AH65" s="138"/>
      <c r="AI65" s="138"/>
      <c r="AJ65" s="138"/>
      <c r="AK65" s="138"/>
      <c r="AL65" s="138"/>
      <c r="AM65" s="138" t="str">
        <f>"  " &amp; TEXT(AE65,"#0.00%") &amp; " " &amp; "회계기준정보 시스템 세팅 및 교육" &amp; "(박은배수석)" &amp; " " &amp; IF(P65="","",TEXT(P65,"M/D-")) &amp; IF(Q65="","",TEXT(Q65,"M/D")) &amp; " "</f>
        <v xml:space="preserve">  0.00% 회계기준정보 시스템 세팅 및 교육(박은배수석) 2/24-2/24 </v>
      </c>
      <c r="AN65" s="138"/>
      <c r="AO65" s="138"/>
      <c r="AP65" s="138"/>
      <c r="AQ65" s="138"/>
      <c r="AR65" s="138"/>
      <c r="AS65" s="138"/>
      <c r="AT65" s="138"/>
      <c r="AU65" s="138"/>
      <c r="AV65" s="138"/>
      <c r="AW65" s="138"/>
      <c r="AX65" s="138"/>
      <c r="AY65" s="138"/>
      <c r="AZ65" s="138"/>
      <c r="BA65" s="138"/>
      <c r="BB65" s="138"/>
      <c r="BC65" s="138"/>
      <c r="BD65" s="138"/>
      <c r="BE65" s="138"/>
      <c r="BF65" s="138"/>
      <c r="BG65" s="138"/>
      <c r="BH65" s="138"/>
      <c r="BI65" s="138"/>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8"/>
      <c r="CG65" s="138"/>
      <c r="CH65" s="138"/>
      <c r="CI65" s="138"/>
      <c r="CJ65" s="138"/>
      <c r="CK65" s="138"/>
      <c r="CL65" s="138"/>
      <c r="CM65" s="138"/>
      <c r="CN65" s="138"/>
      <c r="CO65" s="138"/>
      <c r="CP65" s="138"/>
      <c r="CQ65" s="138"/>
      <c r="CR65" s="138"/>
      <c r="CS65" s="138"/>
    </row>
    <row r="66" spans="1:97" ht="18" customHeight="1" outlineLevel="2">
      <c r="A66" s="233"/>
      <c r="B66" s="233"/>
      <c r="C66" s="233">
        <v>3</v>
      </c>
      <c r="D66" s="234" t="s">
        <v>1692</v>
      </c>
      <c r="E66" s="235"/>
      <c r="F66" s="235"/>
      <c r="G66" s="235" t="s">
        <v>1851</v>
      </c>
      <c r="H66" s="235"/>
      <c r="I66" s="235"/>
      <c r="J66" s="235"/>
      <c r="K66" s="235"/>
      <c r="L66" s="235"/>
      <c r="M66" s="235"/>
      <c r="N66" s="235"/>
      <c r="O66" s="235"/>
      <c r="P66" s="232">
        <v>44258</v>
      </c>
      <c r="Q66" s="232">
        <v>44258</v>
      </c>
      <c r="R66" s="235"/>
      <c r="S66" s="237">
        <v>1</v>
      </c>
      <c r="T66" s="237">
        <v>0</v>
      </c>
      <c r="U66" s="237">
        <v>1</v>
      </c>
      <c r="V66" s="237">
        <v>0</v>
      </c>
      <c r="W66" s="236"/>
      <c r="X66" s="236"/>
      <c r="Y66" s="238">
        <v>0</v>
      </c>
      <c r="Z66" s="239">
        <v>0</v>
      </c>
      <c r="AA66" s="237"/>
      <c r="AB66" s="235" t="s">
        <v>1876</v>
      </c>
      <c r="AC66" s="232"/>
      <c r="AD66" s="203">
        <v>0</v>
      </c>
      <c r="AE66" s="205">
        <v>0</v>
      </c>
      <c r="AF66" s="137"/>
      <c r="AG66" s="138"/>
      <c r="AH66" s="138"/>
      <c r="AI66" s="138"/>
      <c r="AJ66" s="138"/>
      <c r="AK66" s="138"/>
      <c r="AL66" s="138"/>
      <c r="AM66" s="138"/>
      <c r="AN66" s="138" t="str">
        <f>"  " &amp; TEXT(AE66,"#0.00%") &amp; " " &amp; "재무관리 시스템 설정 및 교육" &amp; "(박은배수석)" &amp; " " &amp; IF(P66="","",TEXT(P66,"M/D-")) &amp; IF(Q66="","",TEXT(Q66,"M/D")) &amp; " "</f>
        <v xml:space="preserve">  0.00% 재무관리 시스템 설정 및 교육(박은배수석) 3/3-3/3 </v>
      </c>
      <c r="AO66" s="138"/>
      <c r="AP66" s="138"/>
      <c r="AQ66" s="138"/>
      <c r="AR66" s="138"/>
      <c r="AS66" s="138"/>
      <c r="AT66" s="138"/>
      <c r="AU66" s="138"/>
      <c r="AV66" s="138"/>
      <c r="AW66" s="138"/>
      <c r="AX66" s="138"/>
      <c r="AY66" s="138"/>
      <c r="AZ66" s="138"/>
      <c r="BA66" s="138"/>
      <c r="BB66" s="138"/>
      <c r="BC66" s="138"/>
      <c r="BD66" s="138"/>
      <c r="BE66" s="138"/>
      <c r="BF66" s="138"/>
      <c r="BG66" s="138"/>
      <c r="BH66" s="138"/>
      <c r="BI66" s="138"/>
      <c r="BJ66" s="138"/>
      <c r="BK66" s="138"/>
      <c r="BL66" s="138"/>
      <c r="BM66" s="138"/>
      <c r="BN66" s="138"/>
      <c r="BO66" s="138"/>
      <c r="BP66" s="138"/>
      <c r="BQ66" s="138"/>
      <c r="BR66" s="138"/>
      <c r="BS66" s="138"/>
      <c r="BT66" s="138"/>
      <c r="BU66" s="138"/>
      <c r="BV66" s="138"/>
      <c r="BW66" s="138"/>
      <c r="BX66" s="138"/>
      <c r="BY66" s="138"/>
      <c r="BZ66" s="138"/>
      <c r="CA66" s="138"/>
      <c r="CB66" s="138"/>
      <c r="CC66" s="138"/>
      <c r="CD66" s="138"/>
      <c r="CE66" s="138"/>
      <c r="CF66" s="138"/>
      <c r="CG66" s="138"/>
      <c r="CH66" s="138"/>
      <c r="CI66" s="138"/>
      <c r="CJ66" s="138"/>
      <c r="CK66" s="138"/>
      <c r="CL66" s="138"/>
      <c r="CM66" s="138"/>
      <c r="CN66" s="138"/>
      <c r="CO66" s="138"/>
      <c r="CP66" s="138"/>
      <c r="CQ66" s="138"/>
      <c r="CR66" s="138"/>
      <c r="CS66" s="138"/>
    </row>
    <row r="67" spans="1:97" ht="18" customHeight="1" outlineLevel="2">
      <c r="A67" s="233"/>
      <c r="B67" s="233"/>
      <c r="C67" s="233">
        <v>3</v>
      </c>
      <c r="D67" s="234" t="s">
        <v>1752</v>
      </c>
      <c r="E67" s="235"/>
      <c r="F67" s="235"/>
      <c r="G67" s="235" t="s">
        <v>1852</v>
      </c>
      <c r="H67" s="235"/>
      <c r="I67" s="235"/>
      <c r="J67" s="235"/>
      <c r="K67" s="235"/>
      <c r="L67" s="235"/>
      <c r="M67" s="235"/>
      <c r="N67" s="235"/>
      <c r="O67" s="235"/>
      <c r="P67" s="232">
        <v>44265</v>
      </c>
      <c r="Q67" s="232">
        <v>44265</v>
      </c>
      <c r="R67" s="235"/>
      <c r="S67" s="237">
        <v>1</v>
      </c>
      <c r="T67" s="237">
        <v>0</v>
      </c>
      <c r="U67" s="237">
        <v>1</v>
      </c>
      <c r="V67" s="237">
        <v>0</v>
      </c>
      <c r="W67" s="236"/>
      <c r="X67" s="236"/>
      <c r="Y67" s="238">
        <v>0</v>
      </c>
      <c r="Z67" s="239">
        <v>0</v>
      </c>
      <c r="AA67" s="237"/>
      <c r="AB67" s="235" t="s">
        <v>1876</v>
      </c>
      <c r="AC67" s="232"/>
      <c r="AD67" s="203">
        <v>0</v>
      </c>
      <c r="AE67" s="205">
        <v>0</v>
      </c>
      <c r="AF67" s="137"/>
      <c r="AG67" s="138"/>
      <c r="AH67" s="138"/>
      <c r="AI67" s="138"/>
      <c r="AJ67" s="138"/>
      <c r="AK67" s="138"/>
      <c r="AL67" s="138"/>
      <c r="AM67" s="138"/>
      <c r="AN67" s="138"/>
      <c r="AO67" s="138" t="str">
        <f>"  " &amp; TEXT(AE67,"#0.00%") &amp; " " &amp; "배부관리" &amp; "(박은배수석)" &amp; " " &amp; IF(P67="","",TEXT(P67,"M/D-")) &amp; IF(Q67="","",TEXT(Q67,"M/D")) &amp; " "</f>
        <v xml:space="preserve">  0.00% 배부관리(박은배수석) 3/10-3/10 </v>
      </c>
      <c r="AP67" s="138"/>
      <c r="AQ67" s="138"/>
      <c r="AR67" s="138"/>
      <c r="AS67" s="138"/>
      <c r="AT67" s="138"/>
      <c r="AU67" s="138"/>
      <c r="AV67" s="138"/>
      <c r="AW67" s="138"/>
      <c r="AX67" s="138"/>
      <c r="AY67" s="138"/>
      <c r="AZ67" s="138"/>
      <c r="BA67" s="138"/>
      <c r="BB67" s="138"/>
      <c r="BC67" s="138"/>
      <c r="BD67" s="138"/>
      <c r="BE67" s="138"/>
      <c r="BF67" s="138"/>
      <c r="BG67" s="138"/>
      <c r="BH67" s="138"/>
      <c r="BI67" s="138"/>
      <c r="BJ67" s="138"/>
      <c r="BK67" s="138"/>
      <c r="BL67" s="138"/>
      <c r="BM67" s="138"/>
      <c r="BN67" s="138"/>
      <c r="BO67" s="138"/>
      <c r="BP67" s="138"/>
      <c r="BQ67" s="138"/>
      <c r="BR67" s="138"/>
      <c r="BS67" s="138"/>
      <c r="BT67" s="138"/>
      <c r="BU67" s="138"/>
      <c r="BV67" s="138"/>
      <c r="BW67" s="138"/>
      <c r="BX67" s="138"/>
      <c r="BY67" s="138"/>
      <c r="BZ67" s="138"/>
      <c r="CA67" s="138"/>
      <c r="CB67" s="138"/>
      <c r="CC67" s="138"/>
      <c r="CD67" s="138"/>
      <c r="CE67" s="138"/>
      <c r="CF67" s="138"/>
      <c r="CG67" s="138"/>
      <c r="CH67" s="138"/>
      <c r="CI67" s="138"/>
      <c r="CJ67" s="138"/>
      <c r="CK67" s="138"/>
      <c r="CL67" s="138"/>
      <c r="CM67" s="138"/>
      <c r="CN67" s="138"/>
      <c r="CO67" s="138"/>
      <c r="CP67" s="138"/>
      <c r="CQ67" s="138"/>
      <c r="CR67" s="138"/>
      <c r="CS67" s="138"/>
    </row>
    <row r="68" spans="1:97" ht="18" customHeight="1" outlineLevel="2">
      <c r="A68" s="233"/>
      <c r="B68" s="233"/>
      <c r="C68" s="233">
        <v>3</v>
      </c>
      <c r="D68" s="234" t="s">
        <v>1753</v>
      </c>
      <c r="E68" s="235"/>
      <c r="F68" s="235"/>
      <c r="G68" s="235" t="s">
        <v>1763</v>
      </c>
      <c r="H68" s="235"/>
      <c r="I68" s="235"/>
      <c r="J68" s="235"/>
      <c r="K68" s="235"/>
      <c r="L68" s="235"/>
      <c r="M68" s="235"/>
      <c r="N68" s="235"/>
      <c r="O68" s="235"/>
      <c r="P68" s="232">
        <v>44272</v>
      </c>
      <c r="Q68" s="232">
        <v>44272</v>
      </c>
      <c r="R68" s="235"/>
      <c r="S68" s="237">
        <v>1</v>
      </c>
      <c r="T68" s="237">
        <v>0</v>
      </c>
      <c r="U68" s="237">
        <v>1</v>
      </c>
      <c r="V68" s="237">
        <v>0</v>
      </c>
      <c r="W68" s="236"/>
      <c r="X68" s="236"/>
      <c r="Y68" s="238">
        <v>0</v>
      </c>
      <c r="Z68" s="239">
        <v>0</v>
      </c>
      <c r="AA68" s="237"/>
      <c r="AB68" s="235" t="s">
        <v>1876</v>
      </c>
      <c r="AC68" s="232"/>
      <c r="AD68" s="203">
        <v>0</v>
      </c>
      <c r="AE68" s="205">
        <v>0</v>
      </c>
      <c r="AF68" s="137"/>
      <c r="AG68" s="138"/>
      <c r="AH68" s="138"/>
      <c r="AI68" s="138"/>
      <c r="AJ68" s="138"/>
      <c r="AK68" s="138"/>
      <c r="AL68" s="138"/>
      <c r="AM68" s="138"/>
      <c r="AN68" s="138"/>
      <c r="AO68" s="138"/>
      <c r="AP68" s="138" t="str">
        <f>"  " &amp; TEXT(AE68,"#0.00%") &amp; " " &amp; "예산관리" &amp; "(박은배수석)" &amp; " " &amp; IF(P68="","",TEXT(P68,"M/D-")) &amp; IF(Q68="","",TEXT(Q68,"M/D")) &amp; " "</f>
        <v xml:space="preserve">  0.00% 예산관리(박은배수석) 3/17-3/17 </v>
      </c>
      <c r="AQ68" s="138"/>
      <c r="AR68" s="138"/>
      <c r="AS68" s="138"/>
      <c r="AT68" s="138"/>
      <c r="AU68" s="138"/>
      <c r="AV68" s="138"/>
      <c r="AW68" s="138"/>
      <c r="AX68" s="138"/>
      <c r="AY68" s="138"/>
      <c r="AZ68" s="138"/>
      <c r="BA68" s="138"/>
      <c r="BB68" s="138"/>
      <c r="BC68" s="138"/>
      <c r="BD68" s="138"/>
      <c r="BE68" s="138"/>
      <c r="BF68" s="138"/>
      <c r="BG68" s="138"/>
      <c r="BH68" s="138"/>
      <c r="BI68" s="138"/>
      <c r="BJ68" s="138"/>
      <c r="BK68" s="138"/>
      <c r="BL68" s="138"/>
      <c r="BM68" s="138"/>
      <c r="BN68" s="138"/>
      <c r="BO68" s="138"/>
      <c r="BP68" s="138"/>
      <c r="BQ68" s="138"/>
      <c r="BR68" s="138"/>
      <c r="BS68" s="138"/>
      <c r="BT68" s="138"/>
      <c r="BU68" s="138"/>
      <c r="BV68" s="138"/>
      <c r="BW68" s="138"/>
      <c r="BX68" s="138"/>
      <c r="BY68" s="138"/>
      <c r="BZ68" s="138"/>
      <c r="CA68" s="138"/>
      <c r="CB68" s="138"/>
      <c r="CC68" s="138"/>
      <c r="CD68" s="138"/>
      <c r="CE68" s="138"/>
      <c r="CF68" s="138"/>
      <c r="CG68" s="138"/>
      <c r="CH68" s="138"/>
      <c r="CI68" s="138"/>
      <c r="CJ68" s="138"/>
      <c r="CK68" s="138"/>
      <c r="CL68" s="138"/>
      <c r="CM68" s="138"/>
      <c r="CN68" s="138"/>
      <c r="CO68" s="138"/>
      <c r="CP68" s="138"/>
      <c r="CQ68" s="138"/>
      <c r="CR68" s="138"/>
      <c r="CS68" s="138"/>
    </row>
    <row r="69" spans="1:97" ht="18" customHeight="1" outlineLevel="2">
      <c r="A69" s="233"/>
      <c r="B69" s="233"/>
      <c r="C69" s="233">
        <v>3</v>
      </c>
      <c r="D69" s="234" t="s">
        <v>1754</v>
      </c>
      <c r="E69" s="235"/>
      <c r="F69" s="235"/>
      <c r="G69" s="235" t="s">
        <v>1853</v>
      </c>
      <c r="H69" s="235"/>
      <c r="I69" s="235"/>
      <c r="J69" s="235"/>
      <c r="K69" s="235"/>
      <c r="L69" s="235"/>
      <c r="M69" s="235"/>
      <c r="N69" s="235"/>
      <c r="O69" s="235"/>
      <c r="P69" s="232">
        <v>44279</v>
      </c>
      <c r="Q69" s="232">
        <v>44279</v>
      </c>
      <c r="R69" s="235"/>
      <c r="S69" s="237">
        <v>1</v>
      </c>
      <c r="T69" s="237">
        <v>0</v>
      </c>
      <c r="U69" s="237">
        <v>1</v>
      </c>
      <c r="V69" s="237">
        <v>0</v>
      </c>
      <c r="W69" s="236"/>
      <c r="X69" s="236"/>
      <c r="Y69" s="238">
        <v>0</v>
      </c>
      <c r="Z69" s="239">
        <v>0</v>
      </c>
      <c r="AA69" s="237"/>
      <c r="AB69" s="235" t="s">
        <v>1876</v>
      </c>
      <c r="AC69" s="232"/>
      <c r="AD69" s="203">
        <v>0</v>
      </c>
      <c r="AE69" s="205">
        <v>0</v>
      </c>
      <c r="AF69" s="137"/>
      <c r="AG69" s="138"/>
      <c r="AH69" s="138"/>
      <c r="AI69" s="138"/>
      <c r="AJ69" s="138"/>
      <c r="AK69" s="138"/>
      <c r="AL69" s="138"/>
      <c r="AM69" s="138"/>
      <c r="AN69" s="138"/>
      <c r="AO69" s="138"/>
      <c r="AP69" s="138"/>
      <c r="AQ69" s="138" t="str">
        <f>"  " &amp; TEXT(AE69,"#0.00%") &amp; " " &amp; "은행연동 / 지급관리" &amp; "(박은배수석)" &amp; " " &amp; IF(P69="","",TEXT(P69,"M/D-")) &amp; IF(Q69="","",TEXT(Q69,"M/D")) &amp; " "</f>
        <v xml:space="preserve">  0.00% 은행연동 / 지급관리(박은배수석) 3/24-3/24 </v>
      </c>
      <c r="AR69" s="138"/>
      <c r="AS69" s="138"/>
      <c r="AT69" s="138"/>
      <c r="AU69" s="138"/>
      <c r="AV69" s="138"/>
      <c r="AW69" s="138"/>
      <c r="AX69" s="138"/>
      <c r="AY69" s="138"/>
      <c r="AZ69" s="138"/>
      <c r="BA69" s="138"/>
      <c r="BB69" s="138"/>
      <c r="BC69" s="138"/>
      <c r="BD69" s="138"/>
      <c r="BE69" s="138"/>
      <c r="BF69" s="138"/>
      <c r="BG69" s="138"/>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8"/>
      <c r="CG69" s="138"/>
      <c r="CH69" s="138"/>
      <c r="CI69" s="138"/>
      <c r="CJ69" s="138"/>
      <c r="CK69" s="138"/>
      <c r="CL69" s="138"/>
      <c r="CM69" s="138"/>
      <c r="CN69" s="138"/>
      <c r="CO69" s="138"/>
      <c r="CP69" s="138"/>
      <c r="CQ69" s="138"/>
      <c r="CR69" s="138"/>
      <c r="CS69" s="138"/>
    </row>
    <row r="70" spans="1:97" ht="18" customHeight="1" outlineLevel="2">
      <c r="A70" s="233"/>
      <c r="B70" s="233"/>
      <c r="C70" s="233">
        <v>3</v>
      </c>
      <c r="D70" s="234" t="s">
        <v>1755</v>
      </c>
      <c r="E70" s="235"/>
      <c r="F70" s="235"/>
      <c r="G70" s="235" t="s">
        <v>1854</v>
      </c>
      <c r="H70" s="235"/>
      <c r="I70" s="235"/>
      <c r="J70" s="235"/>
      <c r="K70" s="235"/>
      <c r="L70" s="235"/>
      <c r="M70" s="235"/>
      <c r="N70" s="235" t="s">
        <v>1751</v>
      </c>
      <c r="O70" s="235"/>
      <c r="P70" s="232">
        <v>44286</v>
      </c>
      <c r="Q70" s="232">
        <v>44286</v>
      </c>
      <c r="R70" s="235"/>
      <c r="S70" s="237">
        <v>1</v>
      </c>
      <c r="T70" s="237">
        <v>0</v>
      </c>
      <c r="U70" s="237">
        <v>1</v>
      </c>
      <c r="V70" s="237">
        <v>0</v>
      </c>
      <c r="W70" s="236"/>
      <c r="X70" s="236"/>
      <c r="Y70" s="238">
        <v>0</v>
      </c>
      <c r="Z70" s="239">
        <v>0</v>
      </c>
      <c r="AA70" s="237"/>
      <c r="AB70" s="235" t="s">
        <v>1876</v>
      </c>
      <c r="AC70" s="232"/>
      <c r="AD70" s="203">
        <v>0</v>
      </c>
      <c r="AE70" s="205">
        <v>0</v>
      </c>
      <c r="AF70" s="137"/>
      <c r="AG70" s="138"/>
      <c r="AH70" s="138"/>
      <c r="AI70" s="138"/>
      <c r="AJ70" s="138"/>
      <c r="AK70" s="138"/>
      <c r="AL70" s="138"/>
      <c r="AM70" s="138"/>
      <c r="AN70" s="138"/>
      <c r="AO70" s="138"/>
      <c r="AP70" s="138"/>
      <c r="AQ70" s="138"/>
      <c r="AR70" s="138" t="str">
        <f>"  " &amp; TEXT(AE70,"#0.00%") &amp; " " &amp; "자금관리" &amp; "(박은배수석)" &amp; " " &amp; IF(P70="","",TEXT(P70,"M/D-")) &amp; IF(Q70="","",TEXT(Q70,"M/D")) &amp; " "</f>
        <v xml:space="preserve">  0.00% 자금관리(박은배수석) 3/31-3/31 </v>
      </c>
      <c r="AS70" s="138"/>
      <c r="AT70" s="138"/>
      <c r="AU70" s="138"/>
      <c r="AV70" s="138"/>
      <c r="AW70" s="138"/>
      <c r="AX70" s="138"/>
      <c r="AY70" s="138"/>
      <c r="AZ70" s="138"/>
      <c r="BA70" s="138"/>
      <c r="BB70" s="138"/>
      <c r="BC70" s="138"/>
      <c r="BD70" s="138"/>
      <c r="BE70" s="138"/>
      <c r="BF70" s="138"/>
      <c r="BG70" s="138"/>
      <c r="BH70" s="138"/>
      <c r="BI70" s="138"/>
      <c r="BJ70" s="138"/>
      <c r="BK70" s="138"/>
      <c r="BL70" s="138"/>
      <c r="BM70" s="138"/>
      <c r="BN70" s="138"/>
      <c r="BO70" s="138"/>
      <c r="BP70" s="138"/>
      <c r="BQ70" s="138"/>
      <c r="BR70" s="138"/>
      <c r="BS70" s="138"/>
      <c r="BT70" s="138"/>
      <c r="BU70" s="138"/>
      <c r="BV70" s="138"/>
      <c r="BW70" s="138"/>
      <c r="BX70" s="138"/>
      <c r="BY70" s="138"/>
      <c r="BZ70" s="138"/>
      <c r="CA70" s="138"/>
      <c r="CB70" s="138"/>
      <c r="CC70" s="138"/>
      <c r="CD70" s="138"/>
      <c r="CE70" s="138"/>
      <c r="CF70" s="138"/>
      <c r="CG70" s="138"/>
      <c r="CH70" s="138"/>
      <c r="CI70" s="138"/>
      <c r="CJ70" s="138"/>
      <c r="CK70" s="138"/>
      <c r="CL70" s="138"/>
      <c r="CM70" s="138"/>
      <c r="CN70" s="138"/>
      <c r="CO70" s="138"/>
      <c r="CP70" s="138"/>
      <c r="CQ70" s="138"/>
      <c r="CR70" s="138"/>
      <c r="CS70" s="138"/>
    </row>
    <row r="71" spans="1:97" ht="18" customHeight="1" outlineLevel="2">
      <c r="A71" s="233"/>
      <c r="B71" s="233"/>
      <c r="C71" s="233">
        <v>3</v>
      </c>
      <c r="D71" s="234" t="s">
        <v>1756</v>
      </c>
      <c r="E71" s="235"/>
      <c r="F71" s="235"/>
      <c r="G71" s="235" t="s">
        <v>1855</v>
      </c>
      <c r="H71" s="235"/>
      <c r="I71" s="235"/>
      <c r="J71" s="235"/>
      <c r="K71" s="235"/>
      <c r="L71" s="235"/>
      <c r="M71" s="235"/>
      <c r="N71" s="235"/>
      <c r="O71" s="235"/>
      <c r="P71" s="232">
        <v>44293</v>
      </c>
      <c r="Q71" s="232">
        <v>44293</v>
      </c>
      <c r="R71" s="235"/>
      <c r="S71" s="237">
        <v>1</v>
      </c>
      <c r="T71" s="237">
        <v>0</v>
      </c>
      <c r="U71" s="237">
        <v>1</v>
      </c>
      <c r="V71" s="237">
        <v>0</v>
      </c>
      <c r="W71" s="236"/>
      <c r="X71" s="236"/>
      <c r="Y71" s="238">
        <v>0</v>
      </c>
      <c r="Z71" s="239">
        <v>0</v>
      </c>
      <c r="AA71" s="237"/>
      <c r="AB71" s="235" t="s">
        <v>1876</v>
      </c>
      <c r="AC71" s="232"/>
      <c r="AD71" s="203">
        <v>0</v>
      </c>
      <c r="AE71" s="205">
        <v>0</v>
      </c>
      <c r="AF71" s="137"/>
      <c r="AG71" s="138"/>
      <c r="AH71" s="138"/>
      <c r="AI71" s="138"/>
      <c r="AJ71" s="138"/>
      <c r="AK71" s="138"/>
      <c r="AL71" s="138"/>
      <c r="AM71" s="138"/>
      <c r="AN71" s="138"/>
      <c r="AO71" s="138"/>
      <c r="AP71" s="138"/>
      <c r="AQ71" s="138"/>
      <c r="AR71" s="138"/>
      <c r="AS71" s="138" t="str">
        <f>"  " &amp; TEXT(AE71,"#0.00%") &amp; " " &amp; "세무관리" &amp; "(박은배수석)" &amp; " " &amp; IF(P71="","",TEXT(P71,"M/D-")) &amp; IF(Q71="","",TEXT(Q71,"M/D")) &amp; " "</f>
        <v xml:space="preserve">  0.00% 세무관리(박은배수석) 4/7-4/7 </v>
      </c>
      <c r="AT71" s="138"/>
      <c r="AU71" s="138"/>
      <c r="AV71" s="138"/>
      <c r="AW71" s="138"/>
      <c r="AX71" s="138"/>
      <c r="AY71" s="138"/>
      <c r="AZ71" s="138"/>
      <c r="BA71" s="138"/>
      <c r="BB71" s="138"/>
      <c r="BC71" s="138"/>
      <c r="BD71" s="138"/>
      <c r="BE71" s="138"/>
      <c r="BF71" s="138"/>
      <c r="BG71" s="138"/>
      <c r="BH71" s="138"/>
      <c r="BI71" s="138"/>
      <c r="BJ71" s="138"/>
      <c r="BK71" s="138"/>
      <c r="BL71" s="138"/>
      <c r="BM71" s="138"/>
      <c r="BN71" s="138"/>
      <c r="BO71" s="138"/>
      <c r="BP71" s="138"/>
      <c r="BQ71" s="138"/>
      <c r="BR71" s="138"/>
      <c r="BS71" s="138"/>
      <c r="BT71" s="138"/>
      <c r="BU71" s="138"/>
      <c r="BV71" s="138"/>
      <c r="BW71" s="138"/>
      <c r="BX71" s="138"/>
      <c r="BY71" s="138"/>
      <c r="BZ71" s="138"/>
      <c r="CA71" s="138"/>
      <c r="CB71" s="138"/>
      <c r="CC71" s="138"/>
      <c r="CD71" s="138"/>
      <c r="CE71" s="138"/>
      <c r="CF71" s="138"/>
      <c r="CG71" s="138"/>
      <c r="CH71" s="138"/>
      <c r="CI71" s="138"/>
      <c r="CJ71" s="138"/>
      <c r="CK71" s="138"/>
      <c r="CL71" s="138"/>
      <c r="CM71" s="138"/>
      <c r="CN71" s="138"/>
      <c r="CO71" s="138"/>
      <c r="CP71" s="138"/>
      <c r="CQ71" s="138"/>
      <c r="CR71" s="138"/>
      <c r="CS71" s="138"/>
    </row>
    <row r="72" spans="1:97" ht="18" customHeight="1" outlineLevel="2">
      <c r="A72" s="233"/>
      <c r="B72" s="233"/>
      <c r="C72" s="233">
        <v>3</v>
      </c>
      <c r="D72" s="234" t="s">
        <v>1757</v>
      </c>
      <c r="E72" s="235"/>
      <c r="F72" s="235"/>
      <c r="G72" s="235" t="s">
        <v>1856</v>
      </c>
      <c r="H72" s="235"/>
      <c r="I72" s="235"/>
      <c r="J72" s="235"/>
      <c r="K72" s="235"/>
      <c r="L72" s="235"/>
      <c r="M72" s="235"/>
      <c r="N72" s="235"/>
      <c r="O72" s="235"/>
      <c r="P72" s="232">
        <v>44300</v>
      </c>
      <c r="Q72" s="232">
        <v>44300</v>
      </c>
      <c r="R72" s="235"/>
      <c r="S72" s="237">
        <v>1</v>
      </c>
      <c r="T72" s="237">
        <v>0</v>
      </c>
      <c r="U72" s="237">
        <v>1</v>
      </c>
      <c r="V72" s="237">
        <v>0</v>
      </c>
      <c r="W72" s="236"/>
      <c r="X72" s="236"/>
      <c r="Y72" s="238">
        <v>0</v>
      </c>
      <c r="Z72" s="239">
        <v>0</v>
      </c>
      <c r="AA72" s="237"/>
      <c r="AB72" s="235" t="s">
        <v>1876</v>
      </c>
      <c r="AC72" s="232"/>
      <c r="AD72" s="203">
        <v>0</v>
      </c>
      <c r="AE72" s="205">
        <v>0</v>
      </c>
      <c r="AF72" s="137"/>
      <c r="AG72" s="138"/>
      <c r="AH72" s="138"/>
      <c r="AI72" s="138"/>
      <c r="AJ72" s="138"/>
      <c r="AK72" s="138"/>
      <c r="AL72" s="138"/>
      <c r="AM72" s="138"/>
      <c r="AN72" s="138"/>
      <c r="AO72" s="138"/>
      <c r="AP72" s="138"/>
      <c r="AQ72" s="138"/>
      <c r="AR72" s="138"/>
      <c r="AS72" s="138"/>
      <c r="AT72" s="138" t="str">
        <f>"  " &amp; TEXT(AE72,"#0.00%") &amp; " " &amp; "고정자산관리" &amp; "(박은배수석)" &amp; " " &amp; IF(P72="","",TEXT(P72,"M/D-")) &amp; IF(Q72="","",TEXT(Q72,"M/D")) &amp; " "</f>
        <v xml:space="preserve">  0.00% 고정자산관리(박은배수석) 4/14-4/14 </v>
      </c>
      <c r="AU72" s="138"/>
      <c r="AV72" s="138"/>
      <c r="AW72" s="138"/>
      <c r="AX72" s="138"/>
      <c r="AY72" s="138"/>
      <c r="AZ72" s="138"/>
      <c r="BA72" s="138"/>
      <c r="BB72" s="138"/>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8"/>
      <c r="CG72" s="138"/>
      <c r="CH72" s="138"/>
      <c r="CI72" s="138"/>
      <c r="CJ72" s="138"/>
      <c r="CK72" s="138"/>
      <c r="CL72" s="138"/>
      <c r="CM72" s="138"/>
      <c r="CN72" s="138"/>
      <c r="CO72" s="138"/>
      <c r="CP72" s="138"/>
      <c r="CQ72" s="138"/>
      <c r="CR72" s="138"/>
      <c r="CS72" s="138"/>
    </row>
    <row r="73" spans="1:97" ht="18" customHeight="1" outlineLevel="1">
      <c r="A73" s="233"/>
      <c r="B73" s="233" t="s">
        <v>1426</v>
      </c>
      <c r="C73" s="233">
        <v>2</v>
      </c>
      <c r="D73" s="234" t="s">
        <v>1693</v>
      </c>
      <c r="E73" s="235"/>
      <c r="F73" s="235" t="s">
        <v>1865</v>
      </c>
      <c r="G73" s="235"/>
      <c r="H73" s="235"/>
      <c r="I73" s="235"/>
      <c r="J73" s="235"/>
      <c r="K73" s="235"/>
      <c r="L73" s="235"/>
      <c r="M73" s="235"/>
      <c r="N73" s="235"/>
      <c r="O73" s="235"/>
      <c r="P73" s="236">
        <v>44258</v>
      </c>
      <c r="Q73" s="236">
        <v>44651</v>
      </c>
      <c r="R73" s="235"/>
      <c r="S73" s="237">
        <v>334</v>
      </c>
      <c r="T73" s="237">
        <v>0</v>
      </c>
      <c r="U73" s="237">
        <v>273</v>
      </c>
      <c r="V73" s="237">
        <v>0</v>
      </c>
      <c r="W73" s="236"/>
      <c r="X73" s="236"/>
      <c r="Y73" s="238">
        <v>0</v>
      </c>
      <c r="Z73" s="239">
        <v>0</v>
      </c>
      <c r="AA73" s="237"/>
      <c r="AB73" s="235"/>
      <c r="AC73" s="232"/>
      <c r="AD73" s="203">
        <v>0</v>
      </c>
      <c r="AE73" s="204">
        <v>0</v>
      </c>
      <c r="AF73" s="137"/>
      <c r="AG73" s="138"/>
      <c r="AH73" s="138"/>
      <c r="AI73" s="138"/>
      <c r="AJ73" s="138"/>
      <c r="AK73" s="138"/>
      <c r="AL73" s="138"/>
      <c r="AM73" s="138"/>
      <c r="AN73" s="138" t="str">
        <f>"  " &amp; TEXT(AE73,"#0.00%") &amp; " "</f>
        <v xml:space="preserve">  0.00% </v>
      </c>
      <c r="AO73" s="138"/>
      <c r="AP73" s="138"/>
      <c r="AQ73" s="138"/>
      <c r="AR73" s="138"/>
      <c r="AS73" s="138"/>
      <c r="AT73" s="138"/>
      <c r="AU73" s="138"/>
      <c r="AV73" s="138"/>
      <c r="AW73" s="138"/>
      <c r="AX73" s="138"/>
      <c r="AY73" s="138"/>
      <c r="AZ73" s="138"/>
      <c r="BA73" s="138"/>
      <c r="BB73" s="138"/>
      <c r="BC73" s="138"/>
      <c r="BD73" s="138"/>
      <c r="BE73" s="138"/>
      <c r="BF73" s="138"/>
      <c r="BG73" s="138"/>
      <c r="BH73" s="138"/>
      <c r="BI73" s="138"/>
      <c r="BJ73" s="138"/>
      <c r="BK73" s="138"/>
      <c r="BL73" s="138"/>
      <c r="BM73" s="138"/>
      <c r="BN73" s="138"/>
      <c r="BO73" s="138"/>
      <c r="BP73" s="138"/>
      <c r="BQ73" s="138"/>
      <c r="BR73" s="138"/>
      <c r="BS73" s="138"/>
      <c r="BT73" s="138"/>
      <c r="BU73" s="138"/>
      <c r="BV73" s="138"/>
      <c r="BW73" s="138"/>
      <c r="BX73" s="138"/>
      <c r="BY73" s="138"/>
      <c r="BZ73" s="138"/>
      <c r="CA73" s="138"/>
      <c r="CB73" s="138"/>
      <c r="CC73" s="138"/>
      <c r="CD73" s="138"/>
      <c r="CE73" s="138"/>
      <c r="CF73" s="138"/>
      <c r="CG73" s="138"/>
      <c r="CH73" s="138"/>
      <c r="CI73" s="138"/>
      <c r="CJ73" s="138"/>
      <c r="CK73" s="138"/>
      <c r="CL73" s="138"/>
      <c r="CM73" s="138"/>
      <c r="CN73" s="138"/>
      <c r="CO73" s="138"/>
      <c r="CP73" s="138"/>
      <c r="CQ73" s="138"/>
      <c r="CR73" s="138" t="str">
        <f>"    " &amp; "CO(Controlling, 관리회계)" &amp; " " &amp; IF(P73="","",TEXT(P73,"M/D-")) &amp; IF(Q73="","",TEXT(Q73,"M/D")) &amp; " "</f>
        <v xml:space="preserve">    CO(Controlling, 관리회계) 3/3-3/31 </v>
      </c>
      <c r="CS73" s="138"/>
    </row>
    <row r="74" spans="1:97" ht="18" customHeight="1" outlineLevel="2">
      <c r="A74" s="233"/>
      <c r="B74" s="233" t="s">
        <v>1426</v>
      </c>
      <c r="C74" s="233">
        <v>3</v>
      </c>
      <c r="D74" s="234" t="s">
        <v>1694</v>
      </c>
      <c r="E74" s="235"/>
      <c r="F74" s="235"/>
      <c r="G74" s="235" t="s">
        <v>652</v>
      </c>
      <c r="H74" s="235"/>
      <c r="I74" s="235"/>
      <c r="J74" s="235"/>
      <c r="K74" s="235"/>
      <c r="L74" s="235"/>
      <c r="M74" s="235"/>
      <c r="N74" s="235"/>
      <c r="O74" s="235"/>
      <c r="P74" s="236">
        <v>44258</v>
      </c>
      <c r="Q74" s="236">
        <v>44316</v>
      </c>
      <c r="R74" s="235"/>
      <c r="S74" s="237">
        <v>21</v>
      </c>
      <c r="T74" s="237">
        <v>0</v>
      </c>
      <c r="U74" s="237">
        <v>43</v>
      </c>
      <c r="V74" s="237">
        <v>0</v>
      </c>
      <c r="W74" s="236"/>
      <c r="X74" s="236"/>
      <c r="Y74" s="238">
        <v>0</v>
      </c>
      <c r="Z74" s="239">
        <v>0</v>
      </c>
      <c r="AA74" s="237"/>
      <c r="AB74" s="235"/>
      <c r="AC74" s="232"/>
      <c r="AD74" s="203">
        <v>0</v>
      </c>
      <c r="AE74" s="204">
        <v>0</v>
      </c>
      <c r="AF74" s="137"/>
      <c r="AG74" s="138"/>
      <c r="AH74" s="138"/>
      <c r="AI74" s="138"/>
      <c r="AJ74" s="138"/>
      <c r="AK74" s="138"/>
      <c r="AL74" s="138"/>
      <c r="AM74" s="138"/>
      <c r="AN74" s="138" t="str">
        <f>"  " &amp; TEXT(AE74,"#0.00%") &amp; " "</f>
        <v xml:space="preserve">  0.00% </v>
      </c>
      <c r="AO74" s="138"/>
      <c r="AP74" s="138"/>
      <c r="AQ74" s="138"/>
      <c r="AR74" s="138"/>
      <c r="AS74" s="138"/>
      <c r="AT74" s="138"/>
      <c r="AU74" s="138"/>
      <c r="AV74" s="138" t="str">
        <f>"     " &amp; "분석" &amp; " " &amp; IF(P74="","",TEXT(P74,"M/D-")) &amp; IF(Q74="","",TEXT(Q74,"M/D")) &amp; " "</f>
        <v xml:space="preserve">     분석 3/3-4/30 </v>
      </c>
      <c r="AW74" s="138"/>
      <c r="AX74" s="138"/>
      <c r="AY74" s="138"/>
      <c r="AZ74" s="138"/>
      <c r="BA74" s="138"/>
      <c r="BB74" s="138"/>
      <c r="BC74" s="138"/>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8"/>
      <c r="CG74" s="138"/>
      <c r="CH74" s="138"/>
      <c r="CI74" s="138"/>
      <c r="CJ74" s="138"/>
      <c r="CK74" s="138"/>
      <c r="CL74" s="138"/>
      <c r="CM74" s="138"/>
      <c r="CN74" s="138"/>
      <c r="CO74" s="138"/>
      <c r="CP74" s="138"/>
      <c r="CQ74" s="138"/>
      <c r="CR74" s="138"/>
      <c r="CS74" s="138"/>
    </row>
    <row r="75" spans="1:97" ht="18" customHeight="1" outlineLevel="3">
      <c r="A75" s="233"/>
      <c r="B75" s="233" t="s">
        <v>1426</v>
      </c>
      <c r="C75" s="233">
        <v>4</v>
      </c>
      <c r="D75" s="234" t="s">
        <v>1758</v>
      </c>
      <c r="E75" s="235"/>
      <c r="F75" s="235"/>
      <c r="G75" s="235"/>
      <c r="H75" s="235" t="s">
        <v>1759</v>
      </c>
      <c r="I75" s="235"/>
      <c r="J75" s="235"/>
      <c r="K75" s="235"/>
      <c r="L75" s="235"/>
      <c r="M75" s="235"/>
      <c r="N75" s="235"/>
      <c r="O75" s="235"/>
      <c r="P75" s="232">
        <v>44258</v>
      </c>
      <c r="Q75" s="236">
        <v>44307</v>
      </c>
      <c r="R75" s="235"/>
      <c r="S75" s="237">
        <v>8</v>
      </c>
      <c r="T75" s="237">
        <v>0</v>
      </c>
      <c r="U75" s="237">
        <v>36</v>
      </c>
      <c r="V75" s="237">
        <v>0</v>
      </c>
      <c r="W75" s="236"/>
      <c r="X75" s="236"/>
      <c r="Y75" s="238">
        <v>0</v>
      </c>
      <c r="Z75" s="239">
        <v>0</v>
      </c>
      <c r="AA75" s="237"/>
      <c r="AB75" s="235"/>
      <c r="AC75" s="232"/>
      <c r="AD75" s="203">
        <v>0</v>
      </c>
      <c r="AE75" s="204">
        <v>0</v>
      </c>
      <c r="AF75" s="137"/>
      <c r="AG75" s="138"/>
      <c r="AH75" s="138"/>
      <c r="AI75" s="138"/>
      <c r="AJ75" s="138"/>
      <c r="AK75" s="138"/>
      <c r="AL75" s="138"/>
      <c r="AM75" s="138"/>
      <c r="AN75" s="138" t="str">
        <f>"  " &amp; TEXT(AE75,"#0.00%") &amp; " "</f>
        <v xml:space="preserve">  0.00% </v>
      </c>
      <c r="AO75" s="138"/>
      <c r="AP75" s="138"/>
      <c r="AQ75" s="138"/>
      <c r="AR75" s="138"/>
      <c r="AS75" s="138"/>
      <c r="AT75" s="138"/>
      <c r="AU75" s="138" t="str">
        <f>"   " &amp; "요구사항 정의" &amp; " " &amp; IF(P75="","",TEXT(P75,"M/D-")) &amp; IF(Q75="","",TEXT(Q75,"M/D")) &amp; " "</f>
        <v xml:space="preserve">   요구사항 정의 3/3-4/21 </v>
      </c>
      <c r="AV75" s="138"/>
      <c r="AW75" s="138"/>
      <c r="AX75" s="138"/>
      <c r="AY75" s="138"/>
      <c r="AZ75" s="138"/>
      <c r="BA75" s="138"/>
      <c r="BB75" s="138"/>
      <c r="BC75" s="138"/>
      <c r="BD75" s="138"/>
      <c r="BE75" s="138"/>
      <c r="BF75" s="138"/>
      <c r="BG75" s="138"/>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c r="CD75" s="138"/>
      <c r="CE75" s="138"/>
      <c r="CF75" s="138"/>
      <c r="CG75" s="138"/>
      <c r="CH75" s="138"/>
      <c r="CI75" s="138"/>
      <c r="CJ75" s="138"/>
      <c r="CK75" s="138"/>
      <c r="CL75" s="138"/>
      <c r="CM75" s="138"/>
      <c r="CN75" s="138"/>
      <c r="CO75" s="138"/>
      <c r="CP75" s="138"/>
      <c r="CQ75" s="138"/>
      <c r="CR75" s="138"/>
      <c r="CS75" s="138"/>
    </row>
    <row r="76" spans="1:97" ht="18" customHeight="1" outlineLevel="4">
      <c r="A76" s="233"/>
      <c r="B76" s="233"/>
      <c r="C76" s="233">
        <v>5</v>
      </c>
      <c r="D76" s="234" t="s">
        <v>1760</v>
      </c>
      <c r="E76" s="235"/>
      <c r="F76" s="235"/>
      <c r="G76" s="235"/>
      <c r="H76" s="235"/>
      <c r="I76" s="235" t="s">
        <v>1761</v>
      </c>
      <c r="J76" s="235"/>
      <c r="K76" s="235"/>
      <c r="L76" s="235"/>
      <c r="M76" s="235"/>
      <c r="N76" s="235"/>
      <c r="O76" s="235"/>
      <c r="P76" s="232">
        <v>44258</v>
      </c>
      <c r="Q76" s="232">
        <v>44258</v>
      </c>
      <c r="R76" s="235"/>
      <c r="S76" s="237">
        <v>1</v>
      </c>
      <c r="T76" s="237">
        <v>0</v>
      </c>
      <c r="U76" s="237">
        <v>1</v>
      </c>
      <c r="V76" s="237">
        <v>0</v>
      </c>
      <c r="W76" s="236"/>
      <c r="X76" s="236"/>
      <c r="Y76" s="238">
        <v>0</v>
      </c>
      <c r="Z76" s="239">
        <v>0</v>
      </c>
      <c r="AA76" s="237"/>
      <c r="AB76" s="235" t="s">
        <v>1876</v>
      </c>
      <c r="AC76" s="232"/>
      <c r="AD76" s="203">
        <v>0</v>
      </c>
      <c r="AE76" s="205">
        <v>0</v>
      </c>
      <c r="AF76" s="137"/>
      <c r="AG76" s="138"/>
      <c r="AH76" s="138"/>
      <c r="AI76" s="138"/>
      <c r="AJ76" s="138"/>
      <c r="AK76" s="138"/>
      <c r="AL76" s="138"/>
      <c r="AM76" s="138"/>
      <c r="AN76" s="138" t="str">
        <f>"  " &amp; TEXT(AE76,"#0.00%") &amp; " " &amp; "계정설정" &amp; "(박은배수석)" &amp; " " &amp; IF(P76="","",TEXT(P76,"M/D-")) &amp; IF(Q76="","",TEXT(Q76,"M/D")) &amp; " "</f>
        <v xml:space="preserve">  0.00% 계정설정(박은배수석) 3/3-3/3 </v>
      </c>
      <c r="AO76" s="138"/>
      <c r="AP76" s="138"/>
      <c r="AQ76" s="138"/>
      <c r="AR76" s="138"/>
      <c r="AS76" s="138"/>
      <c r="AT76" s="138"/>
      <c r="AU76" s="138"/>
      <c r="AV76" s="138"/>
      <c r="AW76" s="138"/>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8"/>
      <c r="CG76" s="138"/>
      <c r="CH76" s="138"/>
      <c r="CI76" s="138"/>
      <c r="CJ76" s="138"/>
      <c r="CK76" s="138"/>
      <c r="CL76" s="138"/>
      <c r="CM76" s="138"/>
      <c r="CN76" s="138"/>
      <c r="CO76" s="138"/>
      <c r="CP76" s="138"/>
      <c r="CQ76" s="138"/>
      <c r="CR76" s="138"/>
      <c r="CS76" s="138"/>
    </row>
    <row r="77" spans="1:97" ht="18" customHeight="1" outlineLevel="4">
      <c r="A77" s="233"/>
      <c r="B77" s="233"/>
      <c r="C77" s="233">
        <v>5</v>
      </c>
      <c r="D77" s="234" t="s">
        <v>1762</v>
      </c>
      <c r="E77" s="235"/>
      <c r="F77" s="235"/>
      <c r="G77" s="235"/>
      <c r="H77" s="235"/>
      <c r="I77" s="235" t="s">
        <v>1857</v>
      </c>
      <c r="J77" s="235"/>
      <c r="K77" s="235"/>
      <c r="L77" s="235"/>
      <c r="M77" s="235"/>
      <c r="N77" s="235"/>
      <c r="O77" s="235"/>
      <c r="P77" s="232">
        <v>44265</v>
      </c>
      <c r="Q77" s="232">
        <v>44265</v>
      </c>
      <c r="R77" s="235"/>
      <c r="S77" s="237">
        <v>1</v>
      </c>
      <c r="T77" s="237">
        <v>0</v>
      </c>
      <c r="U77" s="237">
        <v>1</v>
      </c>
      <c r="V77" s="237">
        <v>0</v>
      </c>
      <c r="W77" s="236"/>
      <c r="X77" s="236"/>
      <c r="Y77" s="238">
        <v>0</v>
      </c>
      <c r="Z77" s="239">
        <v>0</v>
      </c>
      <c r="AA77" s="237"/>
      <c r="AB77" s="235" t="s">
        <v>1876</v>
      </c>
      <c r="AC77" s="232"/>
      <c r="AD77" s="203">
        <v>0</v>
      </c>
      <c r="AE77" s="205">
        <v>0</v>
      </c>
      <c r="AF77" s="137"/>
      <c r="AG77" s="138"/>
      <c r="AH77" s="138"/>
      <c r="AI77" s="138"/>
      <c r="AJ77" s="138"/>
      <c r="AK77" s="138"/>
      <c r="AL77" s="138"/>
      <c r="AM77" s="138"/>
      <c r="AN77" s="138"/>
      <c r="AO77" s="138" t="str">
        <f>"  " &amp; TEXT(AE77,"#0.00%") &amp; " " &amp; "전표관리/관리조정" &amp; "(박은배수석)" &amp; " " &amp; IF(P77="","",TEXT(P77,"M/D-")) &amp; IF(Q77="","",TEXT(Q77,"M/D")) &amp; " "</f>
        <v xml:space="preserve">  0.00% 전표관리/관리조정(박은배수석) 3/10-3/10 </v>
      </c>
      <c r="AP77" s="138"/>
      <c r="AQ77" s="138"/>
      <c r="AR77" s="138"/>
      <c r="AS77" s="138"/>
      <c r="AT77" s="138"/>
      <c r="AU77" s="138"/>
      <c r="AV77" s="138"/>
      <c r="AW77" s="138"/>
      <c r="AX77" s="138"/>
      <c r="AY77" s="138"/>
      <c r="AZ77" s="138"/>
      <c r="BA77" s="138"/>
      <c r="BB77" s="138"/>
      <c r="BC77" s="138"/>
      <c r="BD77" s="138"/>
      <c r="BE77" s="138"/>
      <c r="BF77" s="138"/>
      <c r="BG77" s="138"/>
      <c r="BH77" s="138"/>
      <c r="BI77" s="138"/>
      <c r="BJ77" s="138"/>
      <c r="BK77" s="138"/>
      <c r="BL77" s="138"/>
      <c r="BM77" s="138"/>
      <c r="BN77" s="138"/>
      <c r="BO77" s="138"/>
      <c r="BP77" s="138"/>
      <c r="BQ77" s="138"/>
      <c r="BR77" s="138"/>
      <c r="BS77" s="138"/>
      <c r="BT77" s="138"/>
      <c r="BU77" s="138"/>
      <c r="BV77" s="138"/>
      <c r="BW77" s="138"/>
      <c r="BX77" s="138"/>
      <c r="BY77" s="138"/>
      <c r="BZ77" s="138"/>
      <c r="CA77" s="138"/>
      <c r="CB77" s="138"/>
      <c r="CC77" s="138"/>
      <c r="CD77" s="138"/>
      <c r="CE77" s="138"/>
      <c r="CF77" s="138"/>
      <c r="CG77" s="138"/>
      <c r="CH77" s="138"/>
      <c r="CI77" s="138"/>
      <c r="CJ77" s="138"/>
      <c r="CK77" s="138"/>
      <c r="CL77" s="138"/>
      <c r="CM77" s="138"/>
      <c r="CN77" s="138"/>
      <c r="CO77" s="138"/>
      <c r="CP77" s="138"/>
      <c r="CQ77" s="138"/>
      <c r="CR77" s="138"/>
      <c r="CS77" s="138"/>
    </row>
    <row r="78" spans="1:97" ht="18" customHeight="1" outlineLevel="4">
      <c r="A78" s="233"/>
      <c r="B78" s="233"/>
      <c r="C78" s="233">
        <v>5</v>
      </c>
      <c r="D78" s="234" t="s">
        <v>1764</v>
      </c>
      <c r="E78" s="235"/>
      <c r="F78" s="235"/>
      <c r="G78" s="235"/>
      <c r="H78" s="235"/>
      <c r="I78" s="235" t="s">
        <v>1858</v>
      </c>
      <c r="J78" s="235"/>
      <c r="K78" s="235"/>
      <c r="L78" s="235"/>
      <c r="M78" s="235"/>
      <c r="N78" s="235"/>
      <c r="O78" s="235"/>
      <c r="P78" s="232">
        <v>44272</v>
      </c>
      <c r="Q78" s="232">
        <v>44272</v>
      </c>
      <c r="R78" s="235"/>
      <c r="S78" s="237">
        <v>1</v>
      </c>
      <c r="T78" s="237">
        <v>0</v>
      </c>
      <c r="U78" s="237">
        <v>1</v>
      </c>
      <c r="V78" s="237">
        <v>0</v>
      </c>
      <c r="W78" s="236"/>
      <c r="X78" s="236"/>
      <c r="Y78" s="238">
        <v>0</v>
      </c>
      <c r="Z78" s="239">
        <v>0</v>
      </c>
      <c r="AA78" s="237"/>
      <c r="AB78" s="235" t="s">
        <v>1876</v>
      </c>
      <c r="AC78" s="232"/>
      <c r="AD78" s="203">
        <v>0</v>
      </c>
      <c r="AE78" s="205">
        <v>0</v>
      </c>
      <c r="AF78" s="137"/>
      <c r="AG78" s="138"/>
      <c r="AH78" s="138"/>
      <c r="AI78" s="138"/>
      <c r="AJ78" s="138"/>
      <c r="AK78" s="138"/>
      <c r="AL78" s="138"/>
      <c r="AM78" s="138"/>
      <c r="AN78" s="138"/>
      <c r="AO78" s="138"/>
      <c r="AP78" s="138" t="str">
        <f>"  " &amp; TEXT(AE78,"#0.00%") &amp; " " &amp; "손익관리/공통비배부" &amp; "(박은배수석)" &amp; " " &amp; IF(P78="","",TEXT(P78,"M/D-")) &amp; IF(Q78="","",TEXT(Q78,"M/D")) &amp; " "</f>
        <v xml:space="preserve">  0.00% 손익관리/공통비배부(박은배수석) 3/17-3/17 </v>
      </c>
      <c r="AQ78" s="138"/>
      <c r="AR78" s="138"/>
      <c r="AS78" s="138"/>
      <c r="AT78" s="138"/>
      <c r="AU78" s="138"/>
      <c r="AV78" s="138"/>
      <c r="AW78" s="138"/>
      <c r="AX78" s="138"/>
      <c r="AY78" s="138"/>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c r="CF78" s="138"/>
      <c r="CG78" s="138"/>
      <c r="CH78" s="138"/>
      <c r="CI78" s="138"/>
      <c r="CJ78" s="138"/>
      <c r="CK78" s="138"/>
      <c r="CL78" s="138"/>
      <c r="CM78" s="138"/>
      <c r="CN78" s="138"/>
      <c r="CO78" s="138"/>
      <c r="CP78" s="138"/>
      <c r="CQ78" s="138"/>
      <c r="CR78" s="138"/>
      <c r="CS78" s="138"/>
    </row>
    <row r="79" spans="1:97" ht="18" customHeight="1" outlineLevel="4">
      <c r="A79" s="233"/>
      <c r="B79" s="233"/>
      <c r="C79" s="233">
        <v>5</v>
      </c>
      <c r="D79" s="234" t="s">
        <v>1765</v>
      </c>
      <c r="E79" s="235"/>
      <c r="F79" s="235"/>
      <c r="G79" s="235"/>
      <c r="H79" s="235"/>
      <c r="I79" s="235" t="s">
        <v>1763</v>
      </c>
      <c r="J79" s="235"/>
      <c r="K79" s="235"/>
      <c r="L79" s="235"/>
      <c r="M79" s="235"/>
      <c r="N79" s="235"/>
      <c r="O79" s="235"/>
      <c r="P79" s="232">
        <v>44279</v>
      </c>
      <c r="Q79" s="232">
        <v>44279</v>
      </c>
      <c r="R79" s="235"/>
      <c r="S79" s="237">
        <v>1</v>
      </c>
      <c r="T79" s="237">
        <v>0</v>
      </c>
      <c r="U79" s="237">
        <v>1</v>
      </c>
      <c r="V79" s="237">
        <v>0</v>
      </c>
      <c r="W79" s="236"/>
      <c r="X79" s="236"/>
      <c r="Y79" s="238">
        <v>0</v>
      </c>
      <c r="Z79" s="239">
        <v>0</v>
      </c>
      <c r="AA79" s="237"/>
      <c r="AB79" s="235" t="s">
        <v>1876</v>
      </c>
      <c r="AC79" s="232"/>
      <c r="AD79" s="203">
        <v>0</v>
      </c>
      <c r="AE79" s="205">
        <v>0</v>
      </c>
      <c r="AF79" s="137"/>
      <c r="AG79" s="138"/>
      <c r="AH79" s="138"/>
      <c r="AI79" s="138"/>
      <c r="AJ79" s="138"/>
      <c r="AK79" s="138"/>
      <c r="AL79" s="138"/>
      <c r="AM79" s="138"/>
      <c r="AN79" s="138"/>
      <c r="AO79" s="138"/>
      <c r="AP79" s="138"/>
      <c r="AQ79" s="138" t="str">
        <f>"  " &amp; TEXT(AE79,"#0.00%") &amp; " " &amp; "예산관리" &amp; "(박은배수석)" &amp; " " &amp; IF(P79="","",TEXT(P79,"M/D-")) &amp; IF(Q79="","",TEXT(Q79,"M/D")) &amp; " "</f>
        <v xml:space="preserve">  0.00% 예산관리(박은배수석) 3/24-3/24 </v>
      </c>
      <c r="AR79" s="138"/>
      <c r="AS79" s="138"/>
      <c r="AT79" s="138"/>
      <c r="AU79" s="138"/>
      <c r="AV79" s="138"/>
      <c r="AW79" s="138"/>
      <c r="AX79" s="138"/>
      <c r="AY79" s="138"/>
      <c r="AZ79" s="138"/>
      <c r="BA79" s="138"/>
      <c r="BB79" s="138"/>
      <c r="BC79" s="138"/>
      <c r="BD79" s="138"/>
      <c r="BE79" s="138"/>
      <c r="BF79" s="138"/>
      <c r="BG79" s="138"/>
      <c r="BH79" s="138"/>
      <c r="BI79" s="138"/>
      <c r="BJ79" s="138"/>
      <c r="BK79" s="138"/>
      <c r="BL79" s="138"/>
      <c r="BM79" s="138"/>
      <c r="BN79" s="138"/>
      <c r="BO79" s="138"/>
      <c r="BP79" s="138"/>
      <c r="BQ79" s="138"/>
      <c r="BR79" s="138"/>
      <c r="BS79" s="138"/>
      <c r="BT79" s="138"/>
      <c r="BU79" s="138"/>
      <c r="BV79" s="138"/>
      <c r="BW79" s="138"/>
      <c r="BX79" s="138"/>
      <c r="BY79" s="138"/>
      <c r="BZ79" s="138"/>
      <c r="CA79" s="138"/>
      <c r="CB79" s="138"/>
      <c r="CC79" s="138"/>
      <c r="CD79" s="138"/>
      <c r="CE79" s="138"/>
      <c r="CF79" s="138"/>
      <c r="CG79" s="138"/>
      <c r="CH79" s="138"/>
      <c r="CI79" s="138"/>
      <c r="CJ79" s="138"/>
      <c r="CK79" s="138"/>
      <c r="CL79" s="138"/>
      <c r="CM79" s="138"/>
      <c r="CN79" s="138"/>
      <c r="CO79" s="138"/>
      <c r="CP79" s="138"/>
      <c r="CQ79" s="138"/>
      <c r="CR79" s="138"/>
      <c r="CS79" s="138"/>
    </row>
    <row r="80" spans="1:97" ht="18" customHeight="1" outlineLevel="4">
      <c r="A80" s="233"/>
      <c r="B80" s="233"/>
      <c r="C80" s="233">
        <v>5</v>
      </c>
      <c r="D80" s="234" t="s">
        <v>1766</v>
      </c>
      <c r="E80" s="235"/>
      <c r="F80" s="235"/>
      <c r="G80" s="235"/>
      <c r="H80" s="235"/>
      <c r="I80" s="235" t="s">
        <v>1859</v>
      </c>
      <c r="J80" s="235"/>
      <c r="K80" s="235"/>
      <c r="L80" s="235"/>
      <c r="M80" s="235"/>
      <c r="N80" s="235"/>
      <c r="O80" s="235"/>
      <c r="P80" s="232">
        <v>44286</v>
      </c>
      <c r="Q80" s="232">
        <v>44286</v>
      </c>
      <c r="R80" s="235"/>
      <c r="S80" s="237">
        <v>1</v>
      </c>
      <c r="T80" s="237">
        <v>0</v>
      </c>
      <c r="U80" s="237">
        <v>1</v>
      </c>
      <c r="V80" s="237">
        <v>0</v>
      </c>
      <c r="W80" s="236"/>
      <c r="X80" s="236"/>
      <c r="Y80" s="238">
        <v>0</v>
      </c>
      <c r="Z80" s="239">
        <v>0</v>
      </c>
      <c r="AA80" s="237"/>
      <c r="AB80" s="235" t="s">
        <v>1876</v>
      </c>
      <c r="AC80" s="232"/>
      <c r="AD80" s="203">
        <v>0</v>
      </c>
      <c r="AE80" s="205">
        <v>0</v>
      </c>
      <c r="AF80" s="137"/>
      <c r="AG80" s="138"/>
      <c r="AH80" s="138"/>
      <c r="AI80" s="138"/>
      <c r="AJ80" s="138"/>
      <c r="AK80" s="138"/>
      <c r="AL80" s="138"/>
      <c r="AM80" s="138"/>
      <c r="AN80" s="138"/>
      <c r="AO80" s="138"/>
      <c r="AP80" s="138"/>
      <c r="AQ80" s="138"/>
      <c r="AR80" s="138" t="str">
        <f>"  " &amp; TEXT(AE80,"#0.00%") &amp; " " &amp; "지출 및 지불관리" &amp; "(박은배수석)" &amp; " " &amp; IF(P80="","",TEXT(P80,"M/D-")) &amp; IF(Q80="","",TEXT(Q80,"M/D")) &amp; " "</f>
        <v xml:space="preserve">  0.00% 지출 및 지불관리(박은배수석) 3/31-3/31 </v>
      </c>
      <c r="AS80" s="138"/>
      <c r="AT80" s="138"/>
      <c r="AU80" s="138"/>
      <c r="AV80" s="138"/>
      <c r="AW80" s="138"/>
      <c r="AX80" s="138"/>
      <c r="AY80" s="138"/>
      <c r="AZ80" s="138"/>
      <c r="BA80" s="138"/>
      <c r="BB80" s="138"/>
      <c r="BC80" s="138"/>
      <c r="BD80" s="138"/>
      <c r="BE80" s="138"/>
      <c r="BF80" s="138"/>
      <c r="BG80" s="138"/>
      <c r="BH80" s="138"/>
      <c r="BI80" s="138"/>
      <c r="BJ80" s="138"/>
      <c r="BK80" s="138"/>
      <c r="BL80" s="138"/>
      <c r="BM80" s="138"/>
      <c r="BN80" s="138"/>
      <c r="BO80" s="138"/>
      <c r="BP80" s="138"/>
      <c r="BQ80" s="138"/>
      <c r="BR80" s="138"/>
      <c r="BS80" s="138"/>
      <c r="BT80" s="138"/>
      <c r="BU80" s="138"/>
      <c r="BV80" s="138"/>
      <c r="BW80" s="138"/>
      <c r="BX80" s="138"/>
      <c r="BY80" s="138"/>
      <c r="BZ80" s="138"/>
      <c r="CA80" s="138"/>
      <c r="CB80" s="138"/>
      <c r="CC80" s="138"/>
      <c r="CD80" s="138"/>
      <c r="CE80" s="138"/>
      <c r="CF80" s="138"/>
      <c r="CG80" s="138"/>
      <c r="CH80" s="138"/>
      <c r="CI80" s="138"/>
      <c r="CJ80" s="138"/>
      <c r="CK80" s="138"/>
      <c r="CL80" s="138"/>
      <c r="CM80" s="138"/>
      <c r="CN80" s="138"/>
      <c r="CO80" s="138"/>
      <c r="CP80" s="138"/>
      <c r="CQ80" s="138"/>
      <c r="CR80" s="138"/>
      <c r="CS80" s="138"/>
    </row>
    <row r="81" spans="1:97" ht="18" customHeight="1" outlineLevel="4">
      <c r="A81" s="233"/>
      <c r="B81" s="233"/>
      <c r="C81" s="233">
        <v>5</v>
      </c>
      <c r="D81" s="234" t="s">
        <v>1767</v>
      </c>
      <c r="E81" s="235"/>
      <c r="F81" s="235"/>
      <c r="G81" s="235"/>
      <c r="H81" s="235"/>
      <c r="I81" s="235" t="s">
        <v>1860</v>
      </c>
      <c r="J81" s="235"/>
      <c r="K81" s="235"/>
      <c r="L81" s="235"/>
      <c r="M81" s="235"/>
      <c r="N81" s="235"/>
      <c r="O81" s="235"/>
      <c r="P81" s="232">
        <v>44293</v>
      </c>
      <c r="Q81" s="232">
        <v>44293</v>
      </c>
      <c r="R81" s="235"/>
      <c r="S81" s="237">
        <v>1</v>
      </c>
      <c r="T81" s="237">
        <v>0</v>
      </c>
      <c r="U81" s="237">
        <v>1</v>
      </c>
      <c r="V81" s="237">
        <v>0</v>
      </c>
      <c r="W81" s="236"/>
      <c r="X81" s="236"/>
      <c r="Y81" s="238">
        <v>0</v>
      </c>
      <c r="Z81" s="239">
        <v>0</v>
      </c>
      <c r="AA81" s="237"/>
      <c r="AB81" s="235" t="s">
        <v>1876</v>
      </c>
      <c r="AC81" s="232"/>
      <c r="AD81" s="203">
        <v>0</v>
      </c>
      <c r="AE81" s="205">
        <v>0</v>
      </c>
      <c r="AF81" s="137"/>
      <c r="AG81" s="138"/>
      <c r="AH81" s="138"/>
      <c r="AI81" s="138"/>
      <c r="AJ81" s="138"/>
      <c r="AK81" s="138"/>
      <c r="AL81" s="138"/>
      <c r="AM81" s="138"/>
      <c r="AN81" s="138"/>
      <c r="AO81" s="138"/>
      <c r="AP81" s="138"/>
      <c r="AQ81" s="138"/>
      <c r="AR81" s="138"/>
      <c r="AS81" s="138" t="str">
        <f>"  " &amp; TEXT(AE81,"#0.00%") &amp; " " &amp; "자금운용관리/금융상품관리" &amp; "(박은배수석)" &amp; " " &amp; IF(P81="","",TEXT(P81,"M/D-")) &amp; IF(Q81="","",TEXT(Q81,"M/D")) &amp; " "</f>
        <v xml:space="preserve">  0.00% 자금운용관리/금융상품관리(박은배수석) 4/7-4/7 </v>
      </c>
      <c r="AT81" s="138"/>
      <c r="AU81" s="138"/>
      <c r="AV81" s="138"/>
      <c r="AW81" s="138"/>
      <c r="AX81" s="138"/>
      <c r="AY81" s="138"/>
      <c r="AZ81" s="138"/>
      <c r="BA81" s="138"/>
      <c r="BB81" s="138"/>
      <c r="BC81" s="138"/>
      <c r="BD81" s="138"/>
      <c r="BE81" s="138"/>
      <c r="BF81" s="138"/>
      <c r="BG81" s="138"/>
      <c r="BH81" s="138"/>
      <c r="BI81" s="138"/>
      <c r="BJ81" s="138"/>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8"/>
      <c r="CG81" s="138"/>
      <c r="CH81" s="138"/>
      <c r="CI81" s="138"/>
      <c r="CJ81" s="138"/>
      <c r="CK81" s="138"/>
      <c r="CL81" s="138"/>
      <c r="CM81" s="138"/>
      <c r="CN81" s="138"/>
      <c r="CO81" s="138"/>
      <c r="CP81" s="138"/>
      <c r="CQ81" s="138"/>
      <c r="CR81" s="138"/>
      <c r="CS81" s="138"/>
    </row>
    <row r="82" spans="1:97" ht="18" customHeight="1" outlineLevel="4">
      <c r="A82" s="233"/>
      <c r="B82" s="233"/>
      <c r="C82" s="233">
        <v>5</v>
      </c>
      <c r="D82" s="234" t="s">
        <v>1768</v>
      </c>
      <c r="E82" s="235"/>
      <c r="F82" s="235"/>
      <c r="G82" s="235"/>
      <c r="H82" s="235"/>
      <c r="I82" s="235" t="s">
        <v>1770</v>
      </c>
      <c r="J82" s="235"/>
      <c r="K82" s="235"/>
      <c r="L82" s="235"/>
      <c r="M82" s="235"/>
      <c r="N82" s="235"/>
      <c r="O82" s="235"/>
      <c r="P82" s="232">
        <v>44300</v>
      </c>
      <c r="Q82" s="232">
        <v>44300</v>
      </c>
      <c r="R82" s="235"/>
      <c r="S82" s="237">
        <v>1</v>
      </c>
      <c r="T82" s="237">
        <v>0</v>
      </c>
      <c r="U82" s="237">
        <v>1</v>
      </c>
      <c r="V82" s="237">
        <v>0</v>
      </c>
      <c r="W82" s="236"/>
      <c r="X82" s="236"/>
      <c r="Y82" s="238">
        <v>0</v>
      </c>
      <c r="Z82" s="239">
        <v>0</v>
      </c>
      <c r="AA82" s="237"/>
      <c r="AB82" s="235" t="s">
        <v>1876</v>
      </c>
      <c r="AC82" s="232"/>
      <c r="AD82" s="203">
        <v>0</v>
      </c>
      <c r="AE82" s="205">
        <v>0</v>
      </c>
      <c r="AF82" s="137"/>
      <c r="AG82" s="138"/>
      <c r="AH82" s="138"/>
      <c r="AI82" s="138"/>
      <c r="AJ82" s="138"/>
      <c r="AK82" s="138"/>
      <c r="AL82" s="138"/>
      <c r="AM82" s="138"/>
      <c r="AN82" s="138"/>
      <c r="AO82" s="138"/>
      <c r="AP82" s="138"/>
      <c r="AQ82" s="138"/>
      <c r="AR82" s="138"/>
      <c r="AS82" s="138"/>
      <c r="AT82" s="138" t="str">
        <f>"  " &amp; TEXT(AE82,"#0.00%") &amp; " " &amp; "부가세관리" &amp; "(박은배수석)" &amp; " " &amp; IF(P82="","",TEXT(P82,"M/D-")) &amp; IF(Q82="","",TEXT(Q82,"M/D")) &amp; " "</f>
        <v xml:space="preserve">  0.00% 부가세관리(박은배수석) 4/14-4/14 </v>
      </c>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c r="CD82" s="138"/>
      <c r="CE82" s="138"/>
      <c r="CF82" s="138"/>
      <c r="CG82" s="138"/>
      <c r="CH82" s="138"/>
      <c r="CI82" s="138"/>
      <c r="CJ82" s="138"/>
      <c r="CK82" s="138"/>
      <c r="CL82" s="138"/>
      <c r="CM82" s="138"/>
      <c r="CN82" s="138"/>
      <c r="CO82" s="138"/>
      <c r="CP82" s="138"/>
      <c r="CQ82" s="138"/>
      <c r="CR82" s="138"/>
      <c r="CS82" s="138"/>
    </row>
    <row r="83" spans="1:97" ht="18" customHeight="1" outlineLevel="4">
      <c r="A83" s="233"/>
      <c r="B83" s="233"/>
      <c r="C83" s="233">
        <v>5</v>
      </c>
      <c r="D83" s="234" t="s">
        <v>1769</v>
      </c>
      <c r="E83" s="235"/>
      <c r="F83" s="235"/>
      <c r="G83" s="235"/>
      <c r="H83" s="235"/>
      <c r="I83" s="235" t="s">
        <v>1861</v>
      </c>
      <c r="J83" s="235"/>
      <c r="K83" s="235"/>
      <c r="L83" s="235"/>
      <c r="M83" s="235"/>
      <c r="N83" s="235"/>
      <c r="O83" s="235"/>
      <c r="P83" s="232">
        <v>44307</v>
      </c>
      <c r="Q83" s="232">
        <v>44307</v>
      </c>
      <c r="R83" s="235"/>
      <c r="S83" s="237">
        <v>1</v>
      </c>
      <c r="T83" s="237">
        <v>0</v>
      </c>
      <c r="U83" s="237">
        <v>1</v>
      </c>
      <c r="V83" s="237">
        <v>0</v>
      </c>
      <c r="W83" s="236"/>
      <c r="X83" s="236"/>
      <c r="Y83" s="238">
        <v>0</v>
      </c>
      <c r="Z83" s="239">
        <v>0</v>
      </c>
      <c r="AA83" s="237"/>
      <c r="AB83" s="235" t="s">
        <v>1876</v>
      </c>
      <c r="AC83" s="232"/>
      <c r="AD83" s="203">
        <v>0</v>
      </c>
      <c r="AE83" s="205">
        <v>0</v>
      </c>
      <c r="AF83" s="137"/>
      <c r="AG83" s="138"/>
      <c r="AH83" s="138"/>
      <c r="AI83" s="138"/>
      <c r="AJ83" s="138"/>
      <c r="AK83" s="138"/>
      <c r="AL83" s="138"/>
      <c r="AM83" s="138"/>
      <c r="AN83" s="138"/>
      <c r="AO83" s="138"/>
      <c r="AP83" s="138"/>
      <c r="AQ83" s="138"/>
      <c r="AR83" s="138"/>
      <c r="AS83" s="138"/>
      <c r="AT83" s="138"/>
      <c r="AU83" s="138" t="str">
        <f>"  " &amp; TEXT(AE83,"#0.00%") &amp; " " &amp; "고정자산관리/각종조회" &amp; "(박은배수석)" &amp; " " &amp; IF(P83="","",TEXT(P83,"M/D-")) &amp; IF(Q83="","",TEXT(Q83,"M/D")) &amp; " "</f>
        <v xml:space="preserve">  0.00% 고정자산관리/각종조회(박은배수석) 4/21-4/21 </v>
      </c>
      <c r="AV83" s="138"/>
      <c r="AW83" s="138"/>
      <c r="AX83" s="138"/>
      <c r="AY83" s="138"/>
      <c r="AZ83" s="138"/>
      <c r="BA83" s="138"/>
      <c r="BB83" s="138"/>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c r="CE83" s="138"/>
      <c r="CF83" s="138"/>
      <c r="CG83" s="138"/>
      <c r="CH83" s="138"/>
      <c r="CI83" s="138"/>
      <c r="CJ83" s="138"/>
      <c r="CK83" s="138"/>
      <c r="CL83" s="138"/>
      <c r="CM83" s="138"/>
      <c r="CN83" s="138"/>
      <c r="CO83" s="138"/>
      <c r="CP83" s="138"/>
      <c r="CQ83" s="138"/>
      <c r="CR83" s="138"/>
      <c r="CS83" s="138"/>
    </row>
    <row r="84" spans="1:97" ht="18" customHeight="1" outlineLevel="3">
      <c r="A84" s="233"/>
      <c r="B84" s="233" t="s">
        <v>1426</v>
      </c>
      <c r="C84" s="233">
        <v>4</v>
      </c>
      <c r="D84" s="234" t="s">
        <v>1771</v>
      </c>
      <c r="E84" s="235"/>
      <c r="F84" s="235"/>
      <c r="G84" s="235"/>
      <c r="H84" s="240" t="s">
        <v>1772</v>
      </c>
      <c r="I84" s="240"/>
      <c r="J84" s="235"/>
      <c r="K84" s="235"/>
      <c r="L84" s="235"/>
      <c r="M84" s="235"/>
      <c r="N84" s="235"/>
      <c r="O84" s="235"/>
      <c r="P84" s="236">
        <v>44312</v>
      </c>
      <c r="Q84" s="236">
        <v>44316</v>
      </c>
      <c r="R84" s="235"/>
      <c r="S84" s="237">
        <v>10</v>
      </c>
      <c r="T84" s="237">
        <v>0</v>
      </c>
      <c r="U84" s="237">
        <v>5</v>
      </c>
      <c r="V84" s="237">
        <v>0</v>
      </c>
      <c r="W84" s="236"/>
      <c r="X84" s="236"/>
      <c r="Y84" s="238">
        <v>0</v>
      </c>
      <c r="Z84" s="239">
        <v>0</v>
      </c>
      <c r="AA84" s="237"/>
      <c r="AB84" s="235"/>
      <c r="AC84" s="232"/>
      <c r="AD84" s="203">
        <v>0</v>
      </c>
      <c r="AE84" s="204">
        <v>0</v>
      </c>
      <c r="AF84" s="137"/>
      <c r="AG84" s="138"/>
      <c r="AH84" s="138"/>
      <c r="AI84" s="138"/>
      <c r="AJ84" s="138"/>
      <c r="AK84" s="138"/>
      <c r="AL84" s="138"/>
      <c r="AM84" s="138"/>
      <c r="AN84" s="138"/>
      <c r="AO84" s="138"/>
      <c r="AP84" s="138"/>
      <c r="AQ84" s="138"/>
      <c r="AR84" s="138"/>
      <c r="AS84" s="138"/>
      <c r="AT84" s="138"/>
      <c r="AU84" s="138"/>
      <c r="AV84" s="138" t="str">
        <f>"" &amp; TEXT(AE84,"#0.00%") &amp; " " &amp; "GAP분석 및 개발계획 수립" &amp; " " &amp; IF(P84="","",TEXT(P84,"M/D-")) &amp; IF(Q84="","",TEXT(Q84,"M/D")) &amp; " "</f>
        <v xml:space="preserve">0.00% GAP분석 및 개발계획 수립 4/26-4/30 </v>
      </c>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c r="CD84" s="138"/>
      <c r="CE84" s="138"/>
      <c r="CF84" s="138"/>
      <c r="CG84" s="138"/>
      <c r="CH84" s="138"/>
      <c r="CI84" s="138"/>
      <c r="CJ84" s="138"/>
      <c r="CK84" s="138"/>
      <c r="CL84" s="138"/>
      <c r="CM84" s="138"/>
      <c r="CN84" s="138"/>
      <c r="CO84" s="138"/>
      <c r="CP84" s="138"/>
      <c r="CQ84" s="138"/>
      <c r="CR84" s="138"/>
      <c r="CS84" s="138"/>
    </row>
    <row r="85" spans="1:97" ht="18" customHeight="1" outlineLevel="4">
      <c r="A85" s="233"/>
      <c r="B85" s="233"/>
      <c r="C85" s="233">
        <v>5</v>
      </c>
      <c r="D85" s="234" t="s">
        <v>1773</v>
      </c>
      <c r="E85" s="235"/>
      <c r="F85" s="235"/>
      <c r="G85" s="235"/>
      <c r="H85" s="235"/>
      <c r="I85" s="240" t="s">
        <v>1774</v>
      </c>
      <c r="J85" s="235"/>
      <c r="K85" s="235"/>
      <c r="L85" s="235"/>
      <c r="M85" s="235"/>
      <c r="N85" s="235"/>
      <c r="O85" s="235"/>
      <c r="P85" s="232">
        <v>44312</v>
      </c>
      <c r="Q85" s="232">
        <v>44316</v>
      </c>
      <c r="R85" s="235"/>
      <c r="S85" s="237">
        <v>5</v>
      </c>
      <c r="T85" s="237">
        <v>0</v>
      </c>
      <c r="U85" s="237">
        <v>5</v>
      </c>
      <c r="V85" s="237">
        <v>0</v>
      </c>
      <c r="W85" s="236"/>
      <c r="X85" s="236"/>
      <c r="Y85" s="238">
        <v>0</v>
      </c>
      <c r="Z85" s="239">
        <v>0</v>
      </c>
      <c r="AA85" s="237"/>
      <c r="AB85" s="235"/>
      <c r="AC85" s="232"/>
      <c r="AD85" s="203">
        <v>0</v>
      </c>
      <c r="AE85" s="205">
        <v>0</v>
      </c>
      <c r="AF85" s="137"/>
      <c r="AG85" s="138"/>
      <c r="AH85" s="138"/>
      <c r="AI85" s="138"/>
      <c r="AJ85" s="138"/>
      <c r="AK85" s="138"/>
      <c r="AL85" s="138"/>
      <c r="AM85" s="138"/>
      <c r="AN85" s="138"/>
      <c r="AO85" s="138"/>
      <c r="AP85" s="138"/>
      <c r="AQ85" s="138"/>
      <c r="AR85" s="138"/>
      <c r="AS85" s="138"/>
      <c r="AT85" s="138"/>
      <c r="AU85" s="138"/>
      <c r="AV85" s="138" t="str">
        <f>"" &amp; TEXT(AE85,"#0.00%") &amp; " " &amp; "GAP분석 수행 및 해결방안 정의" &amp; " " &amp; IF(P85="","",TEXT(P85,"M/D-")) &amp; IF(Q85="","",TEXT(Q85,"M/D")) &amp; " "</f>
        <v xml:space="preserve">0.00% GAP분석 수행 및 해결방안 정의 4/26-4/30 </v>
      </c>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c r="CB85" s="138"/>
      <c r="CC85" s="138"/>
      <c r="CD85" s="138"/>
      <c r="CE85" s="138"/>
      <c r="CF85" s="138"/>
      <c r="CG85" s="138"/>
      <c r="CH85" s="138"/>
      <c r="CI85" s="138"/>
      <c r="CJ85" s="138"/>
      <c r="CK85" s="138"/>
      <c r="CL85" s="138"/>
      <c r="CM85" s="138"/>
      <c r="CN85" s="138"/>
      <c r="CO85" s="138"/>
      <c r="CP85" s="138"/>
      <c r="CQ85" s="138"/>
      <c r="CR85" s="138"/>
      <c r="CS85" s="138"/>
    </row>
    <row r="86" spans="1:97" ht="18" customHeight="1" outlineLevel="4">
      <c r="A86" s="233"/>
      <c r="B86" s="233"/>
      <c r="C86" s="233">
        <v>5</v>
      </c>
      <c r="D86" s="234" t="s">
        <v>1775</v>
      </c>
      <c r="E86" s="235"/>
      <c r="F86" s="235"/>
      <c r="G86" s="235"/>
      <c r="H86" s="235"/>
      <c r="I86" s="240" t="s">
        <v>1776</v>
      </c>
      <c r="J86" s="235"/>
      <c r="K86" s="235"/>
      <c r="L86" s="235"/>
      <c r="M86" s="235"/>
      <c r="N86" s="235"/>
      <c r="O86" s="235"/>
      <c r="P86" s="232">
        <v>44312</v>
      </c>
      <c r="Q86" s="232">
        <v>44316</v>
      </c>
      <c r="R86" s="235"/>
      <c r="S86" s="237">
        <v>5</v>
      </c>
      <c r="T86" s="237">
        <v>0</v>
      </c>
      <c r="U86" s="237">
        <v>5</v>
      </c>
      <c r="V86" s="237">
        <v>0</v>
      </c>
      <c r="W86" s="236"/>
      <c r="X86" s="236"/>
      <c r="Y86" s="238">
        <v>0</v>
      </c>
      <c r="Z86" s="239">
        <v>0</v>
      </c>
      <c r="AA86" s="237"/>
      <c r="AB86" s="235"/>
      <c r="AC86" s="232"/>
      <c r="AD86" s="203">
        <v>0</v>
      </c>
      <c r="AE86" s="205">
        <v>0</v>
      </c>
      <c r="AF86" s="137"/>
      <c r="AG86" s="138"/>
      <c r="AH86" s="138"/>
      <c r="AI86" s="138"/>
      <c r="AJ86" s="138"/>
      <c r="AK86" s="138"/>
      <c r="AL86" s="138"/>
      <c r="AM86" s="138"/>
      <c r="AN86" s="138"/>
      <c r="AO86" s="138"/>
      <c r="AP86" s="138"/>
      <c r="AQ86" s="138"/>
      <c r="AR86" s="138"/>
      <c r="AS86" s="138"/>
      <c r="AT86" s="138"/>
      <c r="AU86" s="138"/>
      <c r="AV86" s="138" t="str">
        <f>"" &amp; TEXT(AE86,"#0.00%") &amp; " " &amp; "개발계획 수립" &amp; " " &amp; IF(P86="","",TEXT(P86,"M/D-")) &amp; IF(Q86="","",TEXT(Q86,"M/D")) &amp; " "</f>
        <v xml:space="preserve">0.00% 개발계획 수립 4/26-4/30 </v>
      </c>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8"/>
      <c r="CG86" s="138"/>
      <c r="CH86" s="138"/>
      <c r="CI86" s="138"/>
      <c r="CJ86" s="138"/>
      <c r="CK86" s="138"/>
      <c r="CL86" s="138"/>
      <c r="CM86" s="138"/>
      <c r="CN86" s="138"/>
      <c r="CO86" s="138"/>
      <c r="CP86" s="138"/>
      <c r="CQ86" s="138"/>
      <c r="CR86" s="138"/>
      <c r="CS86" s="138"/>
    </row>
    <row r="87" spans="1:97" ht="18" customHeight="1" outlineLevel="3">
      <c r="A87" s="233"/>
      <c r="B87" s="233" t="s">
        <v>1426</v>
      </c>
      <c r="C87" s="233">
        <v>4</v>
      </c>
      <c r="D87" s="234" t="s">
        <v>1777</v>
      </c>
      <c r="E87" s="235"/>
      <c r="F87" s="235"/>
      <c r="G87" s="235"/>
      <c r="H87" s="240" t="s">
        <v>1778</v>
      </c>
      <c r="I87" s="240"/>
      <c r="J87" s="235"/>
      <c r="K87" s="235"/>
      <c r="L87" s="235"/>
      <c r="M87" s="235"/>
      <c r="N87" s="235"/>
      <c r="O87" s="235"/>
      <c r="P87" s="236">
        <v>44291</v>
      </c>
      <c r="Q87" s="236">
        <v>44293</v>
      </c>
      <c r="R87" s="235"/>
      <c r="S87" s="237">
        <v>3</v>
      </c>
      <c r="T87" s="237">
        <v>0</v>
      </c>
      <c r="U87" s="237">
        <v>3</v>
      </c>
      <c r="V87" s="237">
        <v>0</v>
      </c>
      <c r="W87" s="236"/>
      <c r="X87" s="236"/>
      <c r="Y87" s="238">
        <v>0</v>
      </c>
      <c r="Z87" s="239">
        <v>0</v>
      </c>
      <c r="AA87" s="237"/>
      <c r="AB87" s="235"/>
      <c r="AC87" s="232"/>
      <c r="AD87" s="203">
        <v>0</v>
      </c>
      <c r="AE87" s="204">
        <v>0</v>
      </c>
      <c r="AF87" s="137"/>
      <c r="AG87" s="138"/>
      <c r="AH87" s="138"/>
      <c r="AI87" s="138"/>
      <c r="AJ87" s="138"/>
      <c r="AK87" s="138"/>
      <c r="AL87" s="138"/>
      <c r="AM87" s="138"/>
      <c r="AN87" s="138"/>
      <c r="AO87" s="138"/>
      <c r="AP87" s="138"/>
      <c r="AQ87" s="138"/>
      <c r="AR87" s="138"/>
      <c r="AS87" s="138" t="str">
        <f>"" &amp; TEXT(AE87,"#0.00%") &amp; " " &amp; "To-be Process 설계" &amp; " " &amp; IF(P87="","",TEXT(P87,"M/D-")) &amp; IF(Q87="","",TEXT(Q87,"M/D")) &amp; " "</f>
        <v xml:space="preserve">0.00% To-be Process 설계 4/5-4/7 </v>
      </c>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c r="CF87" s="138"/>
      <c r="CG87" s="138"/>
      <c r="CH87" s="138"/>
      <c r="CI87" s="138"/>
      <c r="CJ87" s="138"/>
      <c r="CK87" s="138"/>
      <c r="CL87" s="138"/>
      <c r="CM87" s="138"/>
      <c r="CN87" s="138"/>
      <c r="CO87" s="138"/>
      <c r="CP87" s="138"/>
      <c r="CQ87" s="138"/>
      <c r="CR87" s="138"/>
      <c r="CS87" s="138"/>
    </row>
    <row r="88" spans="1:97" ht="18" customHeight="1" outlineLevel="4">
      <c r="A88" s="233"/>
      <c r="B88" s="233"/>
      <c r="C88" s="233">
        <v>5</v>
      </c>
      <c r="D88" s="234" t="s">
        <v>1779</v>
      </c>
      <c r="E88" s="235"/>
      <c r="F88" s="235"/>
      <c r="G88" s="235"/>
      <c r="H88" s="235"/>
      <c r="I88" s="240" t="s">
        <v>1778</v>
      </c>
      <c r="J88" s="235"/>
      <c r="K88" s="235"/>
      <c r="L88" s="235"/>
      <c r="M88" s="235"/>
      <c r="N88" s="235"/>
      <c r="O88" s="235"/>
      <c r="P88" s="232">
        <v>44291</v>
      </c>
      <c r="Q88" s="232">
        <v>44293</v>
      </c>
      <c r="R88" s="235"/>
      <c r="S88" s="237">
        <v>3</v>
      </c>
      <c r="T88" s="237">
        <v>0</v>
      </c>
      <c r="U88" s="237">
        <v>3</v>
      </c>
      <c r="V88" s="237">
        <v>0</v>
      </c>
      <c r="W88" s="236"/>
      <c r="X88" s="236"/>
      <c r="Y88" s="238">
        <v>0</v>
      </c>
      <c r="Z88" s="239">
        <v>0</v>
      </c>
      <c r="AA88" s="237"/>
      <c r="AB88" s="235"/>
      <c r="AC88" s="232"/>
      <c r="AD88" s="203">
        <v>0</v>
      </c>
      <c r="AE88" s="205">
        <v>0</v>
      </c>
      <c r="AF88" s="137"/>
      <c r="AG88" s="138"/>
      <c r="AH88" s="138"/>
      <c r="AI88" s="138"/>
      <c r="AJ88" s="138"/>
      <c r="AK88" s="138"/>
      <c r="AL88" s="138"/>
      <c r="AM88" s="138"/>
      <c r="AN88" s="138"/>
      <c r="AO88" s="138"/>
      <c r="AP88" s="138"/>
      <c r="AQ88" s="138"/>
      <c r="AR88" s="138"/>
      <c r="AS88" s="138" t="str">
        <f>"" &amp; TEXT(AE88,"#0.00%") &amp; " " &amp; "To-be Process 설계" &amp; " " &amp; IF(P88="","",TEXT(P88,"M/D-")) &amp; IF(Q88="","",TEXT(Q88,"M/D")) &amp; " "</f>
        <v xml:space="preserve">0.00% To-be Process 설계 4/5-4/7 </v>
      </c>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8"/>
      <c r="CG88" s="138"/>
      <c r="CH88" s="138"/>
      <c r="CI88" s="138"/>
      <c r="CJ88" s="138"/>
      <c r="CK88" s="138"/>
      <c r="CL88" s="138"/>
      <c r="CM88" s="138"/>
      <c r="CN88" s="138"/>
      <c r="CO88" s="138"/>
      <c r="CP88" s="138"/>
      <c r="CQ88" s="138"/>
      <c r="CR88" s="138"/>
      <c r="CS88" s="138"/>
    </row>
    <row r="89" spans="1:97" ht="18" customHeight="1" outlineLevel="2">
      <c r="A89" s="233"/>
      <c r="B89" s="233" t="s">
        <v>1426</v>
      </c>
      <c r="C89" s="233">
        <v>3</v>
      </c>
      <c r="D89" s="234" t="s">
        <v>1695</v>
      </c>
      <c r="E89" s="235"/>
      <c r="F89" s="235"/>
      <c r="G89" s="235" t="s">
        <v>1780</v>
      </c>
      <c r="H89" s="235"/>
      <c r="I89" s="240"/>
      <c r="J89" s="235"/>
      <c r="K89" s="235"/>
      <c r="L89" s="235"/>
      <c r="M89" s="235"/>
      <c r="N89" s="235"/>
      <c r="O89" s="235"/>
      <c r="P89" s="236">
        <v>44319</v>
      </c>
      <c r="Q89" s="236">
        <v>44512</v>
      </c>
      <c r="R89" s="235"/>
      <c r="S89" s="237">
        <v>183</v>
      </c>
      <c r="T89" s="237">
        <v>0</v>
      </c>
      <c r="U89" s="237">
        <v>135</v>
      </c>
      <c r="V89" s="237">
        <v>0</v>
      </c>
      <c r="W89" s="236"/>
      <c r="X89" s="236"/>
      <c r="Y89" s="238">
        <v>0</v>
      </c>
      <c r="Z89" s="239">
        <v>0</v>
      </c>
      <c r="AA89" s="237"/>
      <c r="AB89" s="235"/>
      <c r="AC89" s="232"/>
      <c r="AD89" s="203">
        <v>0</v>
      </c>
      <c r="AE89" s="204">
        <v>0</v>
      </c>
      <c r="AF89" s="137"/>
      <c r="AG89" s="138"/>
      <c r="AH89" s="138"/>
      <c r="AI89" s="138"/>
      <c r="AJ89" s="138"/>
      <c r="AK89" s="138"/>
      <c r="AL89" s="138"/>
      <c r="AM89" s="138"/>
      <c r="AN89" s="138"/>
      <c r="AO89" s="138"/>
      <c r="AP89" s="138"/>
      <c r="AQ89" s="138"/>
      <c r="AR89" s="138"/>
      <c r="AS89" s="138"/>
      <c r="AT89" s="138"/>
      <c r="AU89" s="138"/>
      <c r="AV89" s="138"/>
      <c r="AW89" s="138" t="str">
        <f>"" &amp; TEXT(AE89,"#0.00%") &amp; " "</f>
        <v xml:space="preserve">0.00% </v>
      </c>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t="str">
        <f>"     " &amp; "구축" &amp; " " &amp; IF(P89="","",TEXT(P89,"M/D-")) &amp; IF(Q89="","",TEXT(Q89,"M/D")) &amp; " "</f>
        <v xml:space="preserve">     구축 5/3-11/12 </v>
      </c>
      <c r="BY89" s="138"/>
      <c r="BZ89" s="138"/>
      <c r="CA89" s="138"/>
      <c r="CB89" s="138"/>
      <c r="CC89" s="138"/>
      <c r="CD89" s="138"/>
      <c r="CE89" s="138"/>
      <c r="CF89" s="138"/>
      <c r="CG89" s="138"/>
      <c r="CH89" s="138"/>
      <c r="CI89" s="138"/>
      <c r="CJ89" s="138"/>
      <c r="CK89" s="138"/>
      <c r="CL89" s="138"/>
      <c r="CM89" s="138"/>
      <c r="CN89" s="138"/>
      <c r="CO89" s="138"/>
      <c r="CP89" s="138"/>
      <c r="CQ89" s="138"/>
      <c r="CR89" s="138"/>
      <c r="CS89" s="138"/>
    </row>
    <row r="90" spans="1:97" ht="18" customHeight="1" outlineLevel="3">
      <c r="A90" s="233"/>
      <c r="B90" s="233" t="s">
        <v>1426</v>
      </c>
      <c r="C90" s="233">
        <v>4</v>
      </c>
      <c r="D90" s="234" t="s">
        <v>1781</v>
      </c>
      <c r="E90" s="235"/>
      <c r="F90" s="235"/>
      <c r="G90" s="235"/>
      <c r="H90" s="240" t="s">
        <v>1782</v>
      </c>
      <c r="I90" s="240"/>
      <c r="J90" s="235"/>
      <c r="K90" s="235"/>
      <c r="L90" s="235"/>
      <c r="M90" s="235"/>
      <c r="N90" s="235"/>
      <c r="O90" s="235"/>
      <c r="P90" s="236">
        <v>44319</v>
      </c>
      <c r="Q90" s="236">
        <v>44330</v>
      </c>
      <c r="R90" s="235"/>
      <c r="S90" s="237">
        <v>9</v>
      </c>
      <c r="T90" s="237">
        <v>0</v>
      </c>
      <c r="U90" s="237">
        <v>9</v>
      </c>
      <c r="V90" s="237">
        <v>0</v>
      </c>
      <c r="W90" s="236"/>
      <c r="X90" s="236"/>
      <c r="Y90" s="238">
        <v>0</v>
      </c>
      <c r="Z90" s="239">
        <v>0</v>
      </c>
      <c r="AA90" s="237"/>
      <c r="AB90" s="235"/>
      <c r="AC90" s="232"/>
      <c r="AD90" s="203">
        <v>0</v>
      </c>
      <c r="AE90" s="204">
        <v>0</v>
      </c>
      <c r="AF90" s="137"/>
      <c r="AG90" s="138"/>
      <c r="AH90" s="138"/>
      <c r="AI90" s="138"/>
      <c r="AJ90" s="138"/>
      <c r="AK90" s="138"/>
      <c r="AL90" s="138"/>
      <c r="AM90" s="138"/>
      <c r="AN90" s="138"/>
      <c r="AO90" s="138"/>
      <c r="AP90" s="138"/>
      <c r="AQ90" s="138"/>
      <c r="AR90" s="138"/>
      <c r="AS90" s="138"/>
      <c r="AT90" s="138"/>
      <c r="AU90" s="138"/>
      <c r="AV90" s="138"/>
      <c r="AW90" s="138" t="str">
        <f>"" &amp; TEXT(AE90,"#0.00%") &amp; " " &amp; "To-be 기준정보 정의" &amp; " " &amp; IF(P90="","",TEXT(P90,"M/D-")) &amp; IF(Q90="","",TEXT(Q90,"M/D")) &amp; " "</f>
        <v xml:space="preserve">0.00% To-be 기준정보 정의 5/3-5/14 </v>
      </c>
      <c r="AX90" s="138"/>
      <c r="AY90" s="138"/>
      <c r="AZ90" s="138"/>
      <c r="BA90" s="138"/>
      <c r="BB90" s="138"/>
      <c r="BC90" s="138"/>
      <c r="BD90" s="138"/>
      <c r="BE90" s="138"/>
      <c r="BF90" s="138"/>
      <c r="BG90" s="138"/>
      <c r="BH90" s="138"/>
      <c r="BI90" s="138"/>
      <c r="BJ90" s="138"/>
      <c r="BK90" s="138"/>
      <c r="BL90" s="138"/>
      <c r="BM90" s="138"/>
      <c r="BN90" s="138"/>
      <c r="BO90" s="138"/>
      <c r="BP90" s="138"/>
      <c r="BQ90" s="138"/>
      <c r="BR90" s="138"/>
      <c r="BS90" s="138"/>
      <c r="BT90" s="138"/>
      <c r="BU90" s="138"/>
      <c r="BV90" s="138"/>
      <c r="BW90" s="138"/>
      <c r="BX90" s="138"/>
      <c r="BY90" s="138"/>
      <c r="BZ90" s="138"/>
      <c r="CA90" s="138"/>
      <c r="CB90" s="138"/>
      <c r="CC90" s="138"/>
      <c r="CD90" s="138"/>
      <c r="CE90" s="138"/>
      <c r="CF90" s="138"/>
      <c r="CG90" s="138"/>
      <c r="CH90" s="138"/>
      <c r="CI90" s="138"/>
      <c r="CJ90" s="138"/>
      <c r="CK90" s="138"/>
      <c r="CL90" s="138"/>
      <c r="CM90" s="138"/>
      <c r="CN90" s="138"/>
      <c r="CO90" s="138"/>
      <c r="CP90" s="138"/>
      <c r="CQ90" s="138"/>
      <c r="CR90" s="138"/>
      <c r="CS90" s="138"/>
    </row>
    <row r="91" spans="1:97" ht="18" customHeight="1" outlineLevel="4">
      <c r="A91" s="233"/>
      <c r="B91" s="233"/>
      <c r="C91" s="233">
        <v>5</v>
      </c>
      <c r="D91" s="234" t="s">
        <v>1783</v>
      </c>
      <c r="E91" s="235"/>
      <c r="F91" s="235"/>
      <c r="G91" s="235"/>
      <c r="H91" s="240"/>
      <c r="I91" s="240" t="s">
        <v>1784</v>
      </c>
      <c r="J91" s="235"/>
      <c r="K91" s="235"/>
      <c r="L91" s="235"/>
      <c r="M91" s="235"/>
      <c r="N91" s="235"/>
      <c r="O91" s="235"/>
      <c r="P91" s="232">
        <v>44319</v>
      </c>
      <c r="Q91" s="232">
        <v>44323</v>
      </c>
      <c r="R91" s="235"/>
      <c r="S91" s="237">
        <v>4</v>
      </c>
      <c r="T91" s="237">
        <v>0</v>
      </c>
      <c r="U91" s="237">
        <v>4</v>
      </c>
      <c r="V91" s="237">
        <v>0</v>
      </c>
      <c r="W91" s="236"/>
      <c r="X91" s="236"/>
      <c r="Y91" s="238">
        <v>0</v>
      </c>
      <c r="Z91" s="239">
        <v>0</v>
      </c>
      <c r="AA91" s="237"/>
      <c r="AB91" s="235"/>
      <c r="AC91" s="232"/>
      <c r="AD91" s="203">
        <v>0</v>
      </c>
      <c r="AE91" s="205">
        <v>0</v>
      </c>
      <c r="AF91" s="137"/>
      <c r="AG91" s="138"/>
      <c r="AH91" s="138"/>
      <c r="AI91" s="138"/>
      <c r="AJ91" s="138"/>
      <c r="AK91" s="138"/>
      <c r="AL91" s="138"/>
      <c r="AM91" s="138"/>
      <c r="AN91" s="138"/>
      <c r="AO91" s="138"/>
      <c r="AP91" s="138"/>
      <c r="AQ91" s="138"/>
      <c r="AR91" s="138"/>
      <c r="AS91" s="138"/>
      <c r="AT91" s="138"/>
      <c r="AU91" s="138"/>
      <c r="AV91" s="138"/>
      <c r="AW91" s="138" t="str">
        <f>"" &amp; TEXT(AE91,"#0.00%") &amp; " " &amp; "MasterData 정의" &amp; " " &amp; IF(P91="","",TEXT(P91,"M/D-")) &amp; IF(Q91="","",TEXT(Q91,"M/D")) &amp; " "</f>
        <v xml:space="preserve">0.00% MasterData 정의 5/3-5/7 </v>
      </c>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c r="CB91" s="138"/>
      <c r="CC91" s="138"/>
      <c r="CD91" s="138"/>
      <c r="CE91" s="138"/>
      <c r="CF91" s="138"/>
      <c r="CG91" s="138"/>
      <c r="CH91" s="138"/>
      <c r="CI91" s="138"/>
      <c r="CJ91" s="138"/>
      <c r="CK91" s="138"/>
      <c r="CL91" s="138"/>
      <c r="CM91" s="138"/>
      <c r="CN91" s="138"/>
      <c r="CO91" s="138"/>
      <c r="CP91" s="138"/>
      <c r="CQ91" s="138"/>
      <c r="CR91" s="138"/>
      <c r="CS91" s="138"/>
    </row>
    <row r="92" spans="1:97" ht="18" customHeight="1" outlineLevel="4">
      <c r="A92" s="233"/>
      <c r="B92" s="233"/>
      <c r="C92" s="233">
        <v>5</v>
      </c>
      <c r="D92" s="234" t="s">
        <v>1785</v>
      </c>
      <c r="E92" s="235"/>
      <c r="F92" s="235"/>
      <c r="G92" s="235"/>
      <c r="H92" s="240"/>
      <c r="I92" s="240" t="s">
        <v>1786</v>
      </c>
      <c r="J92" s="235"/>
      <c r="K92" s="235"/>
      <c r="L92" s="235"/>
      <c r="M92" s="235"/>
      <c r="N92" s="235"/>
      <c r="O92" s="235"/>
      <c r="P92" s="232">
        <v>44326</v>
      </c>
      <c r="Q92" s="232">
        <v>44330</v>
      </c>
      <c r="R92" s="235"/>
      <c r="S92" s="237">
        <v>5</v>
      </c>
      <c r="T92" s="237">
        <v>0</v>
      </c>
      <c r="U92" s="237">
        <v>5</v>
      </c>
      <c r="V92" s="237">
        <v>0</v>
      </c>
      <c r="W92" s="236"/>
      <c r="X92" s="236"/>
      <c r="Y92" s="238">
        <v>0</v>
      </c>
      <c r="Z92" s="239">
        <v>0</v>
      </c>
      <c r="AA92" s="237"/>
      <c r="AB92" s="235"/>
      <c r="AC92" s="232"/>
      <c r="AD92" s="203">
        <v>0</v>
      </c>
      <c r="AE92" s="205">
        <v>0</v>
      </c>
      <c r="AF92" s="137"/>
      <c r="AG92" s="138"/>
      <c r="AH92" s="138"/>
      <c r="AI92" s="138"/>
      <c r="AJ92" s="138"/>
      <c r="AK92" s="138"/>
      <c r="AL92" s="138"/>
      <c r="AM92" s="138"/>
      <c r="AN92" s="138"/>
      <c r="AO92" s="138"/>
      <c r="AP92" s="138"/>
      <c r="AQ92" s="138"/>
      <c r="AR92" s="138"/>
      <c r="AS92" s="138"/>
      <c r="AT92" s="138"/>
      <c r="AU92" s="138"/>
      <c r="AV92" s="138"/>
      <c r="AW92" s="138"/>
      <c r="AX92" s="138" t="str">
        <f>"" &amp; TEXT(AE92,"#0.00%") &amp; " " &amp; "기준정보 정의" &amp; " " &amp; IF(P92="","",TEXT(P92,"M/D-")) &amp; IF(Q92="","",TEXT(Q92,"M/D")) &amp; " "</f>
        <v xml:space="preserve">0.00% 기준정보 정의 5/10-5/14 </v>
      </c>
      <c r="AY92" s="138"/>
      <c r="AZ92" s="138"/>
      <c r="BA92" s="138"/>
      <c r="BB92" s="138"/>
      <c r="BC92" s="138"/>
      <c r="BD92" s="138"/>
      <c r="BE92" s="138"/>
      <c r="BF92" s="138"/>
      <c r="BG92" s="138"/>
      <c r="BH92" s="138"/>
      <c r="BI92" s="138"/>
      <c r="BJ92" s="138"/>
      <c r="BK92" s="138"/>
      <c r="BL92" s="138"/>
      <c r="BM92" s="138"/>
      <c r="BN92" s="138"/>
      <c r="BO92" s="138"/>
      <c r="BP92" s="138"/>
      <c r="BQ92" s="138"/>
      <c r="BR92" s="138"/>
      <c r="BS92" s="138"/>
      <c r="BT92" s="138"/>
      <c r="BU92" s="138"/>
      <c r="BV92" s="138"/>
      <c r="BW92" s="138"/>
      <c r="BX92" s="138"/>
      <c r="BY92" s="138"/>
      <c r="BZ92" s="138"/>
      <c r="CA92" s="138"/>
      <c r="CB92" s="138"/>
      <c r="CC92" s="138"/>
      <c r="CD92" s="138"/>
      <c r="CE92" s="138"/>
      <c r="CF92" s="138"/>
      <c r="CG92" s="138"/>
      <c r="CH92" s="138"/>
      <c r="CI92" s="138"/>
      <c r="CJ92" s="138"/>
      <c r="CK92" s="138"/>
      <c r="CL92" s="138"/>
      <c r="CM92" s="138"/>
      <c r="CN92" s="138"/>
      <c r="CO92" s="138"/>
      <c r="CP92" s="138"/>
      <c r="CQ92" s="138"/>
      <c r="CR92" s="138"/>
      <c r="CS92" s="138"/>
    </row>
    <row r="93" spans="1:97" ht="18" customHeight="1" outlineLevel="3">
      <c r="A93" s="233"/>
      <c r="B93" s="233" t="s">
        <v>1426</v>
      </c>
      <c r="C93" s="233">
        <v>4</v>
      </c>
      <c r="D93" s="234" t="s">
        <v>1787</v>
      </c>
      <c r="E93" s="235"/>
      <c r="F93" s="235"/>
      <c r="G93" s="235"/>
      <c r="H93" s="240" t="s">
        <v>1788</v>
      </c>
      <c r="I93" s="240"/>
      <c r="J93" s="235"/>
      <c r="K93" s="235"/>
      <c r="L93" s="235"/>
      <c r="M93" s="235"/>
      <c r="N93" s="235"/>
      <c r="O93" s="235"/>
      <c r="P93" s="236">
        <v>44333</v>
      </c>
      <c r="Q93" s="236">
        <v>44344</v>
      </c>
      <c r="R93" s="235"/>
      <c r="S93" s="237">
        <v>9</v>
      </c>
      <c r="T93" s="237">
        <v>0</v>
      </c>
      <c r="U93" s="237">
        <v>9</v>
      </c>
      <c r="V93" s="237">
        <v>0</v>
      </c>
      <c r="W93" s="236"/>
      <c r="X93" s="236"/>
      <c r="Y93" s="238">
        <v>0</v>
      </c>
      <c r="Z93" s="239">
        <v>0</v>
      </c>
      <c r="AA93" s="237"/>
      <c r="AB93" s="235"/>
      <c r="AC93" s="232"/>
      <c r="AD93" s="203">
        <v>0</v>
      </c>
      <c r="AE93" s="204">
        <v>0</v>
      </c>
      <c r="AF93" s="137"/>
      <c r="AG93" s="138"/>
      <c r="AH93" s="138"/>
      <c r="AI93" s="138"/>
      <c r="AJ93" s="138"/>
      <c r="AK93" s="138"/>
      <c r="AL93" s="138"/>
      <c r="AM93" s="138"/>
      <c r="AN93" s="138"/>
      <c r="AO93" s="138"/>
      <c r="AP93" s="138"/>
      <c r="AQ93" s="138"/>
      <c r="AR93" s="138"/>
      <c r="AS93" s="138"/>
      <c r="AT93" s="138"/>
      <c r="AU93" s="138"/>
      <c r="AV93" s="138"/>
      <c r="AW93" s="138"/>
      <c r="AX93" s="138"/>
      <c r="AY93" s="138" t="str">
        <f>"" &amp; TEXT(AE93,"#0.00%") &amp; " " &amp; "기준정보 Setup" &amp; " " &amp; IF(P93="","",TEXT(P93,"M/D-")) &amp; IF(Q93="","",TEXT(Q93,"M/D")) &amp; " "</f>
        <v xml:space="preserve">0.00% 기준정보 Setup 5/17-5/28 </v>
      </c>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c r="CC93" s="138"/>
      <c r="CD93" s="138"/>
      <c r="CE93" s="138"/>
      <c r="CF93" s="138"/>
      <c r="CG93" s="138"/>
      <c r="CH93" s="138"/>
      <c r="CI93" s="138"/>
      <c r="CJ93" s="138"/>
      <c r="CK93" s="138"/>
      <c r="CL93" s="138"/>
      <c r="CM93" s="138"/>
      <c r="CN93" s="138"/>
      <c r="CO93" s="138"/>
      <c r="CP93" s="138"/>
      <c r="CQ93" s="138"/>
      <c r="CR93" s="138"/>
      <c r="CS93" s="138"/>
    </row>
    <row r="94" spans="1:97" ht="18" customHeight="1" outlineLevel="4">
      <c r="A94" s="233"/>
      <c r="B94" s="233"/>
      <c r="C94" s="233">
        <v>5</v>
      </c>
      <c r="D94" s="234" t="s">
        <v>1789</v>
      </c>
      <c r="E94" s="235"/>
      <c r="F94" s="235"/>
      <c r="G94" s="235"/>
      <c r="H94" s="240"/>
      <c r="I94" s="240" t="s">
        <v>1790</v>
      </c>
      <c r="J94" s="235"/>
      <c r="K94" s="235"/>
      <c r="L94" s="235"/>
      <c r="M94" s="235"/>
      <c r="N94" s="235"/>
      <c r="O94" s="235"/>
      <c r="P94" s="232">
        <v>44333</v>
      </c>
      <c r="Q94" s="232">
        <v>44344</v>
      </c>
      <c r="R94" s="235"/>
      <c r="S94" s="237">
        <v>9</v>
      </c>
      <c r="T94" s="237">
        <v>0</v>
      </c>
      <c r="U94" s="237">
        <v>9</v>
      </c>
      <c r="V94" s="237">
        <v>0</v>
      </c>
      <c r="W94" s="236"/>
      <c r="X94" s="236"/>
      <c r="Y94" s="238">
        <v>0</v>
      </c>
      <c r="Z94" s="239">
        <v>0</v>
      </c>
      <c r="AA94" s="237"/>
      <c r="AB94" s="235"/>
      <c r="AC94" s="232"/>
      <c r="AD94" s="203">
        <v>0</v>
      </c>
      <c r="AE94" s="205">
        <v>0</v>
      </c>
      <c r="AF94" s="137"/>
      <c r="AG94" s="138"/>
      <c r="AH94" s="138"/>
      <c r="AI94" s="138"/>
      <c r="AJ94" s="138"/>
      <c r="AK94" s="138"/>
      <c r="AL94" s="138"/>
      <c r="AM94" s="138"/>
      <c r="AN94" s="138"/>
      <c r="AO94" s="138"/>
      <c r="AP94" s="138"/>
      <c r="AQ94" s="138"/>
      <c r="AR94" s="138"/>
      <c r="AS94" s="138"/>
      <c r="AT94" s="138"/>
      <c r="AU94" s="138"/>
      <c r="AV94" s="138"/>
      <c r="AW94" s="138"/>
      <c r="AX94" s="138"/>
      <c r="AY94" s="138" t="str">
        <f>"" &amp; TEXT(AE94,"#0.00%") &amp; " " &amp; "MasterData 및 기준정보 Setting" &amp; " " &amp; IF(P94="","",TEXT(P94,"M/D-")) &amp; IF(Q94="","",TEXT(Q94,"M/D")) &amp; " "</f>
        <v xml:space="preserve">0.00% MasterData 및 기준정보 Setting 5/17-5/28 </v>
      </c>
      <c r="AZ94" s="138"/>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c r="CB94" s="138"/>
      <c r="CC94" s="138"/>
      <c r="CD94" s="138"/>
      <c r="CE94" s="138"/>
      <c r="CF94" s="138"/>
      <c r="CG94" s="138"/>
      <c r="CH94" s="138"/>
      <c r="CI94" s="138"/>
      <c r="CJ94" s="138"/>
      <c r="CK94" s="138"/>
      <c r="CL94" s="138"/>
      <c r="CM94" s="138"/>
      <c r="CN94" s="138"/>
      <c r="CO94" s="138"/>
      <c r="CP94" s="138"/>
      <c r="CQ94" s="138"/>
      <c r="CR94" s="138"/>
      <c r="CS94" s="138"/>
    </row>
    <row r="95" spans="1:97" ht="18" customHeight="1" outlineLevel="3">
      <c r="A95" s="233"/>
      <c r="B95" s="233" t="s">
        <v>1426</v>
      </c>
      <c r="C95" s="233">
        <v>4</v>
      </c>
      <c r="D95" s="234" t="s">
        <v>1791</v>
      </c>
      <c r="E95" s="235"/>
      <c r="F95" s="235"/>
      <c r="G95" s="235"/>
      <c r="H95" s="240" t="s">
        <v>1792</v>
      </c>
      <c r="I95" s="240"/>
      <c r="J95" s="235"/>
      <c r="K95" s="235"/>
      <c r="L95" s="235"/>
      <c r="M95" s="235"/>
      <c r="N95" s="235"/>
      <c r="O95" s="235"/>
      <c r="P95" s="236">
        <v>44326</v>
      </c>
      <c r="Q95" s="236">
        <v>44512</v>
      </c>
      <c r="R95" s="235"/>
      <c r="S95" s="237">
        <v>165</v>
      </c>
      <c r="T95" s="237">
        <v>0</v>
      </c>
      <c r="U95" s="237">
        <v>131</v>
      </c>
      <c r="V95" s="237">
        <v>0</v>
      </c>
      <c r="W95" s="236"/>
      <c r="X95" s="236"/>
      <c r="Y95" s="238">
        <v>0</v>
      </c>
      <c r="Z95" s="239">
        <v>0</v>
      </c>
      <c r="AA95" s="237"/>
      <c r="AB95" s="235"/>
      <c r="AC95" s="232"/>
      <c r="AD95" s="203">
        <v>0</v>
      </c>
      <c r="AE95" s="204">
        <v>0</v>
      </c>
      <c r="AF95" s="137"/>
      <c r="AG95" s="138"/>
      <c r="AH95" s="138"/>
      <c r="AI95" s="138"/>
      <c r="AJ95" s="138"/>
      <c r="AK95" s="138"/>
      <c r="AL95" s="138"/>
      <c r="AM95" s="138"/>
      <c r="AN95" s="138"/>
      <c r="AO95" s="138"/>
      <c r="AP95" s="138"/>
      <c r="AQ95" s="138"/>
      <c r="AR95" s="138"/>
      <c r="AS95" s="138"/>
      <c r="AT95" s="138"/>
      <c r="AU95" s="138"/>
      <c r="AV95" s="138"/>
      <c r="AW95" s="138"/>
      <c r="AX95" s="138" t="str">
        <f>"" &amp; TEXT(AE95,"#0.00%") &amp; " "</f>
        <v xml:space="preserve">0.00% </v>
      </c>
      <c r="AY95" s="138"/>
      <c r="AZ95" s="138"/>
      <c r="BA95" s="138"/>
      <c r="BB95" s="138"/>
      <c r="BC95" s="138"/>
      <c r="BD95" s="138"/>
      <c r="BE95" s="138"/>
      <c r="BF95" s="138"/>
      <c r="BG95" s="138"/>
      <c r="BH95" s="138"/>
      <c r="BI95" s="138"/>
      <c r="BJ95" s="138"/>
      <c r="BK95" s="138"/>
      <c r="BL95" s="138"/>
      <c r="BM95" s="138"/>
      <c r="BN95" s="138"/>
      <c r="BO95" s="138"/>
      <c r="BP95" s="138"/>
      <c r="BQ95" s="138"/>
      <c r="BR95" s="138"/>
      <c r="BS95" s="138"/>
      <c r="BT95" s="138"/>
      <c r="BU95" s="138"/>
      <c r="BV95" s="138"/>
      <c r="BW95" s="138"/>
      <c r="BX95" s="138" t="str">
        <f>"     " &amp; "개발 상세설계 및 구현" &amp; " " &amp; IF(P95="","",TEXT(P95,"M/D-")) &amp; IF(Q95="","",TEXT(Q95,"M/D")) &amp; " "</f>
        <v xml:space="preserve">     개발 상세설계 및 구현 5/10-11/12 </v>
      </c>
      <c r="BY95" s="138"/>
      <c r="BZ95" s="138"/>
      <c r="CA95" s="138"/>
      <c r="CB95" s="138"/>
      <c r="CC95" s="138"/>
      <c r="CD95" s="138"/>
      <c r="CE95" s="138"/>
      <c r="CF95" s="138"/>
      <c r="CG95" s="138"/>
      <c r="CH95" s="138"/>
      <c r="CI95" s="138"/>
      <c r="CJ95" s="138"/>
      <c r="CK95" s="138"/>
      <c r="CL95" s="138"/>
      <c r="CM95" s="138"/>
      <c r="CN95" s="138"/>
      <c r="CO95" s="138"/>
      <c r="CP95" s="138"/>
      <c r="CQ95" s="138"/>
      <c r="CR95" s="138"/>
      <c r="CS95" s="138"/>
    </row>
    <row r="96" spans="1:97" ht="18" customHeight="1" outlineLevel="4">
      <c r="A96" s="233"/>
      <c r="B96" s="233"/>
      <c r="C96" s="233">
        <v>5</v>
      </c>
      <c r="D96" s="234" t="s">
        <v>1793</v>
      </c>
      <c r="E96" s="235"/>
      <c r="F96" s="235"/>
      <c r="G96" s="235"/>
      <c r="H96" s="240"/>
      <c r="I96" s="240" t="s">
        <v>1794</v>
      </c>
      <c r="J96" s="235"/>
      <c r="K96" s="235"/>
      <c r="L96" s="235"/>
      <c r="M96" s="235"/>
      <c r="N96" s="235"/>
      <c r="O96" s="235"/>
      <c r="P96" s="232">
        <v>44326</v>
      </c>
      <c r="Q96" s="232">
        <v>44344</v>
      </c>
      <c r="R96" s="235"/>
      <c r="S96" s="237">
        <v>14</v>
      </c>
      <c r="T96" s="237">
        <v>0</v>
      </c>
      <c r="U96" s="237">
        <v>14</v>
      </c>
      <c r="V96" s="237">
        <v>0</v>
      </c>
      <c r="W96" s="236"/>
      <c r="X96" s="236"/>
      <c r="Y96" s="238">
        <v>0</v>
      </c>
      <c r="Z96" s="239">
        <v>0</v>
      </c>
      <c r="AA96" s="237"/>
      <c r="AB96" s="235"/>
      <c r="AC96" s="232"/>
      <c r="AD96" s="203">
        <v>0</v>
      </c>
      <c r="AE96" s="205">
        <v>0</v>
      </c>
      <c r="AF96" s="137"/>
      <c r="AG96" s="138"/>
      <c r="AH96" s="138"/>
      <c r="AI96" s="138"/>
      <c r="AJ96" s="138"/>
      <c r="AK96" s="138"/>
      <c r="AL96" s="138"/>
      <c r="AM96" s="138"/>
      <c r="AN96" s="138"/>
      <c r="AO96" s="138"/>
      <c r="AP96" s="138"/>
      <c r="AQ96" s="138"/>
      <c r="AR96" s="138"/>
      <c r="AS96" s="138"/>
      <c r="AT96" s="138"/>
      <c r="AU96" s="138"/>
      <c r="AV96" s="138"/>
      <c r="AW96" s="138"/>
      <c r="AX96" s="138" t="str">
        <f>"" &amp; TEXT(AE96,"#0.00%") &amp; " " &amp; "기능 상세 설계" &amp; " " &amp; IF(P96="","",TEXT(P96,"M/D-")) &amp; IF(Q96="","",TEXT(Q96,"M/D")) &amp; " "</f>
        <v xml:space="preserve">0.00% 기능 상세 설계 5/10-5/28 </v>
      </c>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c r="CB96" s="138"/>
      <c r="CC96" s="138"/>
      <c r="CD96" s="138"/>
      <c r="CE96" s="138"/>
      <c r="CF96" s="138"/>
      <c r="CG96" s="138"/>
      <c r="CH96" s="138"/>
      <c r="CI96" s="138"/>
      <c r="CJ96" s="138"/>
      <c r="CK96" s="138"/>
      <c r="CL96" s="138"/>
      <c r="CM96" s="138"/>
      <c r="CN96" s="138"/>
      <c r="CO96" s="138"/>
      <c r="CP96" s="138"/>
      <c r="CQ96" s="138"/>
      <c r="CR96" s="138"/>
      <c r="CS96" s="138"/>
    </row>
    <row r="97" spans="1:97" ht="18" customHeight="1" outlineLevel="4">
      <c r="A97" s="233"/>
      <c r="B97" s="233"/>
      <c r="C97" s="233">
        <v>5</v>
      </c>
      <c r="D97" s="234" t="s">
        <v>1795</v>
      </c>
      <c r="E97" s="235"/>
      <c r="F97" s="235"/>
      <c r="G97" s="235"/>
      <c r="H97" s="240"/>
      <c r="I97" s="240" t="s">
        <v>1796</v>
      </c>
      <c r="J97" s="235"/>
      <c r="K97" s="235"/>
      <c r="L97" s="235"/>
      <c r="M97" s="235"/>
      <c r="N97" s="235"/>
      <c r="O97" s="235"/>
      <c r="P97" s="232">
        <v>44326</v>
      </c>
      <c r="Q97" s="232">
        <v>44344</v>
      </c>
      <c r="R97" s="235"/>
      <c r="S97" s="237">
        <v>14</v>
      </c>
      <c r="T97" s="237">
        <v>0</v>
      </c>
      <c r="U97" s="237">
        <v>14</v>
      </c>
      <c r="V97" s="237">
        <v>0</v>
      </c>
      <c r="W97" s="236"/>
      <c r="X97" s="236"/>
      <c r="Y97" s="238">
        <v>0</v>
      </c>
      <c r="Z97" s="239">
        <v>0</v>
      </c>
      <c r="AA97" s="237"/>
      <c r="AB97" s="235"/>
      <c r="AC97" s="232"/>
      <c r="AD97" s="203">
        <v>0</v>
      </c>
      <c r="AE97" s="205">
        <v>0</v>
      </c>
      <c r="AF97" s="137"/>
      <c r="AG97" s="138"/>
      <c r="AH97" s="138"/>
      <c r="AI97" s="138"/>
      <c r="AJ97" s="138"/>
      <c r="AK97" s="138"/>
      <c r="AL97" s="138"/>
      <c r="AM97" s="138"/>
      <c r="AN97" s="138"/>
      <c r="AO97" s="138"/>
      <c r="AP97" s="138"/>
      <c r="AQ97" s="138"/>
      <c r="AR97" s="138"/>
      <c r="AS97" s="138"/>
      <c r="AT97" s="138"/>
      <c r="AU97" s="138"/>
      <c r="AV97" s="138"/>
      <c r="AW97" s="138"/>
      <c r="AX97" s="138" t="str">
        <f>"" &amp; TEXT(AE97,"#0.00%") &amp; " " &amp; "테이블 설계" &amp; " " &amp; IF(P97="","",TEXT(P97,"M/D-")) &amp; IF(Q97="","",TEXT(Q97,"M/D")) &amp; " "</f>
        <v xml:space="preserve">0.00% 테이블 설계 5/10-5/28 </v>
      </c>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8"/>
      <c r="CQ97" s="138"/>
      <c r="CR97" s="138"/>
      <c r="CS97" s="138"/>
    </row>
    <row r="98" spans="1:97" ht="18" customHeight="1" outlineLevel="4">
      <c r="A98" s="233"/>
      <c r="B98" s="233"/>
      <c r="C98" s="233">
        <v>5</v>
      </c>
      <c r="D98" s="234" t="s">
        <v>1797</v>
      </c>
      <c r="E98" s="235"/>
      <c r="F98" s="235"/>
      <c r="G98" s="235"/>
      <c r="H98" s="240"/>
      <c r="I98" s="240" t="s">
        <v>1295</v>
      </c>
      <c r="J98" s="235"/>
      <c r="K98" s="235"/>
      <c r="L98" s="235"/>
      <c r="M98" s="235"/>
      <c r="N98" s="235"/>
      <c r="O98" s="235"/>
      <c r="P98" s="232">
        <v>44348</v>
      </c>
      <c r="Q98" s="232">
        <v>44498</v>
      </c>
      <c r="R98" s="235"/>
      <c r="S98" s="237">
        <v>106</v>
      </c>
      <c r="T98" s="237">
        <v>0</v>
      </c>
      <c r="U98" s="237">
        <v>106</v>
      </c>
      <c r="V98" s="237">
        <v>0</v>
      </c>
      <c r="W98" s="236"/>
      <c r="X98" s="236"/>
      <c r="Y98" s="238">
        <v>0</v>
      </c>
      <c r="Z98" s="239">
        <v>0</v>
      </c>
      <c r="AA98" s="237"/>
      <c r="AB98" s="235"/>
      <c r="AC98" s="232"/>
      <c r="AD98" s="203">
        <v>0</v>
      </c>
      <c r="AE98" s="205">
        <v>0</v>
      </c>
      <c r="AF98" s="137"/>
      <c r="AG98" s="138"/>
      <c r="AH98" s="138"/>
      <c r="AI98" s="138"/>
      <c r="AJ98" s="138"/>
      <c r="AK98" s="138"/>
      <c r="AL98" s="138"/>
      <c r="AM98" s="138"/>
      <c r="AN98" s="138"/>
      <c r="AO98" s="138"/>
      <c r="AP98" s="138"/>
      <c r="AQ98" s="138"/>
      <c r="AR98" s="138"/>
      <c r="AS98" s="138"/>
      <c r="AT98" s="138"/>
      <c r="AU98" s="138"/>
      <c r="AV98" s="138"/>
      <c r="AW98" s="138"/>
      <c r="AX98" s="138"/>
      <c r="AY98" s="138"/>
      <c r="AZ98" s="138"/>
      <c r="BA98" s="138" t="str">
        <f>" " &amp; TEXT(AE98,"#0.00%") &amp; " "</f>
        <v xml:space="preserve"> 0.00% </v>
      </c>
      <c r="BB98" s="138"/>
      <c r="BC98" s="138"/>
      <c r="BD98" s="138"/>
      <c r="BE98" s="138"/>
      <c r="BF98" s="138"/>
      <c r="BG98" s="138"/>
      <c r="BH98" s="138"/>
      <c r="BI98" s="138"/>
      <c r="BJ98" s="138"/>
      <c r="BK98" s="138"/>
      <c r="BL98" s="138"/>
      <c r="BM98" s="138"/>
      <c r="BN98" s="138"/>
      <c r="BO98" s="138"/>
      <c r="BP98" s="138"/>
      <c r="BQ98" s="138"/>
      <c r="BR98" s="138"/>
      <c r="BS98" s="138"/>
      <c r="BT98" s="138"/>
      <c r="BU98" s="138"/>
      <c r="BV98" s="138" t="str">
        <f>"     " &amp; "프로그램 개발" &amp; " " &amp; IF(P98="","",TEXT(P98,"M/D-")) &amp; IF(Q98="","",TEXT(Q98,"M/D")) &amp; " "</f>
        <v xml:space="preserve">     프로그램 개발 6/1-10/29 </v>
      </c>
      <c r="BW98" s="138"/>
      <c r="BX98" s="138"/>
      <c r="BY98" s="138"/>
      <c r="BZ98" s="138"/>
      <c r="CA98" s="138"/>
      <c r="CB98" s="138"/>
      <c r="CC98" s="138"/>
      <c r="CD98" s="138"/>
      <c r="CE98" s="138"/>
      <c r="CF98" s="138"/>
      <c r="CG98" s="138"/>
      <c r="CH98" s="138"/>
      <c r="CI98" s="138"/>
      <c r="CJ98" s="138"/>
      <c r="CK98" s="138"/>
      <c r="CL98" s="138"/>
      <c r="CM98" s="138"/>
      <c r="CN98" s="138"/>
      <c r="CO98" s="138"/>
      <c r="CP98" s="138"/>
      <c r="CQ98" s="138"/>
      <c r="CR98" s="138"/>
      <c r="CS98" s="138"/>
    </row>
    <row r="99" spans="1:97" ht="18" customHeight="1" outlineLevel="4">
      <c r="A99" s="233"/>
      <c r="B99" s="233"/>
      <c r="C99" s="233">
        <v>5</v>
      </c>
      <c r="D99" s="234" t="s">
        <v>1798</v>
      </c>
      <c r="E99" s="235"/>
      <c r="F99" s="235"/>
      <c r="G99" s="235"/>
      <c r="H99" s="240"/>
      <c r="I99" s="240" t="s">
        <v>1799</v>
      </c>
      <c r="J99" s="235"/>
      <c r="K99" s="235"/>
      <c r="L99" s="235"/>
      <c r="M99" s="235"/>
      <c r="N99" s="235"/>
      <c r="O99" s="235"/>
      <c r="P99" s="232">
        <v>44470</v>
      </c>
      <c r="Q99" s="232">
        <v>44512</v>
      </c>
      <c r="R99" s="235"/>
      <c r="S99" s="237">
        <v>31</v>
      </c>
      <c r="T99" s="237">
        <v>0</v>
      </c>
      <c r="U99" s="237">
        <v>31</v>
      </c>
      <c r="V99" s="237">
        <v>0</v>
      </c>
      <c r="W99" s="236"/>
      <c r="X99" s="236"/>
      <c r="Y99" s="238">
        <v>0</v>
      </c>
      <c r="Z99" s="239">
        <v>0</v>
      </c>
      <c r="AA99" s="237"/>
      <c r="AB99" s="235"/>
      <c r="AC99" s="232"/>
      <c r="AD99" s="203">
        <v>0</v>
      </c>
      <c r="AE99" s="205">
        <v>0</v>
      </c>
      <c r="AF99" s="137"/>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t="str">
        <f>"    " &amp; TEXT(AE99,"#0.00%") &amp; " "</f>
        <v xml:space="preserve">    0.00% </v>
      </c>
      <c r="BS99" s="138"/>
      <c r="BT99" s="138"/>
      <c r="BU99" s="138"/>
      <c r="BV99" s="138"/>
      <c r="BW99" s="138"/>
      <c r="BX99" s="138" t="str">
        <f>"     " &amp; "프로그램 단위테스트" &amp; " " &amp; IF(P99="","",TEXT(P99,"M/D-")) &amp; IF(Q99="","",TEXT(Q99,"M/D")) &amp; " "</f>
        <v xml:space="preserve">     프로그램 단위테스트 10/1-11/12 </v>
      </c>
      <c r="BY99" s="138"/>
      <c r="BZ99" s="138"/>
      <c r="CA99" s="138"/>
      <c r="CB99" s="138"/>
      <c r="CC99" s="138"/>
      <c r="CD99" s="138"/>
      <c r="CE99" s="138"/>
      <c r="CF99" s="138"/>
      <c r="CG99" s="138"/>
      <c r="CH99" s="138"/>
      <c r="CI99" s="138"/>
      <c r="CJ99" s="138"/>
      <c r="CK99" s="138"/>
      <c r="CL99" s="138"/>
      <c r="CM99" s="138"/>
      <c r="CN99" s="138"/>
      <c r="CO99" s="138"/>
      <c r="CP99" s="138"/>
      <c r="CQ99" s="138"/>
      <c r="CR99" s="138"/>
      <c r="CS99" s="138"/>
    </row>
    <row r="100" spans="1:97" ht="18" customHeight="1" outlineLevel="2">
      <c r="A100" s="233"/>
      <c r="B100" s="233" t="s">
        <v>1426</v>
      </c>
      <c r="C100" s="233">
        <v>3</v>
      </c>
      <c r="D100" s="234" t="s">
        <v>1800</v>
      </c>
      <c r="E100" s="235"/>
      <c r="F100" s="235"/>
      <c r="G100" s="240" t="s">
        <v>1801</v>
      </c>
      <c r="H100" s="240"/>
      <c r="I100" s="240"/>
      <c r="J100" s="235"/>
      <c r="K100" s="235"/>
      <c r="L100" s="235"/>
      <c r="M100" s="235"/>
      <c r="N100" s="235"/>
      <c r="O100" s="235"/>
      <c r="P100" s="236">
        <v>44515</v>
      </c>
      <c r="Q100" s="236">
        <v>44561</v>
      </c>
      <c r="R100" s="235"/>
      <c r="S100" s="237">
        <v>36</v>
      </c>
      <c r="T100" s="237">
        <v>0</v>
      </c>
      <c r="U100" s="237">
        <v>35</v>
      </c>
      <c r="V100" s="237">
        <v>0</v>
      </c>
      <c r="W100" s="236"/>
      <c r="X100" s="236"/>
      <c r="Y100" s="238">
        <v>0</v>
      </c>
      <c r="Z100" s="239">
        <v>0</v>
      </c>
      <c r="AA100" s="237"/>
      <c r="AB100" s="235"/>
      <c r="AC100" s="232"/>
      <c r="AD100" s="203">
        <v>0</v>
      </c>
      <c r="AE100" s="204">
        <v>0</v>
      </c>
      <c r="AF100" s="137"/>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c r="BC100" s="138"/>
      <c r="BD100" s="138"/>
      <c r="BE100" s="138"/>
      <c r="BF100" s="138"/>
      <c r="BG100" s="138"/>
      <c r="BH100" s="138"/>
      <c r="BI100" s="138"/>
      <c r="BJ100" s="138"/>
      <c r="BK100" s="138"/>
      <c r="BL100" s="138"/>
      <c r="BM100" s="138"/>
      <c r="BN100" s="138"/>
      <c r="BO100" s="138"/>
      <c r="BP100" s="138"/>
      <c r="BQ100" s="138"/>
      <c r="BR100" s="138"/>
      <c r="BS100" s="138"/>
      <c r="BT100" s="138"/>
      <c r="BU100" s="138"/>
      <c r="BV100" s="138"/>
      <c r="BW100" s="138"/>
      <c r="BX100" s="138"/>
      <c r="BY100" s="138" t="str">
        <f>"" &amp; TEXT(AE100,"#0.00%") &amp; " "</f>
        <v xml:space="preserve">0.00% </v>
      </c>
      <c r="BZ100" s="138"/>
      <c r="CA100" s="138"/>
      <c r="CB100" s="138"/>
      <c r="CC100" s="138"/>
      <c r="CD100" s="138"/>
      <c r="CE100" s="138" t="str">
        <f>"     " &amp; "테스트" &amp; " " &amp; IF(P100="","",TEXT(P100,"M/D-")) &amp; IF(Q100="","",TEXT(Q100,"M/D")) &amp; " "</f>
        <v xml:space="preserve">     테스트 11/15-12/31 </v>
      </c>
      <c r="CF100" s="138"/>
      <c r="CG100" s="138"/>
      <c r="CH100" s="138"/>
      <c r="CI100" s="138"/>
      <c r="CJ100" s="138"/>
      <c r="CK100" s="138"/>
      <c r="CL100" s="138"/>
      <c r="CM100" s="138"/>
      <c r="CN100" s="138"/>
      <c r="CO100" s="138"/>
      <c r="CP100" s="138"/>
      <c r="CQ100" s="138"/>
      <c r="CR100" s="138"/>
      <c r="CS100" s="138"/>
    </row>
    <row r="101" spans="1:97" ht="18" customHeight="1" outlineLevel="3">
      <c r="A101" s="233"/>
      <c r="B101" s="233" t="s">
        <v>1426</v>
      </c>
      <c r="C101" s="233">
        <v>4</v>
      </c>
      <c r="D101" s="234" t="s">
        <v>1802</v>
      </c>
      <c r="E101" s="235"/>
      <c r="F101" s="235"/>
      <c r="G101" s="240"/>
      <c r="H101" s="240" t="s">
        <v>1803</v>
      </c>
      <c r="I101" s="240"/>
      <c r="J101" s="235"/>
      <c r="K101" s="235"/>
      <c r="L101" s="235"/>
      <c r="M101" s="235"/>
      <c r="N101" s="235"/>
      <c r="O101" s="235"/>
      <c r="P101" s="236">
        <v>44515</v>
      </c>
      <c r="Q101" s="236">
        <v>44561</v>
      </c>
      <c r="R101" s="235"/>
      <c r="S101" s="237">
        <v>36</v>
      </c>
      <c r="T101" s="237">
        <v>0</v>
      </c>
      <c r="U101" s="237">
        <v>35</v>
      </c>
      <c r="V101" s="237">
        <v>0</v>
      </c>
      <c r="W101" s="236"/>
      <c r="X101" s="236"/>
      <c r="Y101" s="238">
        <v>0</v>
      </c>
      <c r="Z101" s="239">
        <v>0</v>
      </c>
      <c r="AA101" s="237"/>
      <c r="AB101" s="235"/>
      <c r="AC101" s="232"/>
      <c r="AD101" s="203">
        <v>0</v>
      </c>
      <c r="AE101" s="204">
        <v>0</v>
      </c>
      <c r="AF101" s="137"/>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t="str">
        <f>"" &amp; TEXT(AE101,"#0.00%") &amp; " "</f>
        <v xml:space="preserve">0.00% </v>
      </c>
      <c r="BZ101" s="138"/>
      <c r="CA101" s="138"/>
      <c r="CB101" s="138"/>
      <c r="CC101" s="138"/>
      <c r="CD101" s="138"/>
      <c r="CE101" s="138" t="str">
        <f>"     " &amp; "통합테스트 수행" &amp; " " &amp; IF(P101="","",TEXT(P101,"M/D-")) &amp; IF(Q101="","",TEXT(Q101,"M/D")) &amp; " "</f>
        <v xml:space="preserve">     통합테스트 수행 11/15-12/31 </v>
      </c>
      <c r="CF101" s="138"/>
      <c r="CG101" s="138"/>
      <c r="CH101" s="138"/>
      <c r="CI101" s="138"/>
      <c r="CJ101" s="138"/>
      <c r="CK101" s="138"/>
      <c r="CL101" s="138"/>
      <c r="CM101" s="138"/>
      <c r="CN101" s="138"/>
      <c r="CO101" s="138"/>
      <c r="CP101" s="138"/>
      <c r="CQ101" s="138"/>
      <c r="CR101" s="138"/>
      <c r="CS101" s="138"/>
    </row>
    <row r="102" spans="1:97" ht="18" customHeight="1" outlineLevel="4">
      <c r="A102" s="233"/>
      <c r="B102" s="233"/>
      <c r="C102" s="233">
        <v>5</v>
      </c>
      <c r="D102" s="234" t="s">
        <v>1804</v>
      </c>
      <c r="E102" s="235"/>
      <c r="F102" s="235"/>
      <c r="G102" s="240"/>
      <c r="H102" s="240"/>
      <c r="I102" s="240" t="s">
        <v>1805</v>
      </c>
      <c r="J102" s="235"/>
      <c r="K102" s="235"/>
      <c r="L102" s="235"/>
      <c r="M102" s="235"/>
      <c r="N102" s="235"/>
      <c r="O102" s="235"/>
      <c r="P102" s="232">
        <v>44515</v>
      </c>
      <c r="Q102" s="232">
        <v>44519</v>
      </c>
      <c r="R102" s="235"/>
      <c r="S102" s="237">
        <v>5</v>
      </c>
      <c r="T102" s="237">
        <v>0</v>
      </c>
      <c r="U102" s="237">
        <v>5</v>
      </c>
      <c r="V102" s="237">
        <v>0</v>
      </c>
      <c r="W102" s="236"/>
      <c r="X102" s="236"/>
      <c r="Y102" s="238">
        <v>0</v>
      </c>
      <c r="Z102" s="239">
        <v>0</v>
      </c>
      <c r="AA102" s="237"/>
      <c r="AB102" s="235"/>
      <c r="AC102" s="232"/>
      <c r="AD102" s="203">
        <v>0</v>
      </c>
      <c r="AE102" s="205">
        <v>0</v>
      </c>
      <c r="AF102" s="137"/>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c r="BC102" s="138"/>
      <c r="BD102" s="138"/>
      <c r="BE102" s="138"/>
      <c r="BF102" s="138"/>
      <c r="BG102" s="138"/>
      <c r="BH102" s="138"/>
      <c r="BI102" s="138"/>
      <c r="BJ102" s="138"/>
      <c r="BK102" s="138"/>
      <c r="BL102" s="138"/>
      <c r="BM102" s="138"/>
      <c r="BN102" s="138"/>
      <c r="BO102" s="138"/>
      <c r="BP102" s="138"/>
      <c r="BQ102" s="138"/>
      <c r="BR102" s="138"/>
      <c r="BS102" s="138"/>
      <c r="BT102" s="138"/>
      <c r="BU102" s="138"/>
      <c r="BV102" s="138"/>
      <c r="BW102" s="138"/>
      <c r="BX102" s="138"/>
      <c r="BY102" s="138" t="str">
        <f>"" &amp; TEXT(AE102,"#0.00%") &amp; " " &amp; "통합테스트 시나리오 및 케이스 정의" &amp; " " &amp; IF(P102="","",TEXT(P102,"M/D-")) &amp; IF(Q102="","",TEXT(Q102,"M/D")) &amp; " "</f>
        <v xml:space="preserve">0.00% 통합테스트 시나리오 및 케이스 정의 11/15-11/19 </v>
      </c>
      <c r="BZ102" s="138"/>
      <c r="CA102" s="138"/>
      <c r="CB102" s="138"/>
      <c r="CC102" s="138"/>
      <c r="CD102" s="138"/>
      <c r="CE102" s="138"/>
      <c r="CF102" s="138"/>
      <c r="CG102" s="138"/>
      <c r="CH102" s="138"/>
      <c r="CI102" s="138"/>
      <c r="CJ102" s="138"/>
      <c r="CK102" s="138"/>
      <c r="CL102" s="138"/>
      <c r="CM102" s="138"/>
      <c r="CN102" s="138"/>
      <c r="CO102" s="138"/>
      <c r="CP102" s="138"/>
      <c r="CQ102" s="138"/>
      <c r="CR102" s="138"/>
      <c r="CS102" s="138"/>
    </row>
    <row r="103" spans="1:97" ht="18" customHeight="1" outlineLevel="4">
      <c r="A103" s="233"/>
      <c r="B103" s="233"/>
      <c r="C103" s="233">
        <v>5</v>
      </c>
      <c r="D103" s="234" t="s">
        <v>1806</v>
      </c>
      <c r="E103" s="235"/>
      <c r="F103" s="235"/>
      <c r="G103" s="240"/>
      <c r="H103" s="240"/>
      <c r="I103" s="240" t="s">
        <v>1803</v>
      </c>
      <c r="J103" s="235"/>
      <c r="K103" s="235"/>
      <c r="L103" s="235"/>
      <c r="M103" s="235"/>
      <c r="N103" s="235"/>
      <c r="O103" s="235"/>
      <c r="P103" s="232">
        <v>44522</v>
      </c>
      <c r="Q103" s="232">
        <v>44540</v>
      </c>
      <c r="R103" s="235"/>
      <c r="S103" s="237">
        <v>15</v>
      </c>
      <c r="T103" s="237">
        <v>0</v>
      </c>
      <c r="U103" s="237">
        <v>15</v>
      </c>
      <c r="V103" s="237">
        <v>0</v>
      </c>
      <c r="W103" s="236"/>
      <c r="X103" s="236"/>
      <c r="Y103" s="238">
        <v>0</v>
      </c>
      <c r="Z103" s="239">
        <v>0</v>
      </c>
      <c r="AA103" s="237"/>
      <c r="AB103" s="235"/>
      <c r="AC103" s="232"/>
      <c r="AD103" s="203">
        <v>0</v>
      </c>
      <c r="AE103" s="205">
        <v>0</v>
      </c>
      <c r="AF103" s="137"/>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t="str">
        <f>"" &amp; TEXT(AE103,"#0.00%") &amp; " " &amp; "통합테스트 수행" &amp; " " &amp; IF(P103="","",TEXT(P103,"M/D-")) &amp; IF(Q103="","",TEXT(Q103,"M/D")) &amp; " "</f>
        <v xml:space="preserve">0.00% 통합테스트 수행 11/22-12/10 </v>
      </c>
      <c r="CA103" s="138"/>
      <c r="CB103" s="138"/>
      <c r="CC103" s="138"/>
      <c r="CD103" s="138"/>
      <c r="CE103" s="138"/>
      <c r="CF103" s="138"/>
      <c r="CG103" s="138"/>
      <c r="CH103" s="138"/>
      <c r="CI103" s="138"/>
      <c r="CJ103" s="138"/>
      <c r="CK103" s="138"/>
      <c r="CL103" s="138"/>
      <c r="CM103" s="138"/>
      <c r="CN103" s="138"/>
      <c r="CO103" s="138"/>
      <c r="CP103" s="138"/>
      <c r="CQ103" s="138"/>
      <c r="CR103" s="138"/>
      <c r="CS103" s="138"/>
    </row>
    <row r="104" spans="1:97" ht="18" customHeight="1" outlineLevel="4">
      <c r="A104" s="233"/>
      <c r="B104" s="233"/>
      <c r="C104" s="233">
        <v>5</v>
      </c>
      <c r="D104" s="234" t="s">
        <v>1807</v>
      </c>
      <c r="E104" s="235"/>
      <c r="F104" s="235"/>
      <c r="G104" s="240"/>
      <c r="H104" s="240"/>
      <c r="I104" s="240" t="s">
        <v>1808</v>
      </c>
      <c r="J104" s="235"/>
      <c r="K104" s="235"/>
      <c r="L104" s="235"/>
      <c r="M104" s="235"/>
      <c r="N104" s="235"/>
      <c r="O104" s="235"/>
      <c r="P104" s="232">
        <v>44540</v>
      </c>
      <c r="Q104" s="232">
        <v>44561</v>
      </c>
      <c r="R104" s="235"/>
      <c r="S104" s="237">
        <v>16</v>
      </c>
      <c r="T104" s="237">
        <v>0</v>
      </c>
      <c r="U104" s="237">
        <v>16</v>
      </c>
      <c r="V104" s="237">
        <v>0</v>
      </c>
      <c r="W104" s="236"/>
      <c r="X104" s="236"/>
      <c r="Y104" s="238">
        <v>0</v>
      </c>
      <c r="Z104" s="239">
        <v>0</v>
      </c>
      <c r="AA104" s="237"/>
      <c r="AB104" s="235"/>
      <c r="AC104" s="232"/>
      <c r="AD104" s="203">
        <v>0</v>
      </c>
      <c r="AE104" s="205">
        <v>0</v>
      </c>
      <c r="AF104" s="137"/>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c r="BC104" s="138"/>
      <c r="BD104" s="138"/>
      <c r="BE104" s="138"/>
      <c r="BF104" s="138"/>
      <c r="BG104" s="138"/>
      <c r="BH104" s="138"/>
      <c r="BI104" s="138"/>
      <c r="BJ104" s="138"/>
      <c r="BK104" s="138"/>
      <c r="BL104" s="138"/>
      <c r="BM104" s="138"/>
      <c r="BN104" s="138"/>
      <c r="BO104" s="138"/>
      <c r="BP104" s="138"/>
      <c r="BQ104" s="138"/>
      <c r="BR104" s="138"/>
      <c r="BS104" s="138"/>
      <c r="BT104" s="138"/>
      <c r="BU104" s="138"/>
      <c r="BV104" s="138"/>
      <c r="BW104" s="138"/>
      <c r="BX104" s="138"/>
      <c r="BY104" s="138"/>
      <c r="BZ104" s="138"/>
      <c r="CA104" s="138"/>
      <c r="CB104" s="138" t="str">
        <f>"    " &amp; TEXT(AE104,"#0.00%") &amp; " " &amp; "통합테스트 결과보고" &amp; " " &amp; IF(P104="","",TEXT(P104,"M/D-")) &amp; IF(Q104="","",TEXT(Q104,"M/D")) &amp; " "</f>
        <v xml:space="preserve">    0.00% 통합테스트 결과보고 12/10-12/31 </v>
      </c>
      <c r="CC104" s="138"/>
      <c r="CD104" s="138"/>
      <c r="CE104" s="138"/>
      <c r="CF104" s="138"/>
      <c r="CG104" s="138"/>
      <c r="CH104" s="138"/>
      <c r="CI104" s="138"/>
      <c r="CJ104" s="138"/>
      <c r="CK104" s="138"/>
      <c r="CL104" s="138"/>
      <c r="CM104" s="138"/>
      <c r="CN104" s="138"/>
      <c r="CO104" s="138"/>
      <c r="CP104" s="138"/>
      <c r="CQ104" s="138"/>
      <c r="CR104" s="138"/>
      <c r="CS104" s="138"/>
    </row>
    <row r="105" spans="1:97" ht="18" customHeight="1" outlineLevel="2">
      <c r="A105" s="233"/>
      <c r="B105" s="233" t="s">
        <v>1426</v>
      </c>
      <c r="C105" s="233">
        <v>3</v>
      </c>
      <c r="D105" s="234" t="s">
        <v>1809</v>
      </c>
      <c r="E105" s="235"/>
      <c r="F105" s="235"/>
      <c r="G105" s="240" t="s">
        <v>1810</v>
      </c>
      <c r="H105" s="235"/>
      <c r="I105" s="240"/>
      <c r="J105" s="235"/>
      <c r="K105" s="235"/>
      <c r="L105" s="235"/>
      <c r="M105" s="235"/>
      <c r="N105" s="235"/>
      <c r="O105" s="235"/>
      <c r="P105" s="236">
        <v>44531</v>
      </c>
      <c r="Q105" s="236">
        <v>44564</v>
      </c>
      <c r="R105" s="235"/>
      <c r="S105" s="237">
        <v>34</v>
      </c>
      <c r="T105" s="237">
        <v>0</v>
      </c>
      <c r="U105" s="237">
        <v>24</v>
      </c>
      <c r="V105" s="237">
        <v>0</v>
      </c>
      <c r="W105" s="236"/>
      <c r="X105" s="236"/>
      <c r="Y105" s="238">
        <v>0</v>
      </c>
      <c r="Z105" s="239">
        <v>0</v>
      </c>
      <c r="AA105" s="237"/>
      <c r="AB105" s="235"/>
      <c r="AC105" s="232"/>
      <c r="AD105" s="203">
        <v>0</v>
      </c>
      <c r="AE105" s="204">
        <v>0</v>
      </c>
      <c r="AF105" s="137"/>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c r="BC105" s="138"/>
      <c r="BD105" s="138"/>
      <c r="BE105" s="138"/>
      <c r="BF105" s="138"/>
      <c r="BG105" s="138"/>
      <c r="BH105" s="138"/>
      <c r="BI105" s="138"/>
      <c r="BJ105" s="138"/>
      <c r="BK105" s="138"/>
      <c r="BL105" s="138"/>
      <c r="BM105" s="138"/>
      <c r="BN105" s="138"/>
      <c r="BO105" s="138"/>
      <c r="BP105" s="138"/>
      <c r="BQ105" s="138"/>
      <c r="BR105" s="138"/>
      <c r="BS105" s="138"/>
      <c r="BT105" s="138"/>
      <c r="BU105" s="138"/>
      <c r="BV105" s="138"/>
      <c r="BW105" s="138"/>
      <c r="BX105" s="138"/>
      <c r="BY105" s="138"/>
      <c r="BZ105" s="138"/>
      <c r="CA105" s="138" t="str">
        <f>"  " &amp; TEXT(AE105,"#0.00%") &amp; " "</f>
        <v xml:space="preserve">  0.00% </v>
      </c>
      <c r="CB105" s="138"/>
      <c r="CC105" s="138"/>
      <c r="CD105" s="138"/>
      <c r="CE105" s="138"/>
      <c r="CF105" s="138" t="str">
        <f>" " &amp; "이행 및 종료" &amp; " " &amp; IF(P105="","",TEXT(P105,"M/D-")) &amp; IF(Q105="","",TEXT(Q105,"M/D")) &amp; " "</f>
        <v xml:space="preserve"> 이행 및 종료 12/1-1/3 </v>
      </c>
      <c r="CG105" s="138"/>
      <c r="CH105" s="138"/>
      <c r="CI105" s="138"/>
      <c r="CJ105" s="138"/>
      <c r="CK105" s="138"/>
      <c r="CL105" s="138"/>
      <c r="CM105" s="138"/>
      <c r="CN105" s="138"/>
      <c r="CO105" s="138"/>
      <c r="CP105" s="138"/>
      <c r="CQ105" s="138"/>
      <c r="CR105" s="138"/>
      <c r="CS105" s="138"/>
    </row>
    <row r="106" spans="1:97" ht="18" customHeight="1" outlineLevel="3">
      <c r="A106" s="233"/>
      <c r="B106" s="233" t="s">
        <v>1426</v>
      </c>
      <c r="C106" s="233">
        <v>4</v>
      </c>
      <c r="D106" s="234" t="s">
        <v>1811</v>
      </c>
      <c r="E106" s="235"/>
      <c r="F106" s="235"/>
      <c r="G106" s="235"/>
      <c r="H106" s="240" t="s">
        <v>1812</v>
      </c>
      <c r="I106" s="240"/>
      <c r="J106" s="235"/>
      <c r="K106" s="235"/>
      <c r="L106" s="235"/>
      <c r="M106" s="235"/>
      <c r="N106" s="235"/>
      <c r="O106" s="235"/>
      <c r="P106" s="236">
        <v>44531</v>
      </c>
      <c r="Q106" s="236">
        <v>44554</v>
      </c>
      <c r="R106" s="235"/>
      <c r="S106" s="237">
        <v>18</v>
      </c>
      <c r="T106" s="237">
        <v>0</v>
      </c>
      <c r="U106" s="237">
        <v>18</v>
      </c>
      <c r="V106" s="237">
        <v>0</v>
      </c>
      <c r="W106" s="236"/>
      <c r="X106" s="236"/>
      <c r="Y106" s="238">
        <v>0</v>
      </c>
      <c r="Z106" s="239">
        <v>0</v>
      </c>
      <c r="AA106" s="237"/>
      <c r="AB106" s="235"/>
      <c r="AC106" s="232"/>
      <c r="AD106" s="203">
        <v>0</v>
      </c>
      <c r="AE106" s="204">
        <v>0</v>
      </c>
      <c r="AF106" s="137"/>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t="str">
        <f>"  " &amp; TEXT(AE106,"#0.00%") &amp; " "</f>
        <v xml:space="preserve">  0.00% </v>
      </c>
      <c r="CB106" s="138"/>
      <c r="CC106" s="138"/>
      <c r="CD106" s="138" t="str">
        <f>"     " &amp; "사용자교육" &amp; " " &amp; IF(P106="","",TEXT(P106,"M/D-")) &amp; IF(Q106="","",TEXT(Q106,"M/D")) &amp; " "</f>
        <v xml:space="preserve">     사용자교육 12/1-12/24 </v>
      </c>
      <c r="CE106" s="138"/>
      <c r="CF106" s="138"/>
      <c r="CG106" s="138"/>
      <c r="CH106" s="138"/>
      <c r="CI106" s="138"/>
      <c r="CJ106" s="138"/>
      <c r="CK106" s="138"/>
      <c r="CL106" s="138"/>
      <c r="CM106" s="138"/>
      <c r="CN106" s="138"/>
      <c r="CO106" s="138"/>
      <c r="CP106" s="138"/>
      <c r="CQ106" s="138"/>
      <c r="CR106" s="138"/>
      <c r="CS106" s="138"/>
    </row>
    <row r="107" spans="1:97" ht="18" customHeight="1" outlineLevel="4">
      <c r="A107" s="233"/>
      <c r="B107" s="233"/>
      <c r="C107" s="233">
        <v>5</v>
      </c>
      <c r="D107" s="234" t="s">
        <v>1813</v>
      </c>
      <c r="E107" s="235"/>
      <c r="F107" s="235"/>
      <c r="G107" s="235"/>
      <c r="H107" s="240"/>
      <c r="I107" s="240" t="s">
        <v>1814</v>
      </c>
      <c r="J107" s="235"/>
      <c r="K107" s="235"/>
      <c r="L107" s="235"/>
      <c r="M107" s="235"/>
      <c r="N107" s="235"/>
      <c r="O107" s="235"/>
      <c r="P107" s="232">
        <v>44531</v>
      </c>
      <c r="Q107" s="232">
        <v>44533</v>
      </c>
      <c r="R107" s="235"/>
      <c r="S107" s="237">
        <v>3</v>
      </c>
      <c r="T107" s="237">
        <v>0</v>
      </c>
      <c r="U107" s="237">
        <v>3</v>
      </c>
      <c r="V107" s="237">
        <v>0</v>
      </c>
      <c r="W107" s="236"/>
      <c r="X107" s="236"/>
      <c r="Y107" s="238">
        <v>0</v>
      </c>
      <c r="Z107" s="239">
        <v>0</v>
      </c>
      <c r="AA107" s="237"/>
      <c r="AB107" s="235"/>
      <c r="AC107" s="232"/>
      <c r="AD107" s="203">
        <v>0</v>
      </c>
      <c r="AE107" s="205">
        <v>0</v>
      </c>
      <c r="AF107" s="137"/>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c r="BC107" s="138"/>
      <c r="BD107" s="138"/>
      <c r="BE107" s="138"/>
      <c r="BF107" s="138"/>
      <c r="BG107" s="138"/>
      <c r="BH107" s="138"/>
      <c r="BI107" s="138"/>
      <c r="BJ107" s="138"/>
      <c r="BK107" s="138"/>
      <c r="BL107" s="138"/>
      <c r="BM107" s="138"/>
      <c r="BN107" s="138"/>
      <c r="BO107" s="138"/>
      <c r="BP107" s="138"/>
      <c r="BQ107" s="138"/>
      <c r="BR107" s="138"/>
      <c r="BS107" s="138"/>
      <c r="BT107" s="138"/>
      <c r="BU107" s="138"/>
      <c r="BV107" s="138"/>
      <c r="BW107" s="138"/>
      <c r="BX107" s="138"/>
      <c r="BY107" s="138"/>
      <c r="BZ107" s="138"/>
      <c r="CA107" s="138" t="str">
        <f>"  " &amp; TEXT(AE107,"#0.00%") &amp; " " &amp; "사용자 교육계획 수립" &amp; " " &amp; IF(P107="","",TEXT(P107,"M/D-")) &amp; IF(Q107="","",TEXT(Q107,"M/D")) &amp; " "</f>
        <v xml:space="preserve">  0.00% 사용자 교육계획 수립 12/1-12/3 </v>
      </c>
      <c r="CB107" s="138"/>
      <c r="CC107" s="138"/>
      <c r="CD107" s="138"/>
      <c r="CE107" s="138"/>
      <c r="CF107" s="138"/>
      <c r="CG107" s="138"/>
      <c r="CH107" s="138"/>
      <c r="CI107" s="138"/>
      <c r="CJ107" s="138"/>
      <c r="CK107" s="138"/>
      <c r="CL107" s="138"/>
      <c r="CM107" s="138"/>
      <c r="CN107" s="138"/>
      <c r="CO107" s="138"/>
      <c r="CP107" s="138"/>
      <c r="CQ107" s="138"/>
      <c r="CR107" s="138"/>
      <c r="CS107" s="138"/>
    </row>
    <row r="108" spans="1:97" ht="18" customHeight="1" outlineLevel="4">
      <c r="A108" s="233"/>
      <c r="B108" s="233"/>
      <c r="C108" s="233">
        <v>5</v>
      </c>
      <c r="D108" s="234" t="s">
        <v>1815</v>
      </c>
      <c r="E108" s="235"/>
      <c r="F108" s="235"/>
      <c r="G108" s="235"/>
      <c r="H108" s="240"/>
      <c r="I108" s="240" t="s">
        <v>1816</v>
      </c>
      <c r="J108" s="235"/>
      <c r="K108" s="235"/>
      <c r="L108" s="235"/>
      <c r="M108" s="235"/>
      <c r="N108" s="235"/>
      <c r="O108" s="235"/>
      <c r="P108" s="232">
        <v>44536</v>
      </c>
      <c r="Q108" s="232">
        <v>44540</v>
      </c>
      <c r="R108" s="235"/>
      <c r="S108" s="237">
        <v>5</v>
      </c>
      <c r="T108" s="237">
        <v>0</v>
      </c>
      <c r="U108" s="237">
        <v>5</v>
      </c>
      <c r="V108" s="237">
        <v>0</v>
      </c>
      <c r="W108" s="236"/>
      <c r="X108" s="236"/>
      <c r="Y108" s="238">
        <v>0</v>
      </c>
      <c r="Z108" s="239">
        <v>0</v>
      </c>
      <c r="AA108" s="237"/>
      <c r="AB108" s="235"/>
      <c r="AC108" s="232"/>
      <c r="AD108" s="203">
        <v>0</v>
      </c>
      <c r="AE108" s="205">
        <v>0</v>
      </c>
      <c r="AF108" s="137"/>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c r="BC108" s="138"/>
      <c r="BD108" s="138"/>
      <c r="BE108" s="138"/>
      <c r="BF108" s="138"/>
      <c r="BG108" s="138"/>
      <c r="BH108" s="138"/>
      <c r="BI108" s="138"/>
      <c r="BJ108" s="138"/>
      <c r="BK108" s="138"/>
      <c r="BL108" s="138"/>
      <c r="BM108" s="138"/>
      <c r="BN108" s="138"/>
      <c r="BO108" s="138"/>
      <c r="BP108" s="138"/>
      <c r="BQ108" s="138"/>
      <c r="BR108" s="138"/>
      <c r="BS108" s="138"/>
      <c r="BT108" s="138"/>
      <c r="BU108" s="138"/>
      <c r="BV108" s="138"/>
      <c r="BW108" s="138"/>
      <c r="BX108" s="138"/>
      <c r="BY108" s="138"/>
      <c r="BZ108" s="138"/>
      <c r="CA108" s="138"/>
      <c r="CB108" s="138" t="str">
        <f>"" &amp; TEXT(AE108,"#0.00%") &amp; " " &amp; "사용자 매뉴얼 작성" &amp; " " &amp; IF(P108="","",TEXT(P108,"M/D-")) &amp; IF(Q108="","",TEXT(Q108,"M/D")) &amp; " "</f>
        <v xml:space="preserve">0.00% 사용자 매뉴얼 작성 12/6-12/10 </v>
      </c>
      <c r="CC108" s="138"/>
      <c r="CD108" s="138"/>
      <c r="CE108" s="138"/>
      <c r="CF108" s="138"/>
      <c r="CG108" s="138"/>
      <c r="CH108" s="138"/>
      <c r="CI108" s="138"/>
      <c r="CJ108" s="138"/>
      <c r="CK108" s="138"/>
      <c r="CL108" s="138"/>
      <c r="CM108" s="138"/>
      <c r="CN108" s="138"/>
      <c r="CO108" s="138"/>
      <c r="CP108" s="138"/>
      <c r="CQ108" s="138"/>
      <c r="CR108" s="138"/>
      <c r="CS108" s="138"/>
    </row>
    <row r="109" spans="1:97" ht="18" customHeight="1" outlineLevel="4">
      <c r="A109" s="233"/>
      <c r="B109" s="233"/>
      <c r="C109" s="233">
        <v>5</v>
      </c>
      <c r="D109" s="234" t="s">
        <v>1817</v>
      </c>
      <c r="E109" s="235"/>
      <c r="F109" s="235"/>
      <c r="G109" s="235"/>
      <c r="H109" s="240"/>
      <c r="I109" s="240" t="s">
        <v>1818</v>
      </c>
      <c r="J109" s="235"/>
      <c r="K109" s="235"/>
      <c r="L109" s="235"/>
      <c r="M109" s="235"/>
      <c r="N109" s="235"/>
      <c r="O109" s="235"/>
      <c r="P109" s="232">
        <v>44543</v>
      </c>
      <c r="Q109" s="232">
        <v>44554</v>
      </c>
      <c r="R109" s="235"/>
      <c r="S109" s="237">
        <v>10</v>
      </c>
      <c r="T109" s="237">
        <v>0</v>
      </c>
      <c r="U109" s="237">
        <v>10</v>
      </c>
      <c r="V109" s="237">
        <v>0</v>
      </c>
      <c r="W109" s="236"/>
      <c r="X109" s="236"/>
      <c r="Y109" s="238">
        <v>0</v>
      </c>
      <c r="Z109" s="239">
        <v>0</v>
      </c>
      <c r="AA109" s="237"/>
      <c r="AB109" s="235"/>
      <c r="AC109" s="232"/>
      <c r="AD109" s="203">
        <v>0</v>
      </c>
      <c r="AE109" s="205">
        <v>0</v>
      </c>
      <c r="AF109" s="137"/>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t="str">
        <f>"" &amp; TEXT(AE109,"#0.00%") &amp; " " &amp; "사용자교육 수행" &amp; " " &amp; IF(P109="","",TEXT(P109,"M/D-")) &amp; IF(Q109="","",TEXT(Q109,"M/D")) &amp; " "</f>
        <v xml:space="preserve">0.00% 사용자교육 수행 12/13-12/24 </v>
      </c>
      <c r="CD109" s="138"/>
      <c r="CE109" s="138"/>
      <c r="CF109" s="138"/>
      <c r="CG109" s="138"/>
      <c r="CH109" s="138"/>
      <c r="CI109" s="138"/>
      <c r="CJ109" s="138"/>
      <c r="CK109" s="138"/>
      <c r="CL109" s="138"/>
      <c r="CM109" s="138"/>
      <c r="CN109" s="138"/>
      <c r="CO109" s="138"/>
      <c r="CP109" s="138"/>
      <c r="CQ109" s="138"/>
      <c r="CR109" s="138"/>
      <c r="CS109" s="138"/>
    </row>
    <row r="110" spans="1:97" ht="18" customHeight="1" outlineLevel="3">
      <c r="A110" s="233"/>
      <c r="B110" s="233" t="s">
        <v>1426</v>
      </c>
      <c r="C110" s="233">
        <v>4</v>
      </c>
      <c r="D110" s="234" t="s">
        <v>1819</v>
      </c>
      <c r="E110" s="235"/>
      <c r="F110" s="235"/>
      <c r="G110" s="235"/>
      <c r="H110" s="240" t="s">
        <v>1820</v>
      </c>
      <c r="I110" s="240"/>
      <c r="J110" s="235"/>
      <c r="K110" s="235"/>
      <c r="L110" s="235"/>
      <c r="M110" s="235"/>
      <c r="N110" s="235"/>
      <c r="O110" s="235"/>
      <c r="P110" s="236">
        <v>44543</v>
      </c>
      <c r="Q110" s="236">
        <v>44561</v>
      </c>
      <c r="R110" s="235"/>
      <c r="S110" s="237">
        <v>15</v>
      </c>
      <c r="T110" s="237">
        <v>0</v>
      </c>
      <c r="U110" s="237">
        <v>15</v>
      </c>
      <c r="V110" s="237">
        <v>0</v>
      </c>
      <c r="W110" s="236"/>
      <c r="X110" s="236"/>
      <c r="Y110" s="238">
        <v>0</v>
      </c>
      <c r="Z110" s="239">
        <v>0</v>
      </c>
      <c r="AA110" s="237"/>
      <c r="AB110" s="235"/>
      <c r="AC110" s="232"/>
      <c r="AD110" s="203">
        <v>0</v>
      </c>
      <c r="AE110" s="204">
        <v>0</v>
      </c>
      <c r="AF110" s="137"/>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t="str">
        <f>"" &amp; TEXT(AE110,"#0.00%") &amp; " " &amp; "시스템 오픈 준비" &amp; " " &amp; IF(P110="","",TEXT(P110,"M/D-")) &amp; IF(Q110="","",TEXT(Q110,"M/D")) &amp; " "</f>
        <v xml:space="preserve">0.00% 시스템 오픈 준비 12/13-12/31 </v>
      </c>
      <c r="CD110" s="138"/>
      <c r="CE110" s="138"/>
      <c r="CF110" s="138"/>
      <c r="CG110" s="138"/>
      <c r="CH110" s="138"/>
      <c r="CI110" s="138"/>
      <c r="CJ110" s="138"/>
      <c r="CK110" s="138"/>
      <c r="CL110" s="138"/>
      <c r="CM110" s="138"/>
      <c r="CN110" s="138"/>
      <c r="CO110" s="138"/>
      <c r="CP110" s="138"/>
      <c r="CQ110" s="138"/>
      <c r="CR110" s="138"/>
      <c r="CS110" s="138"/>
    </row>
    <row r="111" spans="1:97" ht="18" customHeight="1" outlineLevel="4">
      <c r="A111" s="233"/>
      <c r="B111" s="233"/>
      <c r="C111" s="233">
        <v>5</v>
      </c>
      <c r="D111" s="234" t="s">
        <v>1821</v>
      </c>
      <c r="E111" s="235"/>
      <c r="F111" s="235"/>
      <c r="G111" s="235"/>
      <c r="H111" s="240"/>
      <c r="I111" s="240" t="s">
        <v>1822</v>
      </c>
      <c r="J111" s="235"/>
      <c r="K111" s="235"/>
      <c r="L111" s="235"/>
      <c r="M111" s="235"/>
      <c r="N111" s="235"/>
      <c r="O111" s="235"/>
      <c r="P111" s="232">
        <v>44543</v>
      </c>
      <c r="Q111" s="232">
        <v>44561</v>
      </c>
      <c r="R111" s="235"/>
      <c r="S111" s="237">
        <v>15</v>
      </c>
      <c r="T111" s="237">
        <v>0</v>
      </c>
      <c r="U111" s="237">
        <v>15</v>
      </c>
      <c r="V111" s="237">
        <v>0</v>
      </c>
      <c r="W111" s="236"/>
      <c r="X111" s="236"/>
      <c r="Y111" s="238">
        <v>0</v>
      </c>
      <c r="Z111" s="239">
        <v>0</v>
      </c>
      <c r="AA111" s="237"/>
      <c r="AB111" s="235"/>
      <c r="AC111" s="232"/>
      <c r="AD111" s="203">
        <v>0</v>
      </c>
      <c r="AE111" s="205">
        <v>0</v>
      </c>
      <c r="AF111" s="137"/>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t="str">
        <f>"" &amp; TEXT(AE111,"#0.00%") &amp; " " &amp; "본가동 계획 및 오픈 시나리오 준비" &amp; " " &amp; IF(P111="","",TEXT(P111,"M/D-")) &amp; IF(Q111="","",TEXT(Q111,"M/D")) &amp; " "</f>
        <v xml:space="preserve">0.00% 본가동 계획 및 오픈 시나리오 준비 12/13-12/31 </v>
      </c>
      <c r="CD111" s="138"/>
      <c r="CE111" s="138"/>
      <c r="CF111" s="138"/>
      <c r="CG111" s="138"/>
      <c r="CH111" s="138"/>
      <c r="CI111" s="138"/>
      <c r="CJ111" s="138"/>
      <c r="CK111" s="138"/>
      <c r="CL111" s="138"/>
      <c r="CM111" s="138"/>
      <c r="CN111" s="138"/>
      <c r="CO111" s="138"/>
      <c r="CP111" s="138"/>
      <c r="CQ111" s="138"/>
      <c r="CR111" s="138"/>
      <c r="CS111" s="138"/>
    </row>
    <row r="112" spans="1:97" ht="18" customHeight="1" outlineLevel="3">
      <c r="A112" s="233"/>
      <c r="B112" s="233" t="s">
        <v>1426</v>
      </c>
      <c r="C112" s="233">
        <v>4</v>
      </c>
      <c r="D112" s="234" t="s">
        <v>1823</v>
      </c>
      <c r="E112" s="235"/>
      <c r="F112" s="235"/>
      <c r="G112" s="235"/>
      <c r="H112" s="240" t="s">
        <v>1824</v>
      </c>
      <c r="I112" s="240"/>
      <c r="J112" s="235"/>
      <c r="K112" s="235"/>
      <c r="L112" s="235"/>
      <c r="M112" s="235"/>
      <c r="N112" s="235"/>
      <c r="O112" s="235"/>
      <c r="P112" s="236">
        <v>44564</v>
      </c>
      <c r="Q112" s="236">
        <v>44564</v>
      </c>
      <c r="R112" s="235"/>
      <c r="S112" s="237">
        <v>1</v>
      </c>
      <c r="T112" s="237">
        <v>0</v>
      </c>
      <c r="U112" s="237">
        <v>1</v>
      </c>
      <c r="V112" s="237">
        <v>0</v>
      </c>
      <c r="W112" s="236"/>
      <c r="X112" s="236"/>
      <c r="Y112" s="238">
        <v>0</v>
      </c>
      <c r="Z112" s="239">
        <v>0</v>
      </c>
      <c r="AA112" s="237"/>
      <c r="AB112" s="235"/>
      <c r="AC112" s="232"/>
      <c r="AD112" s="203">
        <v>0</v>
      </c>
      <c r="AE112" s="204">
        <v>0</v>
      </c>
      <c r="AF112" s="137"/>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c r="BC112" s="138"/>
      <c r="BD112" s="138"/>
      <c r="BE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c r="CB112" s="138"/>
      <c r="CC112" s="138"/>
      <c r="CD112" s="138"/>
      <c r="CE112" s="138"/>
      <c r="CF112" s="138" t="str">
        <f>"" &amp; TEXT(AE112,"#0.00%") &amp; " " &amp; "시스템 오픈 " &amp; " " &amp; IF(P112="","",TEXT(P112,"M/D-")) &amp; IF(Q112="","",TEXT(Q112,"M/D")) &amp; " "</f>
        <v xml:space="preserve">0.00% 시스템 오픈  1/3-1/3 </v>
      </c>
      <c r="CG112" s="138"/>
      <c r="CH112" s="138"/>
      <c r="CI112" s="138"/>
      <c r="CJ112" s="138"/>
      <c r="CK112" s="138"/>
      <c r="CL112" s="138"/>
      <c r="CM112" s="138"/>
      <c r="CN112" s="138"/>
      <c r="CO112" s="138"/>
      <c r="CP112" s="138"/>
      <c r="CQ112" s="138"/>
      <c r="CR112" s="138"/>
      <c r="CS112" s="138"/>
    </row>
    <row r="113" spans="1:97" ht="18" customHeight="1" outlineLevel="4">
      <c r="A113" s="233"/>
      <c r="B113" s="233"/>
      <c r="C113" s="233">
        <v>5</v>
      </c>
      <c r="D113" s="234" t="s">
        <v>1825</v>
      </c>
      <c r="E113" s="235"/>
      <c r="F113" s="235"/>
      <c r="G113" s="235"/>
      <c r="H113" s="240"/>
      <c r="I113" s="240" t="s">
        <v>1824</v>
      </c>
      <c r="J113" s="235"/>
      <c r="K113" s="235"/>
      <c r="L113" s="235"/>
      <c r="M113" s="235"/>
      <c r="N113" s="235"/>
      <c r="O113" s="235"/>
      <c r="P113" s="232">
        <v>44564</v>
      </c>
      <c r="Q113" s="232">
        <v>44564</v>
      </c>
      <c r="R113" s="235"/>
      <c r="S113" s="237">
        <v>1</v>
      </c>
      <c r="T113" s="237">
        <v>0</v>
      </c>
      <c r="U113" s="237">
        <v>1</v>
      </c>
      <c r="V113" s="237">
        <v>0</v>
      </c>
      <c r="W113" s="236"/>
      <c r="X113" s="236"/>
      <c r="Y113" s="238">
        <v>0</v>
      </c>
      <c r="Z113" s="239">
        <v>0</v>
      </c>
      <c r="AA113" s="237"/>
      <c r="AB113" s="235"/>
      <c r="AC113" s="232"/>
      <c r="AD113" s="203">
        <v>0</v>
      </c>
      <c r="AE113" s="205">
        <v>0</v>
      </c>
      <c r="AF113" s="137"/>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8" t="str">
        <f>"" &amp; TEXT(AE113,"#0.00%") &amp; " " &amp; "시스템 오픈 " &amp; " " &amp; IF(P113="","",TEXT(P113,"M/D-")) &amp; IF(Q113="","",TEXT(Q113,"M/D")) &amp; " "</f>
        <v xml:space="preserve">0.00% 시스템 오픈  1/3-1/3 </v>
      </c>
      <c r="CG113" s="138"/>
      <c r="CH113" s="138"/>
      <c r="CI113" s="138"/>
      <c r="CJ113" s="138"/>
      <c r="CK113" s="138"/>
      <c r="CL113" s="138"/>
      <c r="CM113" s="138"/>
      <c r="CN113" s="138"/>
      <c r="CO113" s="138"/>
      <c r="CP113" s="138"/>
      <c r="CQ113" s="138"/>
      <c r="CR113" s="138"/>
      <c r="CS113" s="138"/>
    </row>
    <row r="114" spans="1:97" ht="18" customHeight="1" outlineLevel="2">
      <c r="A114" s="233"/>
      <c r="B114" s="233" t="s">
        <v>1426</v>
      </c>
      <c r="C114" s="233">
        <v>3</v>
      </c>
      <c r="D114" s="234" t="s">
        <v>1826</v>
      </c>
      <c r="E114" s="235"/>
      <c r="F114" s="235"/>
      <c r="G114" s="240" t="s">
        <v>1827</v>
      </c>
      <c r="H114" s="235"/>
      <c r="I114" s="240"/>
      <c r="J114" s="235"/>
      <c r="K114" s="235"/>
      <c r="L114" s="235"/>
      <c r="M114" s="235"/>
      <c r="N114" s="235"/>
      <c r="O114" s="235"/>
      <c r="P114" s="236">
        <v>44564</v>
      </c>
      <c r="Q114" s="236">
        <v>44651</v>
      </c>
      <c r="R114" s="235"/>
      <c r="S114" s="237">
        <v>60</v>
      </c>
      <c r="T114" s="237">
        <v>0</v>
      </c>
      <c r="U114" s="237">
        <v>60</v>
      </c>
      <c r="V114" s="237">
        <v>0</v>
      </c>
      <c r="W114" s="236"/>
      <c r="X114" s="236"/>
      <c r="Y114" s="238">
        <v>0</v>
      </c>
      <c r="Z114" s="239">
        <v>0</v>
      </c>
      <c r="AA114" s="237"/>
      <c r="AB114" s="235"/>
      <c r="AC114" s="232"/>
      <c r="AD114" s="203">
        <v>0</v>
      </c>
      <c r="AE114" s="204">
        <v>0</v>
      </c>
      <c r="AF114" s="137"/>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c r="CE114" s="138"/>
      <c r="CF114" s="138" t="str">
        <f>"" &amp; TEXT(AE114,"#0.00%") &amp; " "</f>
        <v xml:space="preserve">0.00% </v>
      </c>
      <c r="CG114" s="138"/>
      <c r="CH114" s="138"/>
      <c r="CI114" s="138"/>
      <c r="CJ114" s="138"/>
      <c r="CK114" s="138"/>
      <c r="CL114" s="138"/>
      <c r="CM114" s="138"/>
      <c r="CN114" s="138"/>
      <c r="CO114" s="138"/>
      <c r="CP114" s="138"/>
      <c r="CQ114" s="138"/>
      <c r="CR114" s="138" t="str">
        <f>"    " &amp; "안정화지원" &amp; " " &amp; IF(P114="","",TEXT(P114,"M/D-")) &amp; IF(Q114="","",TEXT(Q114,"M/D")) &amp; " "</f>
        <v xml:space="preserve">    안정화지원 1/3-3/31 </v>
      </c>
      <c r="CS114" s="138"/>
    </row>
    <row r="115" spans="1:97" ht="18" customHeight="1" outlineLevel="3">
      <c r="A115" s="233"/>
      <c r="B115" s="233"/>
      <c r="C115" s="233">
        <v>4</v>
      </c>
      <c r="D115" s="234" t="s">
        <v>1828</v>
      </c>
      <c r="E115" s="235"/>
      <c r="F115" s="235"/>
      <c r="G115" s="235"/>
      <c r="H115" s="240" t="s">
        <v>1829</v>
      </c>
      <c r="I115" s="240"/>
      <c r="J115" s="235"/>
      <c r="K115" s="235"/>
      <c r="L115" s="235"/>
      <c r="M115" s="235"/>
      <c r="N115" s="235"/>
      <c r="O115" s="235"/>
      <c r="P115" s="232">
        <v>44564</v>
      </c>
      <c r="Q115" s="232">
        <v>44651</v>
      </c>
      <c r="R115" s="235"/>
      <c r="S115" s="237">
        <v>60</v>
      </c>
      <c r="T115" s="237">
        <v>0</v>
      </c>
      <c r="U115" s="237">
        <v>60</v>
      </c>
      <c r="V115" s="237">
        <v>0</v>
      </c>
      <c r="W115" s="236"/>
      <c r="X115" s="236"/>
      <c r="Y115" s="238">
        <v>0</v>
      </c>
      <c r="Z115" s="239">
        <v>0</v>
      </c>
      <c r="AA115" s="237"/>
      <c r="AB115" s="235"/>
      <c r="AC115" s="232"/>
      <c r="AD115" s="203">
        <v>0</v>
      </c>
      <c r="AE115" s="205">
        <v>0</v>
      </c>
      <c r="AF115" s="137"/>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c r="CE115" s="138"/>
      <c r="CF115" s="138" t="str">
        <f>"" &amp; TEXT(AE115,"#0.00%") &amp; " "</f>
        <v xml:space="preserve">0.00% </v>
      </c>
      <c r="CG115" s="138"/>
      <c r="CH115" s="138"/>
      <c r="CI115" s="138"/>
      <c r="CJ115" s="138"/>
      <c r="CK115" s="138"/>
      <c r="CL115" s="138"/>
      <c r="CM115" s="138"/>
      <c r="CN115" s="138"/>
      <c r="CO115" s="138"/>
      <c r="CP115" s="138"/>
      <c r="CQ115" s="138"/>
      <c r="CR115" s="138" t="str">
        <f>"    " &amp; "안정화 지원 및 모니터링" &amp; " " &amp; IF(P115="","",TEXT(P115,"M/D-")) &amp; IF(Q115="","",TEXT(Q115,"M/D")) &amp; " "</f>
        <v xml:space="preserve">    안정화 지원 및 모니터링 1/3-3/31 </v>
      </c>
      <c r="CS115" s="138"/>
    </row>
    <row r="116" spans="1:97" ht="18" customHeight="1" outlineLevel="1">
      <c r="A116" s="233"/>
      <c r="B116" s="233" t="s">
        <v>1426</v>
      </c>
      <c r="C116" s="233">
        <v>2</v>
      </c>
      <c r="D116" s="234" t="s">
        <v>1696</v>
      </c>
      <c r="E116" s="235"/>
      <c r="F116" s="235" t="s">
        <v>1866</v>
      </c>
      <c r="G116" s="235"/>
      <c r="H116" s="235"/>
      <c r="I116" s="235"/>
      <c r="J116" s="235"/>
      <c r="K116" s="235"/>
      <c r="L116" s="235"/>
      <c r="M116" s="235"/>
      <c r="N116" s="235"/>
      <c r="O116" s="235"/>
      <c r="P116" s="236">
        <v>44257</v>
      </c>
      <c r="Q116" s="236">
        <v>44589</v>
      </c>
      <c r="R116" s="235"/>
      <c r="S116" s="237">
        <v>182</v>
      </c>
      <c r="T116" s="237">
        <v>0</v>
      </c>
      <c r="U116" s="237">
        <v>234</v>
      </c>
      <c r="V116" s="237">
        <v>0</v>
      </c>
      <c r="W116" s="236"/>
      <c r="X116" s="236"/>
      <c r="Y116" s="238">
        <v>0</v>
      </c>
      <c r="Z116" s="239">
        <v>0</v>
      </c>
      <c r="AA116" s="237"/>
      <c r="AB116" s="235"/>
      <c r="AC116" s="232"/>
      <c r="AD116" s="203">
        <v>0</v>
      </c>
      <c r="AE116" s="204">
        <v>0</v>
      </c>
      <c r="AF116" s="137"/>
      <c r="AG116" s="138"/>
      <c r="AH116" s="138"/>
      <c r="AI116" s="138"/>
      <c r="AJ116" s="138"/>
      <c r="AK116" s="138"/>
      <c r="AL116" s="138"/>
      <c r="AM116" s="138"/>
      <c r="AN116" s="138" t="str">
        <f>" " &amp; TEXT(AE116,"#0.00%") &amp; " "</f>
        <v xml:space="preserve"> 0.00% </v>
      </c>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8"/>
      <c r="CG116" s="138"/>
      <c r="CH116" s="138"/>
      <c r="CI116" s="138" t="str">
        <f>"     " &amp; "ICS(Internal Control System, 내부통제시스템)" &amp; " " &amp; IF(P116="","",TEXT(P116,"M/D-")) &amp; IF(Q116="","",TEXT(Q116,"M/D")) &amp; " "</f>
        <v xml:space="preserve">     ICS(Internal Control System, 내부통제시스템) 3/2-1/28 </v>
      </c>
      <c r="CJ116" s="138"/>
      <c r="CK116" s="138"/>
      <c r="CL116" s="138"/>
      <c r="CM116" s="138"/>
      <c r="CN116" s="138"/>
      <c r="CO116" s="138"/>
      <c r="CP116" s="138"/>
      <c r="CQ116" s="138"/>
      <c r="CR116" s="138"/>
      <c r="CS116" s="138"/>
    </row>
    <row r="117" spans="1:97" ht="18" customHeight="1" outlineLevel="2">
      <c r="A117" s="233"/>
      <c r="B117" s="233"/>
      <c r="C117" s="233">
        <v>3</v>
      </c>
      <c r="D117" s="234" t="s">
        <v>1697</v>
      </c>
      <c r="E117" s="235"/>
      <c r="F117" s="235"/>
      <c r="G117" s="235" t="s">
        <v>1685</v>
      </c>
      <c r="H117" s="235"/>
      <c r="I117" s="235"/>
      <c r="J117" s="235"/>
      <c r="K117" s="235"/>
      <c r="L117" s="235"/>
      <c r="M117" s="235"/>
      <c r="N117" s="235"/>
      <c r="O117" s="235"/>
      <c r="P117" s="236">
        <v>44257</v>
      </c>
      <c r="Q117" s="236">
        <v>44344</v>
      </c>
      <c r="R117" s="235"/>
      <c r="S117" s="237">
        <v>62</v>
      </c>
      <c r="T117" s="237">
        <v>0</v>
      </c>
      <c r="U117" s="237">
        <v>62</v>
      </c>
      <c r="V117" s="237">
        <v>0</v>
      </c>
      <c r="W117" s="236"/>
      <c r="X117" s="236"/>
      <c r="Y117" s="238">
        <v>0</v>
      </c>
      <c r="Z117" s="239">
        <v>0</v>
      </c>
      <c r="AA117" s="237"/>
      <c r="AB117" s="235"/>
      <c r="AC117" s="232"/>
      <c r="AD117" s="203">
        <v>0</v>
      </c>
      <c r="AE117" s="205">
        <v>0</v>
      </c>
      <c r="AF117" s="137"/>
      <c r="AG117" s="138"/>
      <c r="AH117" s="138"/>
      <c r="AI117" s="138"/>
      <c r="AJ117" s="138"/>
      <c r="AK117" s="138"/>
      <c r="AL117" s="138"/>
      <c r="AM117" s="138"/>
      <c r="AN117" s="138" t="str">
        <f>" " &amp; TEXT(AE117,"#0.00%") &amp; " "</f>
        <v xml:space="preserve"> 0.00% </v>
      </c>
      <c r="AO117" s="138"/>
      <c r="AP117" s="138"/>
      <c r="AQ117" s="138"/>
      <c r="AR117" s="138"/>
      <c r="AS117" s="138"/>
      <c r="AT117" s="138"/>
      <c r="AU117" s="138"/>
      <c r="AV117" s="138"/>
      <c r="AW117" s="138"/>
      <c r="AX117" s="138"/>
      <c r="AY117" s="138"/>
      <c r="AZ117" s="138" t="str">
        <f>"     " &amp; "재무프로세스정립" &amp; " " &amp; IF(P117="","",TEXT(P117,"M/D-")) &amp; IF(Q117="","",TEXT(Q117,"M/D")) &amp; " "</f>
        <v xml:space="preserve">     재무프로세스정립 3/2-5/28 </v>
      </c>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c r="CB117" s="138"/>
      <c r="CC117" s="138"/>
      <c r="CD117" s="138"/>
      <c r="CE117" s="138"/>
      <c r="CF117" s="138"/>
      <c r="CG117" s="138"/>
      <c r="CH117" s="138"/>
      <c r="CI117" s="138"/>
      <c r="CJ117" s="138"/>
      <c r="CK117" s="138"/>
      <c r="CL117" s="138"/>
      <c r="CM117" s="138"/>
      <c r="CN117" s="138"/>
      <c r="CO117" s="138"/>
      <c r="CP117" s="138"/>
      <c r="CQ117" s="138"/>
      <c r="CR117" s="138"/>
      <c r="CS117" s="138"/>
    </row>
    <row r="118" spans="1:97" ht="18" customHeight="1" outlineLevel="2">
      <c r="A118" s="233"/>
      <c r="B118" s="233"/>
      <c r="C118" s="233">
        <v>3</v>
      </c>
      <c r="D118" s="234" t="s">
        <v>1698</v>
      </c>
      <c r="E118" s="235"/>
      <c r="F118" s="235"/>
      <c r="G118" s="235" t="s">
        <v>1686</v>
      </c>
      <c r="H118" s="235"/>
      <c r="I118" s="235"/>
      <c r="J118" s="235"/>
      <c r="K118" s="235"/>
      <c r="L118" s="235"/>
      <c r="M118" s="235"/>
      <c r="N118" s="235"/>
      <c r="O118" s="235"/>
      <c r="P118" s="236">
        <v>44347</v>
      </c>
      <c r="Q118" s="236">
        <v>44498</v>
      </c>
      <c r="R118" s="235"/>
      <c r="S118" s="237">
        <v>107</v>
      </c>
      <c r="T118" s="237">
        <v>0</v>
      </c>
      <c r="U118" s="237">
        <v>107</v>
      </c>
      <c r="V118" s="237">
        <v>0</v>
      </c>
      <c r="W118" s="236"/>
      <c r="X118" s="236"/>
      <c r="Y118" s="238">
        <v>0</v>
      </c>
      <c r="Z118" s="239">
        <v>0</v>
      </c>
      <c r="AA118" s="237"/>
      <c r="AB118" s="235"/>
      <c r="AC118" s="232"/>
      <c r="AD118" s="203">
        <v>0</v>
      </c>
      <c r="AE118" s="205">
        <v>0</v>
      </c>
      <c r="AF118" s="137"/>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t="str">
        <f>"" &amp; TEXT(AE118,"#0.00%") &amp; " "</f>
        <v xml:space="preserve">0.00% </v>
      </c>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t="str">
        <f>"     " &amp; "내부회계컨설팅" &amp; " " &amp; IF(P118="","",TEXT(P118,"M/D-")) &amp; IF(Q118="","",TEXT(Q118,"M/D")) &amp; " "</f>
        <v xml:space="preserve">     내부회계컨설팅 5/31-10/29 </v>
      </c>
      <c r="BW118" s="138"/>
      <c r="BX118" s="138"/>
      <c r="BY118" s="138"/>
      <c r="BZ118" s="138"/>
      <c r="CA118" s="138"/>
      <c r="CB118" s="138"/>
      <c r="CC118" s="138"/>
      <c r="CD118" s="138"/>
      <c r="CE118" s="138"/>
      <c r="CF118" s="138"/>
      <c r="CG118" s="138"/>
      <c r="CH118" s="138"/>
      <c r="CI118" s="138"/>
      <c r="CJ118" s="138"/>
      <c r="CK118" s="138"/>
      <c r="CL118" s="138"/>
      <c r="CM118" s="138"/>
      <c r="CN118" s="138"/>
      <c r="CO118" s="138"/>
      <c r="CP118" s="138"/>
      <c r="CQ118" s="138"/>
      <c r="CR118" s="138"/>
      <c r="CS118" s="138"/>
    </row>
    <row r="119" spans="1:97" ht="18" customHeight="1" outlineLevel="2">
      <c r="A119" s="233"/>
      <c r="B119" s="233"/>
      <c r="C119" s="233">
        <v>3</v>
      </c>
      <c r="D119" s="234" t="s">
        <v>1699</v>
      </c>
      <c r="E119" s="235"/>
      <c r="F119" s="235"/>
      <c r="G119" s="235" t="s">
        <v>1687</v>
      </c>
      <c r="H119" s="235"/>
      <c r="I119" s="235"/>
      <c r="J119" s="235"/>
      <c r="K119" s="235"/>
      <c r="L119" s="235"/>
      <c r="M119" s="235"/>
      <c r="N119" s="235"/>
      <c r="O119" s="235"/>
      <c r="P119" s="236">
        <v>44501</v>
      </c>
      <c r="Q119" s="236">
        <v>44589</v>
      </c>
      <c r="R119" s="235"/>
      <c r="S119" s="237">
        <v>13</v>
      </c>
      <c r="T119" s="237">
        <v>0</v>
      </c>
      <c r="U119" s="237">
        <v>65</v>
      </c>
      <c r="V119" s="237">
        <v>0</v>
      </c>
      <c r="W119" s="236"/>
      <c r="X119" s="236"/>
      <c r="Y119" s="238">
        <v>0</v>
      </c>
      <c r="Z119" s="239">
        <v>0</v>
      </c>
      <c r="AA119" s="237"/>
      <c r="AB119" s="235" t="s">
        <v>1684</v>
      </c>
      <c r="AC119" s="232"/>
      <c r="AD119" s="203">
        <v>0</v>
      </c>
      <c r="AE119" s="205">
        <v>0</v>
      </c>
      <c r="AF119" s="137"/>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c r="BI119" s="138"/>
      <c r="BJ119" s="138"/>
      <c r="BK119" s="138"/>
      <c r="BL119" s="138"/>
      <c r="BM119" s="138"/>
      <c r="BN119" s="138"/>
      <c r="BO119" s="138"/>
      <c r="BP119" s="138"/>
      <c r="BQ119" s="138"/>
      <c r="BR119" s="138"/>
      <c r="BS119" s="138"/>
      <c r="BT119" s="138"/>
      <c r="BU119" s="138"/>
      <c r="BV119" s="138"/>
      <c r="BW119" s="138" t="str">
        <f>"" &amp; TEXT(AE119,"#0.00%") &amp; " "</f>
        <v xml:space="preserve">0.00% </v>
      </c>
      <c r="BX119" s="138"/>
      <c r="BY119" s="138"/>
      <c r="BZ119" s="138"/>
      <c r="CA119" s="138"/>
      <c r="CB119" s="138"/>
      <c r="CC119" s="138"/>
      <c r="CD119" s="138"/>
      <c r="CE119" s="138"/>
      <c r="CF119" s="138"/>
      <c r="CG119" s="138"/>
      <c r="CH119" s="138"/>
      <c r="CI119" s="138" t="str">
        <f>"     " &amp; "적용" &amp; "(컨설턴트[20%])" &amp; " " &amp; IF(P119="","",TEXT(P119,"M/D-")) &amp; IF(Q119="","",TEXT(Q119,"M/D")) &amp; " "</f>
        <v xml:space="preserve">     적용(컨설턴트[20%]) 11/1-1/28 </v>
      </c>
      <c r="CJ119" s="138"/>
      <c r="CK119" s="138"/>
      <c r="CL119" s="138"/>
      <c r="CM119" s="138"/>
      <c r="CN119" s="138"/>
      <c r="CO119" s="138"/>
      <c r="CP119" s="138"/>
      <c r="CQ119" s="138"/>
      <c r="CR119" s="138"/>
      <c r="CS119" s="138"/>
    </row>
    <row r="120" spans="1:97" ht="18" customHeight="1" outlineLevel="1">
      <c r="A120" s="233"/>
      <c r="B120" s="233" t="s">
        <v>1426</v>
      </c>
      <c r="C120" s="233">
        <v>2</v>
      </c>
      <c r="D120" s="234" t="s">
        <v>1700</v>
      </c>
      <c r="E120" s="235"/>
      <c r="F120" s="235" t="s">
        <v>1867</v>
      </c>
      <c r="G120" s="235"/>
      <c r="H120" s="235"/>
      <c r="I120" s="235"/>
      <c r="J120" s="235"/>
      <c r="K120" s="235"/>
      <c r="L120" s="235"/>
      <c r="M120" s="235"/>
      <c r="N120" s="235"/>
      <c r="O120" s="235"/>
      <c r="P120" s="236">
        <v>44236</v>
      </c>
      <c r="Q120" s="236">
        <v>44561</v>
      </c>
      <c r="R120" s="235"/>
      <c r="S120" s="237">
        <v>179</v>
      </c>
      <c r="T120" s="237">
        <v>1</v>
      </c>
      <c r="U120" s="237">
        <v>226</v>
      </c>
      <c r="V120" s="237">
        <v>2</v>
      </c>
      <c r="W120" s="236">
        <v>44236</v>
      </c>
      <c r="X120" s="236"/>
      <c r="Y120" s="238">
        <v>1</v>
      </c>
      <c r="Z120" s="239">
        <v>0</v>
      </c>
      <c r="AA120" s="237"/>
      <c r="AB120" s="235" t="s">
        <v>1843</v>
      </c>
      <c r="AC120" s="232"/>
      <c r="AD120" s="203">
        <v>5.5865921787709499E-3</v>
      </c>
      <c r="AE120" s="204">
        <v>5.5865921787709499E-3</v>
      </c>
      <c r="AF120" s="137"/>
      <c r="AG120" s="138"/>
      <c r="AH120" s="138"/>
      <c r="AI120" s="138"/>
      <c r="AJ120" s="138"/>
      <c r="AK120" s="138" t="str">
        <f>"   " &amp; TEXT(AE120,"#0.00%") &amp; " "</f>
        <v xml:space="preserve">   0.56% </v>
      </c>
      <c r="AL120" s="138"/>
      <c r="AM120" s="138"/>
      <c r="AN120" s="138"/>
      <c r="AO120" s="138"/>
      <c r="AP120" s="138"/>
      <c r="AQ120" s="138"/>
      <c r="AR120" s="138"/>
      <c r="AS120" s="138"/>
      <c r="AT120" s="138"/>
      <c r="AU120" s="138"/>
      <c r="AV120" s="138"/>
      <c r="AW120" s="138"/>
      <c r="AX120" s="138"/>
      <c r="AY120" s="138"/>
      <c r="AZ120" s="138"/>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c r="CD120" s="138"/>
      <c r="CE120" s="138" t="str">
        <f>"     " &amp; "HRM(Human Resource Management, 인사)" &amp; "(윤상필차장(010-5640-6382))" &amp; " " &amp; IF(P120="","",TEXT(P120,"M/D-")) &amp; IF(Q120="","",TEXT(Q120,"M/D")) &amp; " "</f>
        <v xml:space="preserve">     HRM(Human Resource Management, 인사)(윤상필차장(010-5640-6382)) 2/9-12/31 </v>
      </c>
      <c r="CF120" s="138"/>
      <c r="CG120" s="138"/>
      <c r="CH120" s="138"/>
      <c r="CI120" s="138"/>
      <c r="CJ120" s="138"/>
      <c r="CK120" s="138"/>
      <c r="CL120" s="138"/>
      <c r="CM120" s="138"/>
      <c r="CN120" s="138"/>
      <c r="CO120" s="138"/>
      <c r="CP120" s="138"/>
      <c r="CQ120" s="138"/>
      <c r="CR120" s="138"/>
      <c r="CS120" s="138"/>
    </row>
    <row r="121" spans="1:97" ht="18" customHeight="1" outlineLevel="2">
      <c r="A121" s="233"/>
      <c r="B121" s="233" t="s">
        <v>1426</v>
      </c>
      <c r="C121" s="233">
        <v>3</v>
      </c>
      <c r="D121" s="234" t="s">
        <v>1701</v>
      </c>
      <c r="E121" s="235"/>
      <c r="F121" s="235"/>
      <c r="G121" s="235" t="s">
        <v>1874</v>
      </c>
      <c r="H121" s="235"/>
      <c r="I121" s="235"/>
      <c r="J121" s="235"/>
      <c r="K121" s="235"/>
      <c r="L121" s="235"/>
      <c r="M121" s="235"/>
      <c r="N121" s="235"/>
      <c r="O121" s="235"/>
      <c r="P121" s="236">
        <v>44236</v>
      </c>
      <c r="Q121" s="236">
        <v>44285</v>
      </c>
      <c r="R121" s="235"/>
      <c r="S121" s="237">
        <v>8</v>
      </c>
      <c r="T121" s="237">
        <v>1</v>
      </c>
      <c r="U121" s="237">
        <v>33</v>
      </c>
      <c r="V121" s="237">
        <v>2</v>
      </c>
      <c r="W121" s="236">
        <v>44236</v>
      </c>
      <c r="X121" s="236"/>
      <c r="Y121" s="238">
        <v>1</v>
      </c>
      <c r="Z121" s="239">
        <v>0</v>
      </c>
      <c r="AA121" s="237"/>
      <c r="AB121" s="235"/>
      <c r="AC121" s="232"/>
      <c r="AD121" s="203">
        <v>0.125</v>
      </c>
      <c r="AE121" s="204">
        <v>0.125</v>
      </c>
      <c r="AF121" s="137"/>
      <c r="AG121" s="138"/>
      <c r="AH121" s="138"/>
      <c r="AI121" s="138"/>
      <c r="AJ121" s="138"/>
      <c r="AK121" s="138"/>
      <c r="AL121" s="138" t="str">
        <f>"" &amp; TEXT(AE121,"#0.00%") &amp; " "</f>
        <v xml:space="preserve">12.50% </v>
      </c>
      <c r="AM121" s="138"/>
      <c r="AN121" s="138"/>
      <c r="AO121" s="138"/>
      <c r="AP121" s="138"/>
      <c r="AQ121" s="138"/>
      <c r="AR121" s="138" t="str">
        <f>"  " &amp; "교육 및 요구사항 정의" &amp; " " &amp; IF(P121="","",TEXT(P121,"M/D-")) &amp; IF(Q121="","",TEXT(Q121,"M/D")) &amp; " "</f>
        <v xml:space="preserve">  교육 및 요구사항 정의 2/9-3/30 </v>
      </c>
      <c r="AS121" s="138"/>
      <c r="AT121" s="138"/>
      <c r="AU121" s="138"/>
      <c r="AV121" s="138"/>
      <c r="AW121" s="138"/>
      <c r="AX121" s="138"/>
      <c r="AY121" s="138"/>
      <c r="AZ121" s="138"/>
      <c r="BA121" s="138"/>
      <c r="BB121" s="138"/>
      <c r="BC121" s="138"/>
      <c r="BD121" s="138"/>
      <c r="BE121" s="138"/>
      <c r="BF121" s="138"/>
      <c r="BG121" s="138"/>
      <c r="BH121" s="138"/>
      <c r="BI121" s="138"/>
      <c r="BJ121" s="138"/>
      <c r="BK121" s="138"/>
      <c r="BL121" s="138"/>
      <c r="BM121" s="138"/>
      <c r="BN121" s="138"/>
      <c r="BO121" s="138"/>
      <c r="BP121" s="138"/>
      <c r="BQ121" s="138"/>
      <c r="BR121" s="138"/>
      <c r="BS121" s="138"/>
      <c r="BT121" s="138"/>
      <c r="BU121" s="138"/>
      <c r="BV121" s="138"/>
      <c r="BW121" s="138"/>
      <c r="BX121" s="138"/>
      <c r="BY121" s="138"/>
      <c r="BZ121" s="138"/>
      <c r="CA121" s="138"/>
      <c r="CB121" s="138"/>
      <c r="CC121" s="138"/>
      <c r="CD121" s="138"/>
      <c r="CE121" s="138"/>
      <c r="CF121" s="138"/>
      <c r="CG121" s="138"/>
      <c r="CH121" s="138"/>
      <c r="CI121" s="138"/>
      <c r="CJ121" s="138"/>
      <c r="CK121" s="138"/>
      <c r="CL121" s="138"/>
      <c r="CM121" s="138"/>
      <c r="CN121" s="138"/>
      <c r="CO121" s="138"/>
      <c r="CP121" s="138"/>
      <c r="CQ121" s="138"/>
      <c r="CR121" s="138"/>
      <c r="CS121" s="138"/>
    </row>
    <row r="122" spans="1:97" ht="18" customHeight="1" outlineLevel="3">
      <c r="A122" s="233"/>
      <c r="B122" s="233"/>
      <c r="C122" s="233">
        <v>4</v>
      </c>
      <c r="D122" s="234" t="s">
        <v>1832</v>
      </c>
      <c r="E122" s="235"/>
      <c r="F122" s="235"/>
      <c r="G122" s="235"/>
      <c r="H122" s="241" t="s">
        <v>1869</v>
      </c>
      <c r="I122" s="235"/>
      <c r="J122" s="235"/>
      <c r="K122" s="235"/>
      <c r="L122" s="235"/>
      <c r="M122" s="235"/>
      <c r="N122" s="235"/>
      <c r="O122" s="235"/>
      <c r="P122" s="236">
        <v>44236</v>
      </c>
      <c r="Q122" s="236">
        <v>44236</v>
      </c>
      <c r="R122" s="235"/>
      <c r="S122" s="237">
        <v>1</v>
      </c>
      <c r="T122" s="237">
        <v>1</v>
      </c>
      <c r="U122" s="237">
        <v>1</v>
      </c>
      <c r="V122" s="237">
        <v>1</v>
      </c>
      <c r="W122" s="236">
        <v>44236</v>
      </c>
      <c r="X122" s="236">
        <v>44236</v>
      </c>
      <c r="Y122" s="238">
        <v>1</v>
      </c>
      <c r="Z122" s="239">
        <v>1</v>
      </c>
      <c r="AA122" s="237"/>
      <c r="AB122" s="235" t="s">
        <v>1877</v>
      </c>
      <c r="AC122" s="232"/>
      <c r="AD122" s="203">
        <v>1</v>
      </c>
      <c r="AE122" s="205">
        <v>1</v>
      </c>
      <c r="AF122" s="137"/>
      <c r="AG122" s="138"/>
      <c r="AH122" s="138"/>
      <c r="AI122" s="138"/>
      <c r="AJ122" s="138"/>
      <c r="AK122" s="138" t="str">
        <f>"  " &amp; TEXT(AE122,"#0.00%") &amp; " " &amp; "시스템 관리,인사관리 시스템 개요" &amp; "(윤상필차장)" &amp; " " &amp; IF(P122="","",TEXT(P122,"M/D-")) &amp; IF(Q122="","",TEXT(Q122,"M/D")) &amp; " "</f>
        <v xml:space="preserve">  100.00% 시스템 관리,인사관리 시스템 개요(윤상필차장) 2/9-2/9 </v>
      </c>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c r="CB122" s="138"/>
      <c r="CC122" s="138"/>
      <c r="CD122" s="138"/>
      <c r="CE122" s="138"/>
      <c r="CF122" s="138"/>
      <c r="CG122" s="138"/>
      <c r="CH122" s="138"/>
      <c r="CI122" s="138"/>
      <c r="CJ122" s="138"/>
      <c r="CK122" s="138"/>
      <c r="CL122" s="138"/>
      <c r="CM122" s="138"/>
      <c r="CN122" s="138"/>
      <c r="CO122" s="138"/>
      <c r="CP122" s="138"/>
      <c r="CQ122" s="138"/>
      <c r="CR122" s="138"/>
      <c r="CS122" s="138"/>
    </row>
    <row r="123" spans="1:97" ht="18" customHeight="1" outlineLevel="3">
      <c r="A123" s="233"/>
      <c r="B123" s="233"/>
      <c r="C123" s="233">
        <v>4</v>
      </c>
      <c r="D123" s="234" t="s">
        <v>1833</v>
      </c>
      <c r="E123" s="235"/>
      <c r="F123" s="235"/>
      <c r="G123" s="235"/>
      <c r="H123" s="241" t="s">
        <v>1870</v>
      </c>
      <c r="I123" s="235"/>
      <c r="J123" s="235"/>
      <c r="K123" s="235"/>
      <c r="L123" s="235"/>
      <c r="M123" s="235"/>
      <c r="N123" s="235"/>
      <c r="O123" s="235"/>
      <c r="P123" s="236">
        <v>44243</v>
      </c>
      <c r="Q123" s="236">
        <v>44243</v>
      </c>
      <c r="R123" s="235"/>
      <c r="S123" s="237">
        <v>1</v>
      </c>
      <c r="T123" s="237">
        <v>0</v>
      </c>
      <c r="U123" s="237">
        <v>1</v>
      </c>
      <c r="V123" s="237">
        <v>0</v>
      </c>
      <c r="W123" s="236"/>
      <c r="X123" s="236"/>
      <c r="Y123" s="238">
        <v>0</v>
      </c>
      <c r="Z123" s="239">
        <v>0</v>
      </c>
      <c r="AA123" s="237"/>
      <c r="AB123" s="235" t="s">
        <v>1877</v>
      </c>
      <c r="AC123" s="232"/>
      <c r="AD123" s="203">
        <v>0</v>
      </c>
      <c r="AE123" s="205">
        <v>0</v>
      </c>
      <c r="AF123" s="137"/>
      <c r="AG123" s="138"/>
      <c r="AH123" s="138"/>
      <c r="AI123" s="138"/>
      <c r="AJ123" s="138"/>
      <c r="AK123" s="138"/>
      <c r="AL123" s="138" t="str">
        <f>" " &amp; TEXT(AE123,"#0.00%") &amp; " " &amp; "조직정보설정, 근태관리, 연월차관리" &amp; "(윤상필차장)" &amp; " " &amp; IF(P123="","",TEXT(P123,"M/D-")) &amp; IF(Q123="","",TEXT(Q123,"M/D")) &amp; " "</f>
        <v xml:space="preserve"> 0.00% 조직정보설정, 근태관리, 연월차관리(윤상필차장) 2/16-2/16 </v>
      </c>
      <c r="AM123" s="138"/>
      <c r="AN123" s="138"/>
      <c r="AO123" s="138"/>
      <c r="AP123" s="138"/>
      <c r="AQ123" s="138"/>
      <c r="AR123" s="138"/>
      <c r="AS123" s="138"/>
      <c r="AT123" s="138"/>
      <c r="AU123" s="138"/>
      <c r="AV123" s="138"/>
      <c r="AW123" s="138"/>
      <c r="AX123" s="138"/>
      <c r="AY123" s="138"/>
      <c r="AZ123" s="138"/>
      <c r="BA123" s="138"/>
      <c r="BB123" s="138"/>
      <c r="BC123" s="138"/>
      <c r="BD123" s="138"/>
      <c r="BE123" s="138"/>
      <c r="BF123" s="138"/>
      <c r="BG123" s="138"/>
      <c r="BH123" s="138"/>
      <c r="BI123" s="138"/>
      <c r="BJ123" s="138"/>
      <c r="BK123" s="138"/>
      <c r="BL123" s="138"/>
      <c r="BM123" s="138"/>
      <c r="BN123" s="138"/>
      <c r="BO123" s="138"/>
      <c r="BP123" s="138"/>
      <c r="BQ123" s="138"/>
      <c r="BR123" s="138"/>
      <c r="BS123" s="138"/>
      <c r="BT123" s="138"/>
      <c r="BU123" s="138"/>
      <c r="BV123" s="138"/>
      <c r="BW123" s="138"/>
      <c r="BX123" s="138"/>
      <c r="BY123" s="138"/>
      <c r="BZ123" s="138"/>
      <c r="CA123" s="138"/>
      <c r="CB123" s="138"/>
      <c r="CC123" s="138"/>
      <c r="CD123" s="138"/>
      <c r="CE123" s="138"/>
      <c r="CF123" s="138"/>
      <c r="CG123" s="138"/>
      <c r="CH123" s="138"/>
      <c r="CI123" s="138"/>
      <c r="CJ123" s="138"/>
      <c r="CK123" s="138"/>
      <c r="CL123" s="138"/>
      <c r="CM123" s="138"/>
      <c r="CN123" s="138"/>
      <c r="CO123" s="138"/>
      <c r="CP123" s="138"/>
      <c r="CQ123" s="138"/>
      <c r="CR123" s="138"/>
      <c r="CS123" s="138"/>
    </row>
    <row r="124" spans="1:97" ht="18" customHeight="1" outlineLevel="3">
      <c r="A124" s="233"/>
      <c r="B124" s="233"/>
      <c r="C124" s="233">
        <v>4</v>
      </c>
      <c r="D124" s="234" t="s">
        <v>1834</v>
      </c>
      <c r="E124" s="235"/>
      <c r="F124" s="235"/>
      <c r="G124" s="235"/>
      <c r="H124" s="241" t="s">
        <v>1871</v>
      </c>
      <c r="I124" s="235"/>
      <c r="J124" s="235"/>
      <c r="K124" s="235"/>
      <c r="L124" s="235"/>
      <c r="M124" s="235"/>
      <c r="N124" s="235"/>
      <c r="O124" s="235"/>
      <c r="P124" s="236">
        <v>44250</v>
      </c>
      <c r="Q124" s="236">
        <v>44250</v>
      </c>
      <c r="R124" s="235"/>
      <c r="S124" s="237">
        <v>1</v>
      </c>
      <c r="T124" s="237">
        <v>0</v>
      </c>
      <c r="U124" s="237">
        <v>1</v>
      </c>
      <c r="V124" s="237">
        <v>0</v>
      </c>
      <c r="W124" s="236"/>
      <c r="X124" s="236"/>
      <c r="Y124" s="238">
        <v>0</v>
      </c>
      <c r="Z124" s="239">
        <v>0</v>
      </c>
      <c r="AA124" s="237"/>
      <c r="AB124" s="235" t="s">
        <v>1877</v>
      </c>
      <c r="AC124" s="232"/>
      <c r="AD124" s="203">
        <v>0</v>
      </c>
      <c r="AE124" s="205">
        <v>0</v>
      </c>
      <c r="AF124" s="137"/>
      <c r="AG124" s="138"/>
      <c r="AH124" s="138"/>
      <c r="AI124" s="138"/>
      <c r="AJ124" s="138"/>
      <c r="AK124" s="138"/>
      <c r="AL124" s="138"/>
      <c r="AM124" s="138" t="str">
        <f>" " &amp; TEXT(AE124,"#0.00%") &amp; " " &amp; "급여기초관리, 급여계산관리" &amp; "(윤상필차장)" &amp; " " &amp; IF(P124="","",TEXT(P124,"M/D-")) &amp; IF(Q124="","",TEXT(Q124,"M/D")) &amp; " "</f>
        <v xml:space="preserve"> 0.00% 급여기초관리, 급여계산관리(윤상필차장) 2/23-2/23 </v>
      </c>
      <c r="AN124" s="138"/>
      <c r="AO124" s="138"/>
      <c r="AP124" s="138"/>
      <c r="AQ124" s="138"/>
      <c r="AR124" s="138"/>
      <c r="AS124" s="138"/>
      <c r="AT124" s="138"/>
      <c r="AU124" s="138"/>
      <c r="AV124" s="138"/>
      <c r="AW124" s="138"/>
      <c r="AX124" s="138"/>
      <c r="AY124" s="138"/>
      <c r="AZ124" s="138"/>
      <c r="BA124" s="138"/>
      <c r="BB124" s="138"/>
      <c r="BC124" s="138"/>
      <c r="BD124" s="138"/>
      <c r="BE124" s="138"/>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8"/>
      <c r="CG124" s="138"/>
      <c r="CH124" s="138"/>
      <c r="CI124" s="138"/>
      <c r="CJ124" s="138"/>
      <c r="CK124" s="138"/>
      <c r="CL124" s="138"/>
      <c r="CM124" s="138"/>
      <c r="CN124" s="138"/>
      <c r="CO124" s="138"/>
      <c r="CP124" s="138"/>
      <c r="CQ124" s="138"/>
      <c r="CR124" s="138"/>
      <c r="CS124" s="138"/>
    </row>
    <row r="125" spans="1:97" ht="18" customHeight="1" outlineLevel="3">
      <c r="A125" s="233"/>
      <c r="B125" s="233"/>
      <c r="C125" s="233">
        <v>4</v>
      </c>
      <c r="D125" s="234" t="s">
        <v>1835</v>
      </c>
      <c r="E125" s="235"/>
      <c r="F125" s="235"/>
      <c r="G125" s="235"/>
      <c r="H125" s="241" t="s">
        <v>1872</v>
      </c>
      <c r="I125" s="235"/>
      <c r="J125" s="235"/>
      <c r="K125" s="235"/>
      <c r="L125" s="235"/>
      <c r="M125" s="235"/>
      <c r="N125" s="235"/>
      <c r="O125" s="235"/>
      <c r="P125" s="236">
        <v>44257</v>
      </c>
      <c r="Q125" s="236">
        <v>44257</v>
      </c>
      <c r="R125" s="235"/>
      <c r="S125" s="237">
        <v>1</v>
      </c>
      <c r="T125" s="237">
        <v>0</v>
      </c>
      <c r="U125" s="237">
        <v>1</v>
      </c>
      <c r="V125" s="237">
        <v>0</v>
      </c>
      <c r="W125" s="236"/>
      <c r="X125" s="236"/>
      <c r="Y125" s="238">
        <v>0</v>
      </c>
      <c r="Z125" s="239">
        <v>0</v>
      </c>
      <c r="AA125" s="237"/>
      <c r="AB125" s="235" t="s">
        <v>1877</v>
      </c>
      <c r="AC125" s="232"/>
      <c r="AD125" s="203">
        <v>0</v>
      </c>
      <c r="AE125" s="205">
        <v>0</v>
      </c>
      <c r="AF125" s="137"/>
      <c r="AG125" s="138"/>
      <c r="AH125" s="138"/>
      <c r="AI125" s="138"/>
      <c r="AJ125" s="138"/>
      <c r="AK125" s="138"/>
      <c r="AL125" s="138"/>
      <c r="AM125" s="138"/>
      <c r="AN125" s="138" t="str">
        <f>" " &amp; TEXT(AE125,"#0.00%") &amp; " " &amp; "급여보고서출력, 퇴직금관리" &amp; "(윤상필차장)" &amp; " " &amp; IF(P125="","",TEXT(P125,"M/D-")) &amp; IF(Q125="","",TEXT(Q125,"M/D")) &amp; " "</f>
        <v xml:space="preserve"> 0.00% 급여보고서출력, 퇴직금관리(윤상필차장) 3/2-3/2 </v>
      </c>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c r="CB125" s="138"/>
      <c r="CC125" s="138"/>
      <c r="CD125" s="138"/>
      <c r="CE125" s="138"/>
      <c r="CF125" s="138"/>
      <c r="CG125" s="138"/>
      <c r="CH125" s="138"/>
      <c r="CI125" s="138"/>
      <c r="CJ125" s="138"/>
      <c r="CK125" s="138"/>
      <c r="CL125" s="138"/>
      <c r="CM125" s="138"/>
      <c r="CN125" s="138"/>
      <c r="CO125" s="138"/>
      <c r="CP125" s="138"/>
      <c r="CQ125" s="138"/>
      <c r="CR125" s="138"/>
      <c r="CS125" s="138"/>
    </row>
    <row r="126" spans="1:97" ht="18" customHeight="1" outlineLevel="3">
      <c r="A126" s="233"/>
      <c r="B126" s="233"/>
      <c r="C126" s="233">
        <v>4</v>
      </c>
      <c r="D126" s="234" t="s">
        <v>1836</v>
      </c>
      <c r="E126" s="235"/>
      <c r="F126" s="235"/>
      <c r="G126" s="235"/>
      <c r="H126" s="241" t="s">
        <v>1873</v>
      </c>
      <c r="I126" s="235"/>
      <c r="J126" s="235"/>
      <c r="K126" s="235"/>
      <c r="L126" s="235"/>
      <c r="M126" s="235"/>
      <c r="N126" s="235"/>
      <c r="O126" s="235"/>
      <c r="P126" s="236">
        <v>44264</v>
      </c>
      <c r="Q126" s="236">
        <v>44264</v>
      </c>
      <c r="R126" s="235"/>
      <c r="S126" s="237">
        <v>1</v>
      </c>
      <c r="T126" s="237">
        <v>0</v>
      </c>
      <c r="U126" s="237">
        <v>1</v>
      </c>
      <c r="V126" s="237">
        <v>0</v>
      </c>
      <c r="W126" s="236"/>
      <c r="X126" s="236"/>
      <c r="Y126" s="238">
        <v>0</v>
      </c>
      <c r="Z126" s="239">
        <v>0</v>
      </c>
      <c r="AA126" s="237"/>
      <c r="AB126" s="235" t="s">
        <v>1877</v>
      </c>
      <c r="AC126" s="232"/>
      <c r="AD126" s="203">
        <v>0</v>
      </c>
      <c r="AE126" s="205">
        <v>0</v>
      </c>
      <c r="AF126" s="137"/>
      <c r="AG126" s="138"/>
      <c r="AH126" s="138"/>
      <c r="AI126" s="138"/>
      <c r="AJ126" s="138"/>
      <c r="AK126" s="138"/>
      <c r="AL126" s="138"/>
      <c r="AM126" s="138"/>
      <c r="AN126" s="138"/>
      <c r="AO126" s="138" t="str">
        <f>" " &amp; TEXT(AE126,"#0.00%") &amp; " " &amp; "거주자 사업/기타소득, 비거주자 사업/기타소득, 이자/배당소득" &amp; "(윤상필차장)" &amp; " " &amp; IF(P126="","",TEXT(P126,"M/D-")) &amp; IF(Q126="","",TEXT(Q126,"M/D")) &amp; " "</f>
        <v xml:space="preserve"> 0.00% 거주자 사업/기타소득, 비거주자 사업/기타소득, 이자/배당소득(윤상필차장) 3/9-3/9 </v>
      </c>
      <c r="AP126" s="138"/>
      <c r="AQ126" s="138"/>
      <c r="AR126" s="138"/>
      <c r="AS126" s="138"/>
      <c r="AT126" s="138"/>
      <c r="AU126" s="138"/>
      <c r="AV126" s="138"/>
      <c r="AW126" s="138"/>
      <c r="AX126" s="138"/>
      <c r="AY126" s="138"/>
      <c r="AZ126" s="138"/>
      <c r="BA126" s="138"/>
      <c r="BB126" s="138"/>
      <c r="BC126" s="138"/>
      <c r="BD126" s="138"/>
      <c r="BE126" s="138"/>
      <c r="BF126" s="138"/>
      <c r="BG126" s="138"/>
      <c r="BH126" s="138"/>
      <c r="BI126" s="138"/>
      <c r="BJ126" s="138"/>
      <c r="BK126" s="138"/>
      <c r="BL126" s="138"/>
      <c r="BM126" s="138"/>
      <c r="BN126" s="138"/>
      <c r="BO126" s="138"/>
      <c r="BP126" s="138"/>
      <c r="BQ126" s="138"/>
      <c r="BR126" s="138"/>
      <c r="BS126" s="138"/>
      <c r="BT126" s="138"/>
      <c r="BU126" s="138"/>
      <c r="BV126" s="138"/>
      <c r="BW126" s="138"/>
      <c r="BX126" s="138"/>
      <c r="BY126" s="138"/>
      <c r="BZ126" s="138"/>
      <c r="CA126" s="138"/>
      <c r="CB126" s="138"/>
      <c r="CC126" s="138"/>
      <c r="CD126" s="138"/>
      <c r="CE126" s="138"/>
      <c r="CF126" s="138"/>
      <c r="CG126" s="138"/>
      <c r="CH126" s="138"/>
      <c r="CI126" s="138"/>
      <c r="CJ126" s="138"/>
      <c r="CK126" s="138"/>
      <c r="CL126" s="138"/>
      <c r="CM126" s="138"/>
      <c r="CN126" s="138"/>
      <c r="CO126" s="138"/>
      <c r="CP126" s="138"/>
      <c r="CQ126" s="138"/>
      <c r="CR126" s="138"/>
      <c r="CS126" s="138"/>
    </row>
    <row r="127" spans="1:97" ht="18" customHeight="1" outlineLevel="3">
      <c r="A127" s="233"/>
      <c r="B127" s="233"/>
      <c r="C127" s="233">
        <v>4</v>
      </c>
      <c r="D127" s="234" t="s">
        <v>1837</v>
      </c>
      <c r="E127" s="235"/>
      <c r="F127" s="235"/>
      <c r="G127" s="235"/>
      <c r="H127" s="241" t="s">
        <v>1840</v>
      </c>
      <c r="I127" s="235"/>
      <c r="J127" s="235"/>
      <c r="K127" s="235"/>
      <c r="L127" s="235"/>
      <c r="M127" s="235"/>
      <c r="N127" s="235"/>
      <c r="O127" s="235"/>
      <c r="P127" s="236">
        <v>44271</v>
      </c>
      <c r="Q127" s="236">
        <v>44271</v>
      </c>
      <c r="R127" s="235"/>
      <c r="S127" s="237">
        <v>1</v>
      </c>
      <c r="T127" s="237">
        <v>0</v>
      </c>
      <c r="U127" s="237">
        <v>1</v>
      </c>
      <c r="V127" s="237">
        <v>0</v>
      </c>
      <c r="W127" s="236"/>
      <c r="X127" s="236"/>
      <c r="Y127" s="238">
        <v>0</v>
      </c>
      <c r="Z127" s="239">
        <v>0</v>
      </c>
      <c r="AA127" s="237"/>
      <c r="AB127" s="235" t="s">
        <v>1877</v>
      </c>
      <c r="AC127" s="232"/>
      <c r="AD127" s="203">
        <v>0</v>
      </c>
      <c r="AE127" s="205">
        <v>0</v>
      </c>
      <c r="AF127" s="137"/>
      <c r="AG127" s="138"/>
      <c r="AH127" s="138"/>
      <c r="AI127" s="138"/>
      <c r="AJ127" s="138"/>
      <c r="AK127" s="138"/>
      <c r="AL127" s="138"/>
      <c r="AM127" s="138"/>
      <c r="AN127" s="138"/>
      <c r="AO127" s="138"/>
      <c r="AP127" s="138" t="str">
        <f>" " &amp; TEXT(AE127,"#0.00%") &amp; " " &amp; "연말정산관리" &amp; "(윤상필차장)" &amp; " " &amp; IF(P127="","",TEXT(P127,"M/D-")) &amp; IF(Q127="","",TEXT(Q127,"M/D")) &amp; " "</f>
        <v xml:space="preserve"> 0.00% 연말정산관리(윤상필차장) 3/16-3/16 </v>
      </c>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c r="CD127" s="138"/>
      <c r="CE127" s="138"/>
      <c r="CF127" s="138"/>
      <c r="CG127" s="138"/>
      <c r="CH127" s="138"/>
      <c r="CI127" s="138"/>
      <c r="CJ127" s="138"/>
      <c r="CK127" s="138"/>
      <c r="CL127" s="138"/>
      <c r="CM127" s="138"/>
      <c r="CN127" s="138"/>
      <c r="CO127" s="138"/>
      <c r="CP127" s="138"/>
      <c r="CQ127" s="138"/>
      <c r="CR127" s="138"/>
      <c r="CS127" s="138"/>
    </row>
    <row r="128" spans="1:97" ht="18" customHeight="1" outlineLevel="3">
      <c r="A128" s="233"/>
      <c r="B128" s="233"/>
      <c r="C128" s="233">
        <v>4</v>
      </c>
      <c r="D128" s="234" t="s">
        <v>1838</v>
      </c>
      <c r="E128" s="235"/>
      <c r="F128" s="235"/>
      <c r="G128" s="235"/>
      <c r="H128" s="242" t="s">
        <v>1841</v>
      </c>
      <c r="I128" s="235"/>
      <c r="J128" s="235"/>
      <c r="K128" s="235"/>
      <c r="L128" s="235"/>
      <c r="M128" s="235"/>
      <c r="N128" s="235"/>
      <c r="O128" s="235"/>
      <c r="P128" s="236">
        <v>44278</v>
      </c>
      <c r="Q128" s="236">
        <v>44278</v>
      </c>
      <c r="R128" s="235"/>
      <c r="S128" s="237">
        <v>1</v>
      </c>
      <c r="T128" s="237">
        <v>0</v>
      </c>
      <c r="U128" s="237">
        <v>1</v>
      </c>
      <c r="V128" s="237">
        <v>0</v>
      </c>
      <c r="W128" s="236"/>
      <c r="X128" s="236"/>
      <c r="Y128" s="238">
        <v>0</v>
      </c>
      <c r="Z128" s="239">
        <v>0</v>
      </c>
      <c r="AA128" s="237"/>
      <c r="AB128" s="235" t="s">
        <v>1877</v>
      </c>
      <c r="AC128" s="232"/>
      <c r="AD128" s="203">
        <v>0</v>
      </c>
      <c r="AE128" s="205">
        <v>0</v>
      </c>
      <c r="AF128" s="137"/>
      <c r="AG128" s="138"/>
      <c r="AH128" s="138"/>
      <c r="AI128" s="138"/>
      <c r="AJ128" s="138"/>
      <c r="AK128" s="138"/>
      <c r="AL128" s="138"/>
      <c r="AM128" s="138"/>
      <c r="AN128" s="138"/>
      <c r="AO128" s="138"/>
      <c r="AP128" s="138"/>
      <c r="AQ128" s="138" t="str">
        <f>" " &amp; TEXT(AE128,"#0.00%") &amp; " " &amp; "세무신고관리" &amp; "(윤상필차장)" &amp; " " &amp; IF(P128="","",TEXT(P128,"M/D-")) &amp; IF(Q128="","",TEXT(Q128,"M/D")) &amp; " "</f>
        <v xml:space="preserve"> 0.00% 세무신고관리(윤상필차장) 3/23-3/23 </v>
      </c>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c r="CB128" s="138"/>
      <c r="CC128" s="138"/>
      <c r="CD128" s="138"/>
      <c r="CE128" s="138"/>
      <c r="CF128" s="138"/>
      <c r="CG128" s="138"/>
      <c r="CH128" s="138"/>
      <c r="CI128" s="138"/>
      <c r="CJ128" s="138"/>
      <c r="CK128" s="138"/>
      <c r="CL128" s="138"/>
      <c r="CM128" s="138"/>
      <c r="CN128" s="138"/>
      <c r="CO128" s="138"/>
      <c r="CP128" s="138"/>
      <c r="CQ128" s="138"/>
      <c r="CR128" s="138"/>
      <c r="CS128" s="138"/>
    </row>
    <row r="129" spans="1:97" ht="18" customHeight="1" outlineLevel="3">
      <c r="A129" s="233"/>
      <c r="B129" s="233"/>
      <c r="C129" s="233">
        <v>4</v>
      </c>
      <c r="D129" s="234" t="s">
        <v>1839</v>
      </c>
      <c r="E129" s="235"/>
      <c r="F129" s="235"/>
      <c r="G129" s="235"/>
      <c r="H129" s="242" t="s">
        <v>1842</v>
      </c>
      <c r="I129" s="235"/>
      <c r="J129" s="235"/>
      <c r="K129" s="235"/>
      <c r="L129" s="235"/>
      <c r="M129" s="235"/>
      <c r="N129" s="235"/>
      <c r="O129" s="235"/>
      <c r="P129" s="236">
        <v>44285</v>
      </c>
      <c r="Q129" s="236">
        <v>44285</v>
      </c>
      <c r="R129" s="235"/>
      <c r="S129" s="237">
        <v>1</v>
      </c>
      <c r="T129" s="237">
        <v>0</v>
      </c>
      <c r="U129" s="237">
        <v>1</v>
      </c>
      <c r="V129" s="237">
        <v>0</v>
      </c>
      <c r="W129" s="236"/>
      <c r="X129" s="236"/>
      <c r="Y129" s="238">
        <v>0</v>
      </c>
      <c r="Z129" s="239">
        <v>0</v>
      </c>
      <c r="AA129" s="237"/>
      <c r="AB129" s="235" t="s">
        <v>1877</v>
      </c>
      <c r="AC129" s="232"/>
      <c r="AD129" s="203">
        <v>0</v>
      </c>
      <c r="AE129" s="205">
        <v>0</v>
      </c>
      <c r="AF129" s="137"/>
      <c r="AG129" s="138"/>
      <c r="AH129" s="138"/>
      <c r="AI129" s="138"/>
      <c r="AJ129" s="138"/>
      <c r="AK129" s="138"/>
      <c r="AL129" s="138"/>
      <c r="AM129" s="138"/>
      <c r="AN129" s="138"/>
      <c r="AO129" s="138"/>
      <c r="AP129" s="138"/>
      <c r="AQ129" s="138"/>
      <c r="AR129" s="138" t="str">
        <f>" " &amp; TEXT(AE129,"#0.00%") &amp; " " &amp; "전표연동관리" &amp; "(윤상필차장)" &amp; " " &amp; IF(P129="","",TEXT(P129,"M/D-")) &amp; IF(Q129="","",TEXT(Q129,"M/D")) &amp; " "</f>
        <v xml:space="preserve"> 0.00% 전표연동관리(윤상필차장) 3/30-3/30 </v>
      </c>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c r="CB129" s="138"/>
      <c r="CC129" s="138"/>
      <c r="CD129" s="138"/>
      <c r="CE129" s="138"/>
      <c r="CF129" s="138"/>
      <c r="CG129" s="138"/>
      <c r="CH129" s="138"/>
      <c r="CI129" s="138"/>
      <c r="CJ129" s="138"/>
      <c r="CK129" s="138"/>
      <c r="CL129" s="138"/>
      <c r="CM129" s="138"/>
      <c r="CN129" s="138"/>
      <c r="CO129" s="138"/>
      <c r="CP129" s="138"/>
      <c r="CQ129" s="138"/>
      <c r="CR129" s="138"/>
      <c r="CS129" s="138"/>
    </row>
    <row r="130" spans="1:97" ht="18" customHeight="1" outlineLevel="2">
      <c r="A130" s="233"/>
      <c r="B130" s="233"/>
      <c r="C130" s="233">
        <v>3</v>
      </c>
      <c r="D130" s="234" t="s">
        <v>1702</v>
      </c>
      <c r="E130" s="235"/>
      <c r="F130" s="235"/>
      <c r="G130" s="235" t="s">
        <v>1253</v>
      </c>
      <c r="H130" s="235"/>
      <c r="I130" s="235"/>
      <c r="J130" s="235"/>
      <c r="K130" s="235"/>
      <c r="L130" s="235"/>
      <c r="M130" s="235"/>
      <c r="N130" s="235"/>
      <c r="O130" s="235"/>
      <c r="P130" s="236">
        <v>44378</v>
      </c>
      <c r="Q130" s="236">
        <v>44530</v>
      </c>
      <c r="R130" s="235"/>
      <c r="S130" s="237">
        <v>106</v>
      </c>
      <c r="T130" s="237">
        <v>0</v>
      </c>
      <c r="U130" s="237">
        <v>106</v>
      </c>
      <c r="V130" s="237">
        <v>0</v>
      </c>
      <c r="W130" s="236"/>
      <c r="X130" s="236"/>
      <c r="Y130" s="238">
        <v>0</v>
      </c>
      <c r="Z130" s="239">
        <v>0</v>
      </c>
      <c r="AA130" s="237"/>
      <c r="AB130" s="235"/>
      <c r="AC130" s="232"/>
      <c r="AD130" s="203">
        <v>0</v>
      </c>
      <c r="AE130" s="205">
        <v>0</v>
      </c>
      <c r="AF130" s="137"/>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c r="BC130" s="138"/>
      <c r="BD130" s="138"/>
      <c r="BE130" s="138" t="str">
        <f>"   " &amp; TEXT(AE130,"#0.00%") &amp; " "</f>
        <v xml:space="preserve">   0.00% </v>
      </c>
      <c r="BF130" s="138"/>
      <c r="BG130" s="138"/>
      <c r="BH130" s="138"/>
      <c r="BI130" s="138"/>
      <c r="BJ130" s="138"/>
      <c r="BK130" s="138"/>
      <c r="BL130" s="138"/>
      <c r="BM130" s="138"/>
      <c r="BN130" s="138"/>
      <c r="BO130" s="138"/>
      <c r="BP130" s="138"/>
      <c r="BQ130" s="138"/>
      <c r="BR130" s="138"/>
      <c r="BS130" s="138"/>
      <c r="BT130" s="138"/>
      <c r="BU130" s="138"/>
      <c r="BV130" s="138"/>
      <c r="BW130" s="138"/>
      <c r="BX130" s="138"/>
      <c r="BY130" s="138"/>
      <c r="BZ130" s="138"/>
      <c r="CA130" s="138" t="str">
        <f>"  " &amp; "개발" &amp; " " &amp; IF(P130="","",TEXT(P130,"M/D-")) &amp; IF(Q130="","",TEXT(Q130,"M/D")) &amp; " "</f>
        <v xml:space="preserve">  개발 7/1-11/30 </v>
      </c>
      <c r="CB130" s="138"/>
      <c r="CC130" s="138"/>
      <c r="CD130" s="138"/>
      <c r="CE130" s="138"/>
      <c r="CF130" s="138"/>
      <c r="CG130" s="138"/>
      <c r="CH130" s="138"/>
      <c r="CI130" s="138"/>
      <c r="CJ130" s="138"/>
      <c r="CK130" s="138"/>
      <c r="CL130" s="138"/>
      <c r="CM130" s="138"/>
      <c r="CN130" s="138"/>
      <c r="CO130" s="138"/>
      <c r="CP130" s="138"/>
      <c r="CQ130" s="138"/>
      <c r="CR130" s="138"/>
      <c r="CS130" s="138"/>
    </row>
    <row r="131" spans="1:97" ht="18" customHeight="1" outlineLevel="2">
      <c r="A131" s="233"/>
      <c r="B131" s="233"/>
      <c r="C131" s="233">
        <v>3</v>
      </c>
      <c r="D131" s="234" t="s">
        <v>1703</v>
      </c>
      <c r="E131" s="235"/>
      <c r="F131" s="235"/>
      <c r="G131" s="235" t="s">
        <v>1253</v>
      </c>
      <c r="H131" s="235"/>
      <c r="I131" s="235"/>
      <c r="J131" s="235"/>
      <c r="K131" s="235"/>
      <c r="L131" s="235"/>
      <c r="M131" s="235"/>
      <c r="N131" s="235"/>
      <c r="O131" s="235"/>
      <c r="P131" s="236">
        <v>44473</v>
      </c>
      <c r="Q131" s="236">
        <v>44561</v>
      </c>
      <c r="R131" s="235"/>
      <c r="S131" s="237">
        <v>65</v>
      </c>
      <c r="T131" s="237">
        <v>0</v>
      </c>
      <c r="U131" s="237">
        <v>65</v>
      </c>
      <c r="V131" s="237">
        <v>0</v>
      </c>
      <c r="W131" s="236"/>
      <c r="X131" s="236"/>
      <c r="Y131" s="238">
        <v>0</v>
      </c>
      <c r="Z131" s="239">
        <v>0</v>
      </c>
      <c r="AA131" s="237"/>
      <c r="AB131" s="235"/>
      <c r="AC131" s="232"/>
      <c r="AD131" s="203">
        <v>0</v>
      </c>
      <c r="AE131" s="205">
        <v>0</v>
      </c>
      <c r="AF131" s="137"/>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t="str">
        <f>"" &amp; TEXT(AE131,"#0.00%") &amp; " "</f>
        <v xml:space="preserve">0.00% </v>
      </c>
      <c r="BT131" s="138"/>
      <c r="BU131" s="138"/>
      <c r="BV131" s="138"/>
      <c r="BW131" s="138"/>
      <c r="BX131" s="138"/>
      <c r="BY131" s="138"/>
      <c r="BZ131" s="138"/>
      <c r="CA131" s="138"/>
      <c r="CB131" s="138"/>
      <c r="CC131" s="138"/>
      <c r="CD131" s="138"/>
      <c r="CE131" s="138" t="str">
        <f>"     " &amp; "개발" &amp; " " &amp; IF(P131="","",TEXT(P131,"M/D-")) &amp; IF(Q131="","",TEXT(Q131,"M/D")) &amp; " "</f>
        <v xml:space="preserve">     개발 10/4-12/31 </v>
      </c>
      <c r="CF131" s="138"/>
      <c r="CG131" s="138"/>
      <c r="CH131" s="138"/>
      <c r="CI131" s="138"/>
      <c r="CJ131" s="138"/>
      <c r="CK131" s="138"/>
      <c r="CL131" s="138"/>
      <c r="CM131" s="138"/>
      <c r="CN131" s="138"/>
      <c r="CO131" s="138"/>
      <c r="CP131" s="138"/>
      <c r="CQ131" s="138"/>
      <c r="CR131" s="138"/>
      <c r="CS131" s="138"/>
    </row>
    <row r="132" spans="1:97" ht="18" customHeight="1" outlineLevel="1">
      <c r="A132" s="233"/>
      <c r="B132" s="233" t="s">
        <v>1426</v>
      </c>
      <c r="C132" s="233">
        <v>2</v>
      </c>
      <c r="D132" s="234" t="s">
        <v>1704</v>
      </c>
      <c r="E132" s="235"/>
      <c r="F132" s="235" t="s">
        <v>1868</v>
      </c>
      <c r="G132" s="235"/>
      <c r="H132" s="235"/>
      <c r="I132" s="235"/>
      <c r="J132" s="235"/>
      <c r="K132" s="235"/>
      <c r="L132" s="235"/>
      <c r="M132" s="235"/>
      <c r="N132" s="235"/>
      <c r="O132" s="235"/>
      <c r="P132" s="236">
        <v>44531</v>
      </c>
      <c r="Q132" s="236">
        <v>44620</v>
      </c>
      <c r="R132" s="235"/>
      <c r="S132" s="237">
        <v>122</v>
      </c>
      <c r="T132" s="237">
        <v>0</v>
      </c>
      <c r="U132" s="237">
        <v>61</v>
      </c>
      <c r="V132" s="237">
        <v>0</v>
      </c>
      <c r="W132" s="236"/>
      <c r="X132" s="236"/>
      <c r="Y132" s="238">
        <v>0</v>
      </c>
      <c r="Z132" s="239">
        <v>0</v>
      </c>
      <c r="AA132" s="237"/>
      <c r="AB132" s="235"/>
      <c r="AC132" s="232"/>
      <c r="AD132" s="203">
        <v>0</v>
      </c>
      <c r="AE132" s="204">
        <v>0</v>
      </c>
      <c r="AF132" s="137"/>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t="str">
        <f>"  " &amp; TEXT(AE132,"#0.00%") &amp; " "</f>
        <v xml:space="preserve">  0.00% </v>
      </c>
      <c r="CB132" s="138"/>
      <c r="CC132" s="138"/>
      <c r="CD132" s="138"/>
      <c r="CE132" s="138"/>
      <c r="CF132" s="138"/>
      <c r="CG132" s="138"/>
      <c r="CH132" s="138"/>
      <c r="CI132" s="138"/>
      <c r="CJ132" s="138"/>
      <c r="CK132" s="138"/>
      <c r="CL132" s="138"/>
      <c r="CM132" s="138"/>
      <c r="CN132" s="138" t="str">
        <f>" " &amp; "EIS(Executive Information System, 경영정보시스템)" &amp; " " &amp; IF(P132="","",TEXT(P132,"M/D-")) &amp; IF(Q132="","",TEXT(Q132,"M/D")) &amp; " "</f>
        <v xml:space="preserve"> EIS(Executive Information System, 경영정보시스템) 12/1-2/28 </v>
      </c>
      <c r="CO132" s="138"/>
      <c r="CP132" s="138"/>
      <c r="CQ132" s="138"/>
      <c r="CR132" s="138"/>
      <c r="CS132" s="138"/>
    </row>
    <row r="133" spans="1:97" ht="18" customHeight="1" outlineLevel="2">
      <c r="A133" s="233"/>
      <c r="B133" s="233"/>
      <c r="C133" s="233">
        <v>3</v>
      </c>
      <c r="D133" s="234" t="s">
        <v>1705</v>
      </c>
      <c r="E133" s="235"/>
      <c r="F133" s="235"/>
      <c r="G133" s="235" t="s">
        <v>1683</v>
      </c>
      <c r="H133" s="235"/>
      <c r="I133" s="235"/>
      <c r="J133" s="235"/>
      <c r="K133" s="235"/>
      <c r="L133" s="235"/>
      <c r="M133" s="235"/>
      <c r="N133" s="235"/>
      <c r="O133" s="235"/>
      <c r="P133" s="236">
        <v>44531</v>
      </c>
      <c r="Q133" s="236">
        <v>44620</v>
      </c>
      <c r="R133" s="235"/>
      <c r="S133" s="237">
        <v>61</v>
      </c>
      <c r="T133" s="237">
        <v>0</v>
      </c>
      <c r="U133" s="237">
        <v>61</v>
      </c>
      <c r="V133" s="237">
        <v>0</v>
      </c>
      <c r="W133" s="236"/>
      <c r="X133" s="236"/>
      <c r="Y133" s="238">
        <v>0</v>
      </c>
      <c r="Z133" s="239">
        <v>0</v>
      </c>
      <c r="AA133" s="237"/>
      <c r="AB133" s="235"/>
      <c r="AC133" s="232"/>
      <c r="AD133" s="203">
        <v>0</v>
      </c>
      <c r="AE133" s="205">
        <v>0</v>
      </c>
      <c r="AF133" s="137"/>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c r="BM133" s="138"/>
      <c r="BN133" s="138"/>
      <c r="BO133" s="138"/>
      <c r="BP133" s="138"/>
      <c r="BQ133" s="138"/>
      <c r="BR133" s="138"/>
      <c r="BS133" s="138"/>
      <c r="BT133" s="138"/>
      <c r="BU133" s="138"/>
      <c r="BV133" s="138"/>
      <c r="BW133" s="138"/>
      <c r="BX133" s="138"/>
      <c r="BY133" s="138"/>
      <c r="BZ133" s="138"/>
      <c r="CA133" s="138" t="str">
        <f>"  " &amp; TEXT(AE133,"#0.00%") &amp; " "</f>
        <v xml:space="preserve">  0.00% </v>
      </c>
      <c r="CB133" s="138"/>
      <c r="CC133" s="138"/>
      <c r="CD133" s="138"/>
      <c r="CE133" s="138"/>
      <c r="CF133" s="138"/>
      <c r="CG133" s="138"/>
      <c r="CH133" s="138"/>
      <c r="CI133" s="138"/>
      <c r="CJ133" s="138"/>
      <c r="CK133" s="138"/>
      <c r="CL133" s="138"/>
      <c r="CM133" s="138"/>
      <c r="CN133" s="138" t="str">
        <f>" " &amp; "컨설팅" &amp; " " &amp; IF(P133="","",TEXT(P133,"M/D-")) &amp; IF(Q133="","",TEXT(Q133,"M/D")) &amp; " "</f>
        <v xml:space="preserve"> 컨설팅 12/1-2/28 </v>
      </c>
      <c r="CO133" s="138"/>
      <c r="CP133" s="138"/>
      <c r="CQ133" s="138"/>
      <c r="CR133" s="138"/>
      <c r="CS133" s="138"/>
    </row>
    <row r="134" spans="1:97" ht="18" customHeight="1" outlineLevel="2">
      <c r="A134" s="233"/>
      <c r="B134" s="233"/>
      <c r="C134" s="233">
        <v>3</v>
      </c>
      <c r="D134" s="234" t="s">
        <v>1706</v>
      </c>
      <c r="E134" s="235"/>
      <c r="F134" s="235"/>
      <c r="G134" s="235" t="s">
        <v>1253</v>
      </c>
      <c r="H134" s="235"/>
      <c r="I134" s="235"/>
      <c r="J134" s="235"/>
      <c r="K134" s="235"/>
      <c r="L134" s="235"/>
      <c r="M134" s="235"/>
      <c r="N134" s="235"/>
      <c r="O134" s="235"/>
      <c r="P134" s="236">
        <v>44531</v>
      </c>
      <c r="Q134" s="236">
        <v>44620</v>
      </c>
      <c r="R134" s="235"/>
      <c r="S134" s="237">
        <v>61</v>
      </c>
      <c r="T134" s="237">
        <v>0</v>
      </c>
      <c r="U134" s="237">
        <v>61</v>
      </c>
      <c r="V134" s="237">
        <v>0</v>
      </c>
      <c r="W134" s="236"/>
      <c r="X134" s="236"/>
      <c r="Y134" s="238">
        <v>0</v>
      </c>
      <c r="Z134" s="239">
        <v>0</v>
      </c>
      <c r="AA134" s="237"/>
      <c r="AB134" s="235"/>
      <c r="AC134" s="232"/>
      <c r="AD134" s="203">
        <v>0</v>
      </c>
      <c r="AE134" s="205">
        <v>0</v>
      </c>
      <c r="AF134" s="137"/>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t="str">
        <f>"  " &amp; TEXT(AE134,"#0.00%") &amp; " "</f>
        <v xml:space="preserve">  0.00% </v>
      </c>
      <c r="CB134" s="138"/>
      <c r="CC134" s="138"/>
      <c r="CD134" s="138"/>
      <c r="CE134" s="138"/>
      <c r="CF134" s="138"/>
      <c r="CG134" s="138"/>
      <c r="CH134" s="138"/>
      <c r="CI134" s="138"/>
      <c r="CJ134" s="138"/>
      <c r="CK134" s="138"/>
      <c r="CL134" s="138"/>
      <c r="CM134" s="138"/>
      <c r="CN134" s="138" t="str">
        <f>" " &amp; "개발" &amp; " " &amp; IF(P134="","",TEXT(P134,"M/D-")) &amp; IF(Q134="","",TEXT(Q134,"M/D")) &amp; " "</f>
        <v xml:space="preserve"> 개발 12/1-2/28 </v>
      </c>
      <c r="CO134" s="138"/>
      <c r="CP134" s="138"/>
      <c r="CQ134" s="138"/>
      <c r="CR134" s="138"/>
      <c r="CS134" s="138"/>
    </row>
    <row r="135" spans="1:97" ht="18" customHeight="1">
      <c r="A135" s="195"/>
      <c r="B135" s="195" t="s">
        <v>1426</v>
      </c>
      <c r="C135" s="195">
        <v>1</v>
      </c>
      <c r="D135" s="196" t="s">
        <v>1103</v>
      </c>
      <c r="E135" s="197" t="s">
        <v>1538</v>
      </c>
      <c r="F135" s="197"/>
      <c r="G135" s="197"/>
      <c r="H135" s="197"/>
      <c r="I135" s="197"/>
      <c r="J135" s="197"/>
      <c r="K135" s="197"/>
      <c r="L135" s="197"/>
      <c r="M135" s="197"/>
      <c r="N135" s="197"/>
      <c r="O135" s="197"/>
      <c r="P135" s="198">
        <v>44242</v>
      </c>
      <c r="Q135" s="198">
        <v>44561</v>
      </c>
      <c r="R135" s="199"/>
      <c r="S135" s="200">
        <v>50</v>
      </c>
      <c r="T135" s="200">
        <v>0</v>
      </c>
      <c r="U135" s="200">
        <v>224</v>
      </c>
      <c r="V135" s="200">
        <v>0</v>
      </c>
      <c r="W135" s="198"/>
      <c r="X135" s="198"/>
      <c r="Y135" s="201">
        <v>0</v>
      </c>
      <c r="Z135" s="202">
        <v>0</v>
      </c>
      <c r="AA135" s="200"/>
      <c r="AB135" s="199" t="s">
        <v>1830</v>
      </c>
      <c r="AC135" s="165"/>
      <c r="AD135" s="203">
        <v>0</v>
      </c>
      <c r="AE135" s="204">
        <v>0</v>
      </c>
      <c r="AF135" s="137"/>
      <c r="AG135" s="138"/>
      <c r="AH135" s="138"/>
      <c r="AI135" s="138"/>
      <c r="AJ135" s="138"/>
      <c r="AK135" s="138"/>
      <c r="AL135" s="138" t="str">
        <f>"" &amp; TEXT(AE135,"#0.00%") &amp; " "</f>
        <v xml:space="preserve">0.00% </v>
      </c>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c r="CD135" s="138"/>
      <c r="CE135" s="138" t="str">
        <f>"     " &amp; "그룹웨어 Package" &amp; "(오임경과장(010-9176-9007))" &amp; " " &amp; IF(P135="","",TEXT(P135,"M/D-")) &amp; IF(Q135="","",TEXT(Q135,"M/D")) &amp; " "</f>
        <v xml:space="preserve">     그룹웨어 Package(오임경과장(010-9176-9007)) 2/15-12/31 </v>
      </c>
      <c r="CF135" s="138"/>
      <c r="CG135" s="138"/>
      <c r="CH135" s="138"/>
      <c r="CI135" s="138"/>
      <c r="CJ135" s="138"/>
      <c r="CK135" s="138"/>
      <c r="CL135" s="138"/>
      <c r="CM135" s="138"/>
      <c r="CN135" s="138"/>
      <c r="CO135" s="138"/>
      <c r="CP135" s="138"/>
      <c r="CQ135" s="138"/>
      <c r="CR135" s="138"/>
      <c r="CS135" s="138"/>
    </row>
    <row r="136" spans="1:97" ht="18" customHeight="1" outlineLevel="1">
      <c r="A136" s="195"/>
      <c r="B136" s="195"/>
      <c r="C136" s="195">
        <v>2</v>
      </c>
      <c r="D136" s="196" t="s">
        <v>1707</v>
      </c>
      <c r="E136" s="197"/>
      <c r="F136" s="197" t="s">
        <v>1682</v>
      </c>
      <c r="G136" s="197"/>
      <c r="H136" s="197"/>
      <c r="I136" s="197"/>
      <c r="J136" s="197"/>
      <c r="K136" s="197"/>
      <c r="L136" s="197"/>
      <c r="M136" s="197"/>
      <c r="N136" s="197"/>
      <c r="O136" s="197"/>
      <c r="P136" s="198">
        <v>44242</v>
      </c>
      <c r="Q136" s="198">
        <v>44246</v>
      </c>
      <c r="R136" s="199"/>
      <c r="S136" s="200">
        <v>5</v>
      </c>
      <c r="T136" s="200">
        <v>0</v>
      </c>
      <c r="U136" s="200">
        <v>5</v>
      </c>
      <c r="V136" s="200">
        <v>0</v>
      </c>
      <c r="W136" s="198"/>
      <c r="X136" s="198"/>
      <c r="Y136" s="201">
        <v>0</v>
      </c>
      <c r="Z136" s="202">
        <v>0</v>
      </c>
      <c r="AA136" s="200"/>
      <c r="AB136" s="199"/>
      <c r="AC136" s="165"/>
      <c r="AD136" s="203">
        <v>0</v>
      </c>
      <c r="AE136" s="205">
        <v>0</v>
      </c>
      <c r="AF136" s="137"/>
      <c r="AG136" s="138"/>
      <c r="AH136" s="138"/>
      <c r="AI136" s="138"/>
      <c r="AJ136" s="138"/>
      <c r="AK136" s="138"/>
      <c r="AL136" s="138" t="str">
        <f>"" &amp; TEXT(AE136,"#0.00%") &amp; " " &amp; "Package 설치" &amp; " " &amp; IF(P136="","",TEXT(P136,"M/D-")) &amp; IF(Q136="","",TEXT(Q136,"M/D")) &amp; " "</f>
        <v xml:space="preserve">0.00% Package 설치 2/15-2/19 </v>
      </c>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row>
    <row r="137" spans="1:97" ht="18" customHeight="1" outlineLevel="1">
      <c r="A137" s="195"/>
      <c r="B137" s="195"/>
      <c r="C137" s="195">
        <v>2</v>
      </c>
      <c r="D137" s="196" t="s">
        <v>1708</v>
      </c>
      <c r="E137" s="197"/>
      <c r="F137" s="197" t="s">
        <v>1688</v>
      </c>
      <c r="G137" s="197"/>
      <c r="H137" s="197"/>
      <c r="I137" s="197"/>
      <c r="J137" s="197"/>
      <c r="K137" s="197"/>
      <c r="L137" s="197"/>
      <c r="M137" s="197"/>
      <c r="N137" s="197"/>
      <c r="O137" s="197"/>
      <c r="P137" s="198">
        <v>44501</v>
      </c>
      <c r="Q137" s="198">
        <v>44561</v>
      </c>
      <c r="R137" s="199"/>
      <c r="S137" s="200">
        <v>45</v>
      </c>
      <c r="T137" s="200">
        <v>0</v>
      </c>
      <c r="U137" s="200">
        <v>45</v>
      </c>
      <c r="V137" s="200">
        <v>0</v>
      </c>
      <c r="W137" s="198"/>
      <c r="X137" s="198"/>
      <c r="Y137" s="201">
        <v>0</v>
      </c>
      <c r="Z137" s="202">
        <v>0</v>
      </c>
      <c r="AA137" s="200"/>
      <c r="AB137" s="199"/>
      <c r="AC137" s="165"/>
      <c r="AD137" s="203">
        <v>0</v>
      </c>
      <c r="AE137" s="205">
        <v>0</v>
      </c>
      <c r="AF137" s="137"/>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c r="BC137" s="138"/>
      <c r="BD137" s="138"/>
      <c r="BE137" s="138"/>
      <c r="BF137" s="138"/>
      <c r="BG137" s="138"/>
      <c r="BH137" s="138"/>
      <c r="BI137" s="138"/>
      <c r="BJ137" s="138"/>
      <c r="BK137" s="138"/>
      <c r="BL137" s="138"/>
      <c r="BM137" s="138"/>
      <c r="BN137" s="138"/>
      <c r="BO137" s="138"/>
      <c r="BP137" s="138"/>
      <c r="BQ137" s="138"/>
      <c r="BR137" s="138"/>
      <c r="BS137" s="138"/>
      <c r="BT137" s="138"/>
      <c r="BU137" s="138"/>
      <c r="BV137" s="138"/>
      <c r="BW137" s="138" t="str">
        <f>"" &amp; TEXT(AE137,"#0.00%") &amp; " "</f>
        <v xml:space="preserve">0.00% </v>
      </c>
      <c r="BX137" s="138"/>
      <c r="BY137" s="138"/>
      <c r="BZ137" s="138"/>
      <c r="CA137" s="138"/>
      <c r="CB137" s="138"/>
      <c r="CC137" s="138"/>
      <c r="CD137" s="138"/>
      <c r="CE137" s="138" t="str">
        <f>"     " &amp; "Customizing" &amp; " " &amp; IF(P137="","",TEXT(P137,"M/D-")) &amp; IF(Q137="","",TEXT(Q137,"M/D")) &amp; " "</f>
        <v xml:space="preserve">     Customizing 11/1-12/31 </v>
      </c>
      <c r="CF137" s="138"/>
      <c r="CG137" s="138"/>
      <c r="CH137" s="138"/>
      <c r="CI137" s="138"/>
      <c r="CJ137" s="138"/>
      <c r="CK137" s="138"/>
      <c r="CL137" s="138"/>
      <c r="CM137" s="138"/>
      <c r="CN137" s="138"/>
      <c r="CO137" s="138"/>
      <c r="CP137" s="138"/>
      <c r="CQ137" s="138"/>
      <c r="CR137" s="138"/>
      <c r="CS137" s="138"/>
    </row>
    <row r="138" spans="1:97" ht="18" customHeight="1" outlineLevel="1">
      <c r="A138" s="195"/>
      <c r="B138" s="195"/>
      <c r="C138" s="195">
        <v>0</v>
      </c>
      <c r="D138" s="196"/>
      <c r="E138" s="197"/>
      <c r="F138" s="197"/>
      <c r="G138" s="197"/>
      <c r="H138" s="197"/>
      <c r="I138" s="197"/>
      <c r="J138" s="197"/>
      <c r="K138" s="197"/>
      <c r="L138" s="197"/>
      <c r="M138" s="197"/>
      <c r="N138" s="197"/>
      <c r="O138" s="197"/>
      <c r="P138" s="198"/>
      <c r="Q138" s="198"/>
      <c r="R138" s="199"/>
      <c r="S138" s="200"/>
      <c r="T138" s="200"/>
      <c r="U138" s="200">
        <v>0</v>
      </c>
      <c r="V138" s="200">
        <v>0</v>
      </c>
      <c r="W138" s="198"/>
      <c r="X138" s="198"/>
      <c r="Y138" s="201"/>
      <c r="Z138" s="202">
        <v>0</v>
      </c>
      <c r="AA138" s="200"/>
      <c r="AB138" s="199"/>
      <c r="AC138" s="165"/>
      <c r="AD138" s="203"/>
      <c r="AE138" s="206"/>
      <c r="AF138" s="137"/>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row>
    <row r="139" spans="1:97" ht="18" customHeight="1">
      <c r="A139" s="195"/>
      <c r="B139" s="195" t="s">
        <v>1426</v>
      </c>
      <c r="C139" s="195">
        <v>1</v>
      </c>
      <c r="D139" s="196" t="s">
        <v>1104</v>
      </c>
      <c r="E139" s="197" t="s">
        <v>1539</v>
      </c>
      <c r="F139" s="197"/>
      <c r="G139" s="197"/>
      <c r="H139" s="197"/>
      <c r="I139" s="197"/>
      <c r="J139" s="197"/>
      <c r="K139" s="197"/>
      <c r="L139" s="197"/>
      <c r="M139" s="197"/>
      <c r="N139" s="197"/>
      <c r="O139" s="197"/>
      <c r="P139" s="198">
        <v>44228</v>
      </c>
      <c r="Q139" s="198">
        <v>44631</v>
      </c>
      <c r="R139" s="199"/>
      <c r="S139" s="200">
        <v>309</v>
      </c>
      <c r="T139" s="200">
        <v>14</v>
      </c>
      <c r="U139" s="200">
        <v>278</v>
      </c>
      <c r="V139" s="200">
        <v>8</v>
      </c>
      <c r="W139" s="198">
        <v>44228</v>
      </c>
      <c r="X139" s="198"/>
      <c r="Y139" s="201">
        <v>6</v>
      </c>
      <c r="Z139" s="202">
        <v>0</v>
      </c>
      <c r="AA139" s="200"/>
      <c r="AB139" s="199"/>
      <c r="AC139" s="165"/>
      <c r="AD139" s="203">
        <v>4.5307443365695796E-2</v>
      </c>
      <c r="AE139" s="204">
        <v>4.5307443365695796E-2</v>
      </c>
      <c r="AF139" s="137"/>
      <c r="AG139" s="138"/>
      <c r="AH139" s="138"/>
      <c r="AI139" s="138"/>
      <c r="AJ139" s="138"/>
      <c r="AK139" s="138"/>
      <c r="AL139" s="138" t="str">
        <f>"    " &amp; TEXT(AE139,"#0.00%") &amp; " "</f>
        <v xml:space="preserve">    4.53% </v>
      </c>
      <c r="AM139" s="138"/>
      <c r="AN139" s="138"/>
      <c r="AO139" s="138"/>
      <c r="AP139" s="138"/>
      <c r="AQ139" s="138"/>
      <c r="AR139" s="138"/>
      <c r="AS139" s="138"/>
      <c r="AT139" s="138"/>
      <c r="AU139" s="138"/>
      <c r="AV139" s="138"/>
      <c r="AW139" s="138"/>
      <c r="AX139" s="138"/>
      <c r="AY139" s="138"/>
      <c r="AZ139" s="138"/>
      <c r="BA139" s="138"/>
      <c r="BB139" s="138"/>
      <c r="BC139" s="138"/>
      <c r="BD139" s="138"/>
      <c r="BE139" s="138"/>
      <c r="BF139" s="138"/>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c r="CD139" s="138"/>
      <c r="CE139" s="138"/>
      <c r="CF139" s="138"/>
      <c r="CG139" s="138"/>
      <c r="CH139" s="138"/>
      <c r="CI139" s="138"/>
      <c r="CJ139" s="138"/>
      <c r="CK139" s="138"/>
      <c r="CL139" s="138"/>
      <c r="CM139" s="138"/>
      <c r="CN139" s="138"/>
      <c r="CO139" s="138" t="str">
        <f>"     " &amp; "Infra" &amp; " " &amp; IF(P139="","",TEXT(P139,"M/D-")) &amp; IF(Q139="","",TEXT(Q139,"M/D")) &amp; " "</f>
        <v xml:space="preserve">     Infra 2/1-3/11 </v>
      </c>
      <c r="CP139" s="138"/>
      <c r="CQ139" s="138"/>
      <c r="CR139" s="138"/>
      <c r="CS139" s="138"/>
    </row>
    <row r="140" spans="1:97" ht="18" customHeight="1" outlineLevel="1">
      <c r="A140" s="195"/>
      <c r="B140" s="195" t="s">
        <v>1426</v>
      </c>
      <c r="C140" s="195">
        <v>2</v>
      </c>
      <c r="D140" s="196" t="s">
        <v>1559</v>
      </c>
      <c r="E140" s="197"/>
      <c r="F140" s="197" t="s">
        <v>1540</v>
      </c>
      <c r="G140" s="197"/>
      <c r="H140" s="197"/>
      <c r="I140" s="197"/>
      <c r="J140" s="197"/>
      <c r="K140" s="197"/>
      <c r="L140" s="197"/>
      <c r="M140" s="197"/>
      <c r="N140" s="197"/>
      <c r="O140" s="197"/>
      <c r="P140" s="198">
        <v>44410</v>
      </c>
      <c r="Q140" s="198">
        <v>44631</v>
      </c>
      <c r="R140" s="199"/>
      <c r="S140" s="200">
        <v>115</v>
      </c>
      <c r="T140" s="200">
        <v>0</v>
      </c>
      <c r="U140" s="200">
        <v>153</v>
      </c>
      <c r="V140" s="200">
        <v>0</v>
      </c>
      <c r="W140" s="198"/>
      <c r="X140" s="198"/>
      <c r="Y140" s="201">
        <v>0</v>
      </c>
      <c r="Z140" s="202">
        <v>0</v>
      </c>
      <c r="AA140" s="200"/>
      <c r="AB140" s="199" t="s">
        <v>1633</v>
      </c>
      <c r="AC140" s="165"/>
      <c r="AD140" s="203">
        <v>0</v>
      </c>
      <c r="AE140" s="204">
        <v>0</v>
      </c>
      <c r="AF140" s="137"/>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c r="BC140" s="138"/>
      <c r="BD140" s="138"/>
      <c r="BE140" s="138"/>
      <c r="BF140" s="138"/>
      <c r="BG140" s="138"/>
      <c r="BH140" s="138"/>
      <c r="BI140" s="138"/>
      <c r="BJ140" s="138" t="str">
        <f>"" &amp; TEXT(AE140,"#0.00%") &amp; " "</f>
        <v xml:space="preserve">0.00% </v>
      </c>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8"/>
      <c r="CG140" s="138"/>
      <c r="CH140" s="138"/>
      <c r="CI140" s="138"/>
      <c r="CJ140" s="138"/>
      <c r="CK140" s="138"/>
      <c r="CL140" s="138"/>
      <c r="CM140" s="138"/>
      <c r="CN140" s="138"/>
      <c r="CO140" s="138" t="str">
        <f>"     " &amp; "네트워크" &amp; "(넷팜)" &amp; " " &amp; IF(P140="","",TEXT(P140,"M/D-")) &amp; IF(Q140="","",TEXT(Q140,"M/D")) &amp; " "</f>
        <v xml:space="preserve">     네트워크(넷팜) 8/2-3/11 </v>
      </c>
      <c r="CP140" s="138"/>
      <c r="CQ140" s="138"/>
      <c r="CR140" s="138"/>
      <c r="CS140" s="138"/>
    </row>
    <row r="141" spans="1:97" ht="18" customHeight="1" outlineLevel="2">
      <c r="A141" s="195"/>
      <c r="B141" s="195"/>
      <c r="C141" s="195">
        <v>3</v>
      </c>
      <c r="D141" s="196" t="s">
        <v>1560</v>
      </c>
      <c r="E141" s="197"/>
      <c r="F141" s="197"/>
      <c r="G141" s="197" t="s">
        <v>1548</v>
      </c>
      <c r="H141" s="197"/>
      <c r="I141" s="197"/>
      <c r="J141" s="197"/>
      <c r="K141" s="197"/>
      <c r="L141" s="197"/>
      <c r="M141" s="197"/>
      <c r="N141" s="197"/>
      <c r="O141" s="197"/>
      <c r="P141" s="198">
        <v>44431</v>
      </c>
      <c r="Q141" s="198">
        <v>44449</v>
      </c>
      <c r="R141" s="199"/>
      <c r="S141" s="200">
        <v>30</v>
      </c>
      <c r="T141" s="200">
        <v>0</v>
      </c>
      <c r="U141" s="200">
        <v>15</v>
      </c>
      <c r="V141" s="200">
        <v>0</v>
      </c>
      <c r="W141" s="198"/>
      <c r="X141" s="198"/>
      <c r="Y141" s="201">
        <v>0</v>
      </c>
      <c r="Z141" s="202">
        <v>0</v>
      </c>
      <c r="AA141" s="200"/>
      <c r="AB141" s="199" t="s">
        <v>1878</v>
      </c>
      <c r="AC141" s="165"/>
      <c r="AD141" s="203">
        <v>0</v>
      </c>
      <c r="AE141" s="205">
        <v>0</v>
      </c>
      <c r="AF141" s="137"/>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t="str">
        <f>"" &amp; TEXT(AE141,"#0.00%") &amp; " " &amp; "네트워크 구성 실사" &amp; "(최민혁부장,김명석부장)" &amp; " " &amp; IF(P141="","",TEXT(P141,"M/D-")) &amp; IF(Q141="","",TEXT(Q141,"M/D")) &amp; " "</f>
        <v xml:space="preserve">0.00% 네트워크 구성 실사(최민혁부장,김명석부장) 8/23-9/10 </v>
      </c>
      <c r="BN141" s="138"/>
      <c r="BO141" s="138"/>
      <c r="BP141" s="138"/>
      <c r="BQ141" s="138"/>
      <c r="BR141" s="138"/>
      <c r="BS141" s="138"/>
      <c r="BT141" s="138"/>
      <c r="BU141" s="138"/>
      <c r="BV141" s="138"/>
      <c r="BW141" s="138"/>
      <c r="BX141" s="138"/>
      <c r="BY141" s="138"/>
      <c r="BZ141" s="138"/>
      <c r="CA141" s="138"/>
      <c r="CB141" s="138"/>
      <c r="CC141" s="138"/>
      <c r="CD141" s="138"/>
      <c r="CE141" s="138"/>
      <c r="CF141" s="138"/>
      <c r="CG141" s="138"/>
      <c r="CH141" s="138"/>
      <c r="CI141" s="138"/>
      <c r="CJ141" s="138"/>
      <c r="CK141" s="138"/>
      <c r="CL141" s="138"/>
      <c r="CM141" s="138"/>
      <c r="CN141" s="138"/>
      <c r="CO141" s="138"/>
      <c r="CP141" s="138"/>
      <c r="CQ141" s="138"/>
      <c r="CR141" s="138"/>
      <c r="CS141" s="138"/>
    </row>
    <row r="142" spans="1:97" ht="18" customHeight="1" outlineLevel="2">
      <c r="A142" s="195"/>
      <c r="B142" s="195"/>
      <c r="C142" s="195">
        <v>3</v>
      </c>
      <c r="D142" s="196" t="s">
        <v>1561</v>
      </c>
      <c r="E142" s="197"/>
      <c r="F142" s="197"/>
      <c r="G142" s="197" t="s">
        <v>1549</v>
      </c>
      <c r="H142" s="197"/>
      <c r="I142" s="197"/>
      <c r="J142" s="197"/>
      <c r="K142" s="197"/>
      <c r="L142" s="197"/>
      <c r="M142" s="197"/>
      <c r="N142" s="197"/>
      <c r="O142" s="197"/>
      <c r="P142" s="198">
        <v>44452</v>
      </c>
      <c r="Q142" s="198">
        <v>44456</v>
      </c>
      <c r="R142" s="199"/>
      <c r="S142" s="200">
        <v>5</v>
      </c>
      <c r="T142" s="200">
        <v>0</v>
      </c>
      <c r="U142" s="200">
        <v>5</v>
      </c>
      <c r="V142" s="200">
        <v>0</v>
      </c>
      <c r="W142" s="198"/>
      <c r="X142" s="198"/>
      <c r="Y142" s="201">
        <v>0</v>
      </c>
      <c r="Z142" s="202">
        <v>0</v>
      </c>
      <c r="AA142" s="200"/>
      <c r="AB142" s="199" t="s">
        <v>1879</v>
      </c>
      <c r="AC142" s="165"/>
      <c r="AD142" s="203">
        <v>0</v>
      </c>
      <c r="AE142" s="205">
        <v>0</v>
      </c>
      <c r="AF142" s="137"/>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c r="BC142" s="138"/>
      <c r="BD142" s="138"/>
      <c r="BE142" s="138"/>
      <c r="BF142" s="138"/>
      <c r="BG142" s="138"/>
      <c r="BH142" s="138"/>
      <c r="BI142" s="138"/>
      <c r="BJ142" s="138"/>
      <c r="BK142" s="138"/>
      <c r="BL142" s="138"/>
      <c r="BM142" s="138"/>
      <c r="BN142" s="138"/>
      <c r="BO142" s="138"/>
      <c r="BP142" s="138" t="str">
        <f>"" &amp; TEXT(AE142,"#0.00%") &amp; " " &amp; "환경 분석 및 설계(IP 및 구성 설계)" &amp; "(최민혁부장)" &amp; " " &amp; IF(P142="","",TEXT(P142,"M/D-")) &amp; IF(Q142="","",TEXT(Q142,"M/D")) &amp; " "</f>
        <v xml:space="preserve">0.00% 환경 분석 및 설계(IP 및 구성 설계)(최민혁부장) 9/13-9/17 </v>
      </c>
      <c r="BQ142" s="138"/>
      <c r="BR142" s="138"/>
      <c r="BS142" s="138"/>
      <c r="BT142" s="138"/>
      <c r="BU142" s="138"/>
      <c r="BV142" s="138"/>
      <c r="BW142" s="138"/>
      <c r="BX142" s="138"/>
      <c r="BY142" s="138"/>
      <c r="BZ142" s="138"/>
      <c r="CA142" s="138"/>
      <c r="CB142" s="138"/>
      <c r="CC142" s="138"/>
      <c r="CD142" s="138"/>
      <c r="CE142" s="138"/>
      <c r="CF142" s="138"/>
      <c r="CG142" s="138"/>
      <c r="CH142" s="138"/>
      <c r="CI142" s="138"/>
      <c r="CJ142" s="138"/>
      <c r="CK142" s="138"/>
      <c r="CL142" s="138"/>
      <c r="CM142" s="138"/>
      <c r="CN142" s="138"/>
      <c r="CO142" s="138"/>
      <c r="CP142" s="138"/>
      <c r="CQ142" s="138"/>
      <c r="CR142" s="138"/>
      <c r="CS142" s="138"/>
    </row>
    <row r="143" spans="1:97" ht="18" customHeight="1" outlineLevel="2">
      <c r="A143" s="195"/>
      <c r="B143" s="195"/>
      <c r="C143" s="195">
        <v>3</v>
      </c>
      <c r="D143" s="196" t="s">
        <v>1562</v>
      </c>
      <c r="E143" s="197"/>
      <c r="F143" s="197"/>
      <c r="G143" s="197" t="s">
        <v>1654</v>
      </c>
      <c r="H143" s="197"/>
      <c r="I143" s="197"/>
      <c r="J143" s="197"/>
      <c r="K143" s="197"/>
      <c r="L143" s="197"/>
      <c r="M143" s="197"/>
      <c r="N143" s="197"/>
      <c r="O143" s="197"/>
      <c r="P143" s="198">
        <v>44410</v>
      </c>
      <c r="Q143" s="198">
        <v>44414</v>
      </c>
      <c r="R143" s="199"/>
      <c r="S143" s="200">
        <v>5</v>
      </c>
      <c r="T143" s="200">
        <v>0</v>
      </c>
      <c r="U143" s="200">
        <v>5</v>
      </c>
      <c r="V143" s="200">
        <v>0</v>
      </c>
      <c r="W143" s="198"/>
      <c r="X143" s="198"/>
      <c r="Y143" s="201">
        <v>0</v>
      </c>
      <c r="Z143" s="202">
        <v>0</v>
      </c>
      <c r="AA143" s="200"/>
      <c r="AB143" s="199" t="s">
        <v>1712</v>
      </c>
      <c r="AC143" s="165"/>
      <c r="AD143" s="203">
        <v>0</v>
      </c>
      <c r="AE143" s="205">
        <v>0</v>
      </c>
      <c r="AF143" s="137"/>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t="str">
        <f>"" &amp; TEXT(AE143,"#0.00%") &amp; " " &amp; "회선신청(SNCT, SLC)" &amp; "(윤강암팀장)" &amp; " " &amp; IF(P143="","",TEXT(P143,"M/D-")) &amp; IF(Q143="","",TEXT(Q143,"M/D")) &amp; " "</f>
        <v xml:space="preserve">0.00% 회선신청(SNCT, SLC)(윤강암팀장) 8/2-8/6 </v>
      </c>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row>
    <row r="144" spans="1:97" ht="18" customHeight="1" outlineLevel="2">
      <c r="A144" s="195">
        <v>1</v>
      </c>
      <c r="B144" s="195"/>
      <c r="C144" s="195">
        <v>3</v>
      </c>
      <c r="D144" s="196" t="s">
        <v>1563</v>
      </c>
      <c r="E144" s="197"/>
      <c r="F144" s="197"/>
      <c r="G144" s="197" t="s">
        <v>1550</v>
      </c>
      <c r="H144" s="197"/>
      <c r="I144" s="197"/>
      <c r="J144" s="197"/>
      <c r="K144" s="197"/>
      <c r="L144" s="197"/>
      <c r="M144" s="197"/>
      <c r="N144" s="197"/>
      <c r="O144" s="197"/>
      <c r="P144" s="198">
        <v>44449</v>
      </c>
      <c r="Q144" s="198">
        <v>44449</v>
      </c>
      <c r="R144" s="199"/>
      <c r="S144" s="200">
        <v>0</v>
      </c>
      <c r="T144" s="200">
        <v>0</v>
      </c>
      <c r="U144" s="200">
        <v>1</v>
      </c>
      <c r="V144" s="200">
        <v>0</v>
      </c>
      <c r="W144" s="198"/>
      <c r="X144" s="198"/>
      <c r="Y144" s="201">
        <v>0</v>
      </c>
      <c r="Z144" s="202">
        <v>0</v>
      </c>
      <c r="AA144" s="200"/>
      <c r="AB144" s="199" t="s">
        <v>1879</v>
      </c>
      <c r="AC144" s="165"/>
      <c r="AD144" s="203">
        <v>0</v>
      </c>
      <c r="AE144" s="205">
        <v>0</v>
      </c>
      <c r="AF144" s="137"/>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c r="BK144" s="138"/>
      <c r="BL144" s="138"/>
      <c r="BM144" s="138"/>
      <c r="BN144" s="138"/>
      <c r="BO144" s="138" t="str">
        <f>"        " &amp; TEXT(AE144,"#0.00%") &amp; " " &amp; "네트워크 장비 Delivery" &amp; "(최민혁부장)" &amp; " " &amp; IF(P144="","",TEXT(P144,"M/D-")) &amp; IF(Q144="","",TEXT(Q144,"M/D")) &amp; " "</f>
        <v xml:space="preserve">        0.00% 네트워크 장비 Delivery(최민혁부장) 9/10-9/10 </v>
      </c>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row>
    <row r="145" spans="1:97" ht="18" customHeight="1" outlineLevel="2">
      <c r="A145" s="195"/>
      <c r="B145" s="195"/>
      <c r="C145" s="195">
        <v>3</v>
      </c>
      <c r="D145" s="196" t="s">
        <v>1564</v>
      </c>
      <c r="E145" s="197"/>
      <c r="F145" s="197"/>
      <c r="G145" s="197" t="s">
        <v>1551</v>
      </c>
      <c r="H145" s="197"/>
      <c r="I145" s="197"/>
      <c r="J145" s="197"/>
      <c r="K145" s="197"/>
      <c r="L145" s="197"/>
      <c r="M145" s="197"/>
      <c r="N145" s="197"/>
      <c r="O145" s="197"/>
      <c r="P145" s="198">
        <v>44466</v>
      </c>
      <c r="Q145" s="198">
        <v>44470</v>
      </c>
      <c r="R145" s="199"/>
      <c r="S145" s="200">
        <v>5</v>
      </c>
      <c r="T145" s="200">
        <v>0</v>
      </c>
      <c r="U145" s="200">
        <v>5</v>
      </c>
      <c r="V145" s="200">
        <v>0</v>
      </c>
      <c r="W145" s="198"/>
      <c r="X145" s="198"/>
      <c r="Y145" s="201">
        <v>0</v>
      </c>
      <c r="Z145" s="202">
        <v>0</v>
      </c>
      <c r="AA145" s="200"/>
      <c r="AB145" s="199" t="s">
        <v>1879</v>
      </c>
      <c r="AC145" s="165"/>
      <c r="AD145" s="203">
        <v>0</v>
      </c>
      <c r="AE145" s="205">
        <v>0</v>
      </c>
      <c r="AF145" s="137"/>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t="str">
        <f>"" &amp; TEXT(AE145,"#0.00%") &amp; " " &amp; "SNCT 전산센터 장비 설치" &amp; "(최민혁부장)" &amp; " " &amp; IF(P145="","",TEXT(P145,"M/D-")) &amp; IF(Q145="","",TEXT(Q145,"M/D")) &amp; " "</f>
        <v xml:space="preserve">0.00% SNCT 전산센터 장비 설치(최민혁부장) 9/27-10/1 </v>
      </c>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row>
    <row r="146" spans="1:97" ht="18" customHeight="1" outlineLevel="2">
      <c r="A146" s="195"/>
      <c r="B146" s="195"/>
      <c r="C146" s="195">
        <v>3</v>
      </c>
      <c r="D146" s="196" t="s">
        <v>1565</v>
      </c>
      <c r="E146" s="197"/>
      <c r="F146" s="197"/>
      <c r="G146" s="197" t="s">
        <v>1552</v>
      </c>
      <c r="H146" s="197"/>
      <c r="I146" s="197"/>
      <c r="J146" s="197"/>
      <c r="K146" s="197"/>
      <c r="L146" s="197"/>
      <c r="M146" s="197"/>
      <c r="N146" s="197"/>
      <c r="O146" s="197"/>
      <c r="P146" s="198">
        <v>44466</v>
      </c>
      <c r="Q146" s="198">
        <v>44470</v>
      </c>
      <c r="R146" s="199"/>
      <c r="S146" s="200">
        <v>5</v>
      </c>
      <c r="T146" s="200">
        <v>0</v>
      </c>
      <c r="U146" s="200">
        <v>5</v>
      </c>
      <c r="V146" s="200">
        <v>0</v>
      </c>
      <c r="W146" s="198"/>
      <c r="X146" s="198"/>
      <c r="Y146" s="201">
        <v>0</v>
      </c>
      <c r="Z146" s="202">
        <v>0</v>
      </c>
      <c r="AA146" s="200"/>
      <c r="AB146" s="199" t="s">
        <v>1879</v>
      </c>
      <c r="AC146" s="165"/>
      <c r="AD146" s="203">
        <v>0</v>
      </c>
      <c r="AE146" s="205">
        <v>0</v>
      </c>
      <c r="AF146" s="137"/>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t="str">
        <f>"" &amp; TEXT(AE146,"#0.00%") &amp; " " &amp; "본사 장비 설치" &amp; "(최민혁부장)" &amp; " " &amp; IF(P146="","",TEXT(P146,"M/D-")) &amp; IF(Q146="","",TEXT(Q146,"M/D")) &amp; " "</f>
        <v xml:space="preserve">0.00% 본사 장비 설치(최민혁부장) 9/27-10/1 </v>
      </c>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row>
    <row r="147" spans="1:97" ht="18" customHeight="1" outlineLevel="2">
      <c r="A147" s="195"/>
      <c r="B147" s="195"/>
      <c r="C147" s="195">
        <v>3</v>
      </c>
      <c r="D147" s="196" t="s">
        <v>1566</v>
      </c>
      <c r="E147" s="197"/>
      <c r="F147" s="197"/>
      <c r="G147" s="197" t="s">
        <v>1553</v>
      </c>
      <c r="H147" s="197"/>
      <c r="I147" s="197"/>
      <c r="J147" s="197"/>
      <c r="K147" s="197"/>
      <c r="L147" s="197"/>
      <c r="M147" s="197"/>
      <c r="N147" s="197"/>
      <c r="O147" s="197"/>
      <c r="P147" s="198">
        <v>44473</v>
      </c>
      <c r="Q147" s="198">
        <v>44477</v>
      </c>
      <c r="R147" s="199"/>
      <c r="S147" s="200">
        <v>5</v>
      </c>
      <c r="T147" s="200">
        <v>0</v>
      </c>
      <c r="U147" s="200">
        <v>5</v>
      </c>
      <c r="V147" s="200">
        <v>0</v>
      </c>
      <c r="W147" s="198"/>
      <c r="X147" s="198"/>
      <c r="Y147" s="201">
        <v>0</v>
      </c>
      <c r="Z147" s="202">
        <v>0</v>
      </c>
      <c r="AA147" s="200"/>
      <c r="AB147" s="199" t="s">
        <v>1879</v>
      </c>
      <c r="AC147" s="165"/>
      <c r="AD147" s="203">
        <v>0</v>
      </c>
      <c r="AE147" s="205">
        <v>0</v>
      </c>
      <c r="AF147" s="137"/>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c r="BK147" s="138"/>
      <c r="BL147" s="138"/>
      <c r="BM147" s="138"/>
      <c r="BN147" s="138"/>
      <c r="BO147" s="138"/>
      <c r="BP147" s="138"/>
      <c r="BQ147" s="138"/>
      <c r="BR147" s="138"/>
      <c r="BS147" s="138" t="str">
        <f>"" &amp; TEXT(AE147,"#0.00%") &amp; " " &amp; "북항 장비 설치" &amp; "(최민혁부장)" &amp; " " &amp; IF(P147="","",TEXT(P147,"M/D-")) &amp; IF(Q147="","",TEXT(Q147,"M/D")) &amp; " "</f>
        <v xml:space="preserve">0.00% 북항 장비 설치(최민혁부장) 10/4-10/8 </v>
      </c>
      <c r="BT147" s="138"/>
      <c r="BU147" s="138"/>
      <c r="BV147" s="138"/>
      <c r="BW147" s="138"/>
      <c r="BX147" s="138"/>
      <c r="BY147" s="138"/>
      <c r="BZ147" s="138"/>
      <c r="CA147" s="138"/>
      <c r="CB147" s="138"/>
      <c r="CC147" s="138"/>
      <c r="CD147" s="138"/>
      <c r="CE147" s="138"/>
      <c r="CF147" s="138"/>
      <c r="CG147" s="138"/>
      <c r="CH147" s="138"/>
      <c r="CI147" s="138"/>
      <c r="CJ147" s="138"/>
      <c r="CK147" s="138"/>
      <c r="CL147" s="138"/>
      <c r="CM147" s="138"/>
      <c r="CN147" s="138"/>
      <c r="CO147" s="138"/>
      <c r="CP147" s="138"/>
      <c r="CQ147" s="138"/>
      <c r="CR147" s="138"/>
      <c r="CS147" s="138"/>
    </row>
    <row r="148" spans="1:97" ht="18" customHeight="1" outlineLevel="2">
      <c r="A148" s="195"/>
      <c r="B148" s="195"/>
      <c r="C148" s="195">
        <v>3</v>
      </c>
      <c r="D148" s="196" t="s">
        <v>1567</v>
      </c>
      <c r="E148" s="197"/>
      <c r="F148" s="197"/>
      <c r="G148" s="197" t="s">
        <v>1554</v>
      </c>
      <c r="H148" s="197"/>
      <c r="I148" s="197"/>
      <c r="J148" s="197"/>
      <c r="K148" s="197"/>
      <c r="L148" s="197"/>
      <c r="M148" s="197"/>
      <c r="N148" s="197"/>
      <c r="O148" s="197"/>
      <c r="P148" s="198">
        <v>44473</v>
      </c>
      <c r="Q148" s="198">
        <v>44477</v>
      </c>
      <c r="R148" s="199"/>
      <c r="S148" s="200">
        <v>5</v>
      </c>
      <c r="T148" s="200">
        <v>0</v>
      </c>
      <c r="U148" s="200">
        <v>5</v>
      </c>
      <c r="V148" s="200">
        <v>0</v>
      </c>
      <c r="W148" s="198"/>
      <c r="X148" s="198"/>
      <c r="Y148" s="201">
        <v>0</v>
      </c>
      <c r="Z148" s="202">
        <v>0</v>
      </c>
      <c r="AA148" s="200"/>
      <c r="AB148" s="199" t="s">
        <v>1879</v>
      </c>
      <c r="AC148" s="165"/>
      <c r="AD148" s="203">
        <v>0</v>
      </c>
      <c r="AE148" s="205">
        <v>0</v>
      </c>
      <c r="AF148" s="137"/>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t="str">
        <f>"" &amp; TEXT(AE148,"#0.00%") &amp; " " &amp; "종합물류 장비 설치" &amp; "(최민혁부장)" &amp; " " &amp; IF(P148="","",TEXT(P148,"M/D-")) &amp; IF(Q148="","",TEXT(Q148,"M/D")) &amp; " "</f>
        <v xml:space="preserve">0.00% 종합물류 장비 설치(최민혁부장) 10/4-10/8 </v>
      </c>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row>
    <row r="149" spans="1:97" ht="18" customHeight="1" outlineLevel="2">
      <c r="A149" s="195"/>
      <c r="B149" s="195"/>
      <c r="C149" s="195">
        <v>3</v>
      </c>
      <c r="D149" s="196" t="s">
        <v>1568</v>
      </c>
      <c r="E149" s="197"/>
      <c r="F149" s="197"/>
      <c r="G149" s="197" t="s">
        <v>1555</v>
      </c>
      <c r="H149" s="197"/>
      <c r="I149" s="197"/>
      <c r="J149" s="197"/>
      <c r="K149" s="197"/>
      <c r="L149" s="197"/>
      <c r="M149" s="197"/>
      <c r="N149" s="197"/>
      <c r="O149" s="197"/>
      <c r="P149" s="198">
        <v>44480</v>
      </c>
      <c r="Q149" s="198">
        <v>44484</v>
      </c>
      <c r="R149" s="199"/>
      <c r="S149" s="200">
        <v>5</v>
      </c>
      <c r="T149" s="200">
        <v>0</v>
      </c>
      <c r="U149" s="200">
        <v>5</v>
      </c>
      <c r="V149" s="200">
        <v>0</v>
      </c>
      <c r="W149" s="198"/>
      <c r="X149" s="198"/>
      <c r="Y149" s="201">
        <v>0</v>
      </c>
      <c r="Z149" s="202">
        <v>0</v>
      </c>
      <c r="AA149" s="200"/>
      <c r="AB149" s="199" t="s">
        <v>1879</v>
      </c>
      <c r="AC149" s="165"/>
      <c r="AD149" s="203">
        <v>0</v>
      </c>
      <c r="AE149" s="205">
        <v>0</v>
      </c>
      <c r="AF149" s="137"/>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c r="BC149" s="138"/>
      <c r="BD149" s="138"/>
      <c r="BE149" s="138"/>
      <c r="BF149" s="138"/>
      <c r="BG149" s="138"/>
      <c r="BH149" s="138"/>
      <c r="BI149" s="138"/>
      <c r="BJ149" s="138"/>
      <c r="BK149" s="138"/>
      <c r="BL149" s="138"/>
      <c r="BM149" s="138"/>
      <c r="BN149" s="138"/>
      <c r="BO149" s="138"/>
      <c r="BP149" s="138"/>
      <c r="BQ149" s="138"/>
      <c r="BR149" s="138"/>
      <c r="BS149" s="138"/>
      <c r="BT149" s="138" t="str">
        <f>"" &amp; TEXT(AE149,"#0.00%") &amp; " " &amp; "군산 장비 설치" &amp; "(최민혁부장)" &amp; " " &amp; IF(P149="","",TEXT(P149,"M/D-")) &amp; IF(Q149="","",TEXT(Q149,"M/D")) &amp; " "</f>
        <v xml:space="preserve">0.00% 군산 장비 설치(최민혁부장) 10/11-10/15 </v>
      </c>
      <c r="BU149" s="138"/>
      <c r="BV149" s="138"/>
      <c r="BW149" s="138"/>
      <c r="BX149" s="138"/>
      <c r="BY149" s="138"/>
      <c r="BZ149" s="138"/>
      <c r="CA149" s="138"/>
      <c r="CB149" s="138"/>
      <c r="CC149" s="138"/>
      <c r="CD149" s="138"/>
      <c r="CE149" s="138"/>
      <c r="CF149" s="138"/>
      <c r="CG149" s="138"/>
      <c r="CH149" s="138"/>
      <c r="CI149" s="138"/>
      <c r="CJ149" s="138"/>
      <c r="CK149" s="138"/>
      <c r="CL149" s="138"/>
      <c r="CM149" s="138"/>
      <c r="CN149" s="138"/>
      <c r="CO149" s="138"/>
      <c r="CP149" s="138"/>
      <c r="CQ149" s="138"/>
      <c r="CR149" s="138"/>
      <c r="CS149" s="138"/>
    </row>
    <row r="150" spans="1:97" ht="18" customHeight="1" outlineLevel="2">
      <c r="A150" s="195"/>
      <c r="B150" s="195"/>
      <c r="C150" s="195">
        <v>3</v>
      </c>
      <c r="D150" s="196" t="s">
        <v>1569</v>
      </c>
      <c r="E150" s="197"/>
      <c r="F150" s="197"/>
      <c r="G150" s="197" t="s">
        <v>1556</v>
      </c>
      <c r="H150" s="197"/>
      <c r="I150" s="197"/>
      <c r="J150" s="197"/>
      <c r="K150" s="197"/>
      <c r="L150" s="197"/>
      <c r="M150" s="197"/>
      <c r="N150" s="197"/>
      <c r="O150" s="197"/>
      <c r="P150" s="198">
        <v>44480</v>
      </c>
      <c r="Q150" s="198">
        <v>44498</v>
      </c>
      <c r="R150" s="199"/>
      <c r="S150" s="200">
        <v>15</v>
      </c>
      <c r="T150" s="200">
        <v>0</v>
      </c>
      <c r="U150" s="200">
        <v>15</v>
      </c>
      <c r="V150" s="200">
        <v>0</v>
      </c>
      <c r="W150" s="198"/>
      <c r="X150" s="198"/>
      <c r="Y150" s="201">
        <v>0</v>
      </c>
      <c r="Z150" s="202">
        <v>0</v>
      </c>
      <c r="AA150" s="200"/>
      <c r="AB150" s="199" t="s">
        <v>1879</v>
      </c>
      <c r="AC150" s="165"/>
      <c r="AD150" s="203">
        <v>0</v>
      </c>
      <c r="AE150" s="205">
        <v>0</v>
      </c>
      <c r="AF150" s="137"/>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t="str">
        <f>"" &amp; TEXT(AE150,"#0.00%") &amp; " " &amp; "계열사 및 전산센터 연동 및 테스트" &amp; "(최민혁부장)" &amp; " " &amp; IF(P150="","",TEXT(P150,"M/D-")) &amp; IF(Q150="","",TEXT(Q150,"M/D")) &amp; " "</f>
        <v xml:space="preserve">0.00% 계열사 및 전산센터 연동 및 테스트(최민혁부장) 10/11-10/29 </v>
      </c>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row>
    <row r="151" spans="1:97" ht="18" customHeight="1" outlineLevel="2">
      <c r="A151" s="195"/>
      <c r="B151" s="195"/>
      <c r="C151" s="195">
        <v>3</v>
      </c>
      <c r="D151" s="196" t="s">
        <v>1570</v>
      </c>
      <c r="E151" s="197"/>
      <c r="F151" s="197"/>
      <c r="G151" s="197" t="s">
        <v>1557</v>
      </c>
      <c r="H151" s="197"/>
      <c r="I151" s="197"/>
      <c r="J151" s="197"/>
      <c r="K151" s="197"/>
      <c r="L151" s="197"/>
      <c r="M151" s="197"/>
      <c r="N151" s="197"/>
      <c r="O151" s="197"/>
      <c r="P151" s="198">
        <v>44501</v>
      </c>
      <c r="Q151" s="198">
        <v>44540</v>
      </c>
      <c r="R151" s="199"/>
      <c r="S151" s="200">
        <v>30</v>
      </c>
      <c r="T151" s="200">
        <v>0</v>
      </c>
      <c r="U151" s="200">
        <v>30</v>
      </c>
      <c r="V151" s="200">
        <v>0</v>
      </c>
      <c r="W151" s="198"/>
      <c r="X151" s="198"/>
      <c r="Y151" s="201">
        <v>0</v>
      </c>
      <c r="Z151" s="202">
        <v>0</v>
      </c>
      <c r="AA151" s="200"/>
      <c r="AB151" s="199" t="s">
        <v>1879</v>
      </c>
      <c r="AC151" s="165"/>
      <c r="AD151" s="203">
        <v>0</v>
      </c>
      <c r="AE151" s="205">
        <v>0</v>
      </c>
      <c r="AF151" s="137"/>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c r="BC151" s="138"/>
      <c r="BD151" s="138"/>
      <c r="BE151" s="138"/>
      <c r="BF151" s="138"/>
      <c r="BG151" s="138"/>
      <c r="BH151" s="138"/>
      <c r="BI151" s="138"/>
      <c r="BJ151" s="138"/>
      <c r="BK151" s="138"/>
      <c r="BL151" s="138"/>
      <c r="BM151" s="138"/>
      <c r="BN151" s="138"/>
      <c r="BO151" s="138"/>
      <c r="BP151" s="138"/>
      <c r="BQ151" s="138"/>
      <c r="BR151" s="138"/>
      <c r="BS151" s="138"/>
      <c r="BT151" s="138"/>
      <c r="BU151" s="138"/>
      <c r="BV151" s="138"/>
      <c r="BW151" s="138" t="str">
        <f>"" &amp; TEXT(AE151,"#0.00%") &amp; " "</f>
        <v xml:space="preserve">0.00% </v>
      </c>
      <c r="BX151" s="138"/>
      <c r="BY151" s="138"/>
      <c r="BZ151" s="138"/>
      <c r="CA151" s="138"/>
      <c r="CB151" s="138" t="str">
        <f>"     " &amp; "모니터링 및 안정화 작업" &amp; "(최민혁부장)" &amp; " " &amp; IF(P151="","",TEXT(P151,"M/D-")) &amp; IF(Q151="","",TEXT(Q151,"M/D")) &amp; " "</f>
        <v xml:space="preserve">     모니터링 및 안정화 작업(최민혁부장) 11/1-12/10 </v>
      </c>
      <c r="CC151" s="138"/>
      <c r="CD151" s="138"/>
      <c r="CE151" s="138"/>
      <c r="CF151" s="138"/>
      <c r="CG151" s="138"/>
      <c r="CH151" s="138"/>
      <c r="CI151" s="138"/>
      <c r="CJ151" s="138"/>
      <c r="CK151" s="138"/>
      <c r="CL151" s="138"/>
      <c r="CM151" s="138"/>
      <c r="CN151" s="138"/>
      <c r="CO151" s="138"/>
      <c r="CP151" s="138"/>
      <c r="CQ151" s="138"/>
      <c r="CR151" s="138"/>
      <c r="CS151" s="138"/>
    </row>
    <row r="152" spans="1:97" ht="18" customHeight="1" outlineLevel="2">
      <c r="A152" s="195"/>
      <c r="B152" s="195"/>
      <c r="C152" s="195">
        <v>3</v>
      </c>
      <c r="D152" s="196" t="s">
        <v>1664</v>
      </c>
      <c r="E152" s="197"/>
      <c r="F152" s="197"/>
      <c r="G152" s="197" t="s">
        <v>1558</v>
      </c>
      <c r="H152" s="197"/>
      <c r="I152" s="197"/>
      <c r="J152" s="197"/>
      <c r="K152" s="197"/>
      <c r="L152" s="197"/>
      <c r="M152" s="197"/>
      <c r="N152" s="197"/>
      <c r="O152" s="197"/>
      <c r="P152" s="198">
        <v>44627</v>
      </c>
      <c r="Q152" s="198">
        <v>44631</v>
      </c>
      <c r="R152" s="199"/>
      <c r="S152" s="200">
        <v>5</v>
      </c>
      <c r="T152" s="200">
        <v>0</v>
      </c>
      <c r="U152" s="200">
        <v>5</v>
      </c>
      <c r="V152" s="200">
        <v>0</v>
      </c>
      <c r="W152" s="198"/>
      <c r="X152" s="198"/>
      <c r="Y152" s="201">
        <v>0</v>
      </c>
      <c r="Z152" s="202">
        <v>0</v>
      </c>
      <c r="AA152" s="200"/>
      <c r="AB152" s="199" t="s">
        <v>1879</v>
      </c>
      <c r="AC152" s="165"/>
      <c r="AD152" s="203">
        <v>0</v>
      </c>
      <c r="AE152" s="205">
        <v>0</v>
      </c>
      <c r="AF152" s="137"/>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t="str">
        <f>"" &amp; TEXT(AE152,"#0.00%") &amp; " " &amp; "군산장비 남항에 이전 설치" &amp; "(최민혁부장)" &amp; " " &amp; IF(P152="","",TEXT(P152,"M/D-")) &amp; IF(Q152="","",TEXT(Q152,"M/D")) &amp; " "</f>
        <v xml:space="preserve">0.00% 군산장비 남항에 이전 설치(최민혁부장) 3/7-3/11 </v>
      </c>
      <c r="CP152" s="138"/>
      <c r="CQ152" s="138"/>
      <c r="CR152" s="138"/>
      <c r="CS152" s="138"/>
    </row>
    <row r="153" spans="1:97" ht="18" customHeight="1" outlineLevel="1">
      <c r="A153" s="195"/>
      <c r="B153" s="195" t="s">
        <v>1426</v>
      </c>
      <c r="C153" s="195">
        <v>2</v>
      </c>
      <c r="D153" s="196" t="s">
        <v>1571</v>
      </c>
      <c r="E153" s="197"/>
      <c r="F153" s="197" t="s">
        <v>1541</v>
      </c>
      <c r="G153" s="197"/>
      <c r="H153" s="197"/>
      <c r="I153" s="197"/>
      <c r="J153" s="197"/>
      <c r="K153" s="197"/>
      <c r="L153" s="197"/>
      <c r="M153" s="197"/>
      <c r="N153" s="197"/>
      <c r="O153" s="197"/>
      <c r="P153" s="198">
        <v>44228</v>
      </c>
      <c r="Q153" s="198">
        <v>44561</v>
      </c>
      <c r="R153" s="199"/>
      <c r="S153" s="200">
        <v>139</v>
      </c>
      <c r="T153" s="200">
        <v>14</v>
      </c>
      <c r="U153" s="200">
        <v>232</v>
      </c>
      <c r="V153" s="200">
        <v>8</v>
      </c>
      <c r="W153" s="198">
        <v>44228</v>
      </c>
      <c r="X153" s="198"/>
      <c r="Y153" s="201">
        <v>6</v>
      </c>
      <c r="Z153" s="202">
        <v>0</v>
      </c>
      <c r="AA153" s="200"/>
      <c r="AB153" s="199" t="s">
        <v>1634</v>
      </c>
      <c r="AC153" s="165"/>
      <c r="AD153" s="203">
        <v>0.10071942446043165</v>
      </c>
      <c r="AE153" s="204">
        <v>0.10071942446043165</v>
      </c>
      <c r="AF153" s="137"/>
      <c r="AG153" s="138"/>
      <c r="AH153" s="138"/>
      <c r="AI153" s="138"/>
      <c r="AJ153" s="138"/>
      <c r="AK153" s="138"/>
      <c r="AL153" s="138"/>
      <c r="AM153" s="138"/>
      <c r="AN153" s="138" t="str">
        <f>"      " &amp; TEXT(AE153,"#0.00%") &amp; " "</f>
        <v xml:space="preserve">      10.07% </v>
      </c>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t="str">
        <f>"     " &amp; "서버" &amp; "(시스인프라)" &amp; " " &amp; IF(P153="","",TEXT(P153,"M/D-")) &amp; IF(Q153="","",TEXT(Q153,"M/D")) &amp; " "</f>
        <v xml:space="preserve">     서버(시스인프라) 2/1-12/31 </v>
      </c>
      <c r="CF153" s="138"/>
      <c r="CG153" s="138"/>
      <c r="CH153" s="138"/>
      <c r="CI153" s="138"/>
      <c r="CJ153" s="138"/>
      <c r="CK153" s="138"/>
      <c r="CL153" s="138"/>
      <c r="CM153" s="138"/>
      <c r="CN153" s="138"/>
      <c r="CO153" s="138"/>
      <c r="CP153" s="138"/>
      <c r="CQ153" s="138"/>
      <c r="CR153" s="138"/>
      <c r="CS153" s="138"/>
    </row>
    <row r="154" spans="1:97" ht="18" customHeight="1" outlineLevel="2">
      <c r="A154" s="195"/>
      <c r="B154" s="195" t="s">
        <v>1426</v>
      </c>
      <c r="C154" s="195">
        <v>3</v>
      </c>
      <c r="D154" s="196" t="s">
        <v>1644</v>
      </c>
      <c r="E154" s="197"/>
      <c r="F154" s="197"/>
      <c r="G154" s="197" t="s">
        <v>1844</v>
      </c>
      <c r="H154" s="197"/>
      <c r="I154" s="197"/>
      <c r="J154" s="197"/>
      <c r="K154" s="197"/>
      <c r="L154" s="197"/>
      <c r="M154" s="197"/>
      <c r="N154" s="197"/>
      <c r="O154" s="197"/>
      <c r="P154" s="198">
        <v>44228</v>
      </c>
      <c r="Q154" s="198">
        <v>44237</v>
      </c>
      <c r="R154" s="199"/>
      <c r="S154" s="200">
        <v>14</v>
      </c>
      <c r="T154" s="200">
        <v>14</v>
      </c>
      <c r="U154" s="200">
        <v>8</v>
      </c>
      <c r="V154" s="200">
        <v>8</v>
      </c>
      <c r="W154" s="198">
        <v>44228</v>
      </c>
      <c r="X154" s="198">
        <v>44236</v>
      </c>
      <c r="Y154" s="201">
        <v>6</v>
      </c>
      <c r="Z154" s="202">
        <v>7</v>
      </c>
      <c r="AA154" s="200"/>
      <c r="AB154" s="199"/>
      <c r="AC154" s="165"/>
      <c r="AD154" s="203">
        <v>1</v>
      </c>
      <c r="AE154" s="204">
        <v>1</v>
      </c>
      <c r="AF154" s="137"/>
      <c r="AG154" s="138"/>
      <c r="AH154" s="138"/>
      <c r="AI154" s="138"/>
      <c r="AJ154" s="138"/>
      <c r="AK154" s="138" t="str">
        <f>"  " &amp; TEXT(AE154,"#0.00%") &amp; " " &amp; "개발환경구축" &amp; " " &amp; IF(P154="","",TEXT(P154,"M/D-")) &amp; IF(Q154="","",TEXT(Q154,"M/D")) &amp; " "</f>
        <v xml:space="preserve">  100.00% 개발환경구축 2/1-2/10 </v>
      </c>
      <c r="AL154" s="138"/>
      <c r="AM154" s="138"/>
      <c r="AN154" s="138"/>
      <c r="AO154" s="138"/>
      <c r="AP154" s="138"/>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c r="CD154" s="138"/>
      <c r="CE154" s="138"/>
      <c r="CF154" s="138"/>
      <c r="CG154" s="138"/>
      <c r="CH154" s="138"/>
      <c r="CI154" s="138"/>
      <c r="CJ154" s="138"/>
      <c r="CK154" s="138"/>
      <c r="CL154" s="138"/>
      <c r="CM154" s="138"/>
      <c r="CN154" s="138"/>
      <c r="CO154" s="138"/>
      <c r="CP154" s="138"/>
      <c r="CQ154" s="138"/>
      <c r="CR154" s="138"/>
      <c r="CS154" s="138"/>
    </row>
    <row r="155" spans="1:97" ht="18" customHeight="1" outlineLevel="3">
      <c r="A155" s="195"/>
      <c r="B155" s="195"/>
      <c r="C155" s="195">
        <v>4</v>
      </c>
      <c r="D155" s="196" t="s">
        <v>1847</v>
      </c>
      <c r="E155" s="197"/>
      <c r="F155" s="197"/>
      <c r="G155" s="197"/>
      <c r="H155" s="197" t="s">
        <v>1710</v>
      </c>
      <c r="I155" s="197"/>
      <c r="J155" s="197"/>
      <c r="K155" s="197"/>
      <c r="L155" s="197"/>
      <c r="M155" s="197"/>
      <c r="N155" s="197"/>
      <c r="O155" s="197"/>
      <c r="P155" s="198">
        <v>44228</v>
      </c>
      <c r="Q155" s="198">
        <v>44228</v>
      </c>
      <c r="R155" s="199"/>
      <c r="S155" s="200">
        <v>1</v>
      </c>
      <c r="T155" s="200">
        <v>1</v>
      </c>
      <c r="U155" s="200">
        <v>1</v>
      </c>
      <c r="V155" s="200">
        <v>1</v>
      </c>
      <c r="W155" s="198">
        <v>44228</v>
      </c>
      <c r="X155" s="198">
        <v>44228</v>
      </c>
      <c r="Y155" s="201">
        <v>1</v>
      </c>
      <c r="Z155" s="202">
        <v>1</v>
      </c>
      <c r="AA155" s="200"/>
      <c r="AB155" s="199" t="s">
        <v>1882</v>
      </c>
      <c r="AC155" s="165"/>
      <c r="AD155" s="203">
        <v>1</v>
      </c>
      <c r="AE155" s="205">
        <v>1</v>
      </c>
      <c r="AF155" s="137"/>
      <c r="AG155" s="138"/>
      <c r="AH155" s="138"/>
      <c r="AI155" s="138"/>
      <c r="AJ155" s="138" t="str">
        <f>" " &amp; TEXT(AE155,"#0.00%") &amp; " " &amp; "개발장비 OS설치 및 입고" &amp; "(오현우과장)" &amp; " " &amp; IF(P155="","",TEXT(P155,"M/D-")) &amp; IF(Q155="","",TEXT(Q155,"M/D")) &amp; " "</f>
        <v xml:space="preserve"> 100.00% 개발장비 OS설치 및 입고(오현우과장) 2/1-2/1 </v>
      </c>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row>
    <row r="156" spans="1:97" ht="18" customHeight="1" outlineLevel="3">
      <c r="A156" s="195"/>
      <c r="B156" s="195"/>
      <c r="C156" s="195">
        <v>4</v>
      </c>
      <c r="D156" s="196" t="s">
        <v>1848</v>
      </c>
      <c r="E156" s="197"/>
      <c r="F156" s="197"/>
      <c r="G156" s="197"/>
      <c r="H156" s="197" t="s">
        <v>1845</v>
      </c>
      <c r="I156" s="197"/>
      <c r="J156" s="197"/>
      <c r="K156" s="197"/>
      <c r="L156" s="197"/>
      <c r="M156" s="197"/>
      <c r="N156" s="197"/>
      <c r="O156" s="197"/>
      <c r="P156" s="198">
        <v>44229</v>
      </c>
      <c r="Q156" s="198">
        <v>44229</v>
      </c>
      <c r="R156" s="199"/>
      <c r="S156" s="200">
        <v>1</v>
      </c>
      <c r="T156" s="200">
        <v>1</v>
      </c>
      <c r="U156" s="200">
        <v>1</v>
      </c>
      <c r="V156" s="200">
        <v>1</v>
      </c>
      <c r="W156" s="198">
        <v>44229</v>
      </c>
      <c r="X156" s="198">
        <v>44229</v>
      </c>
      <c r="Y156" s="201">
        <v>1</v>
      </c>
      <c r="Z156" s="202">
        <v>1</v>
      </c>
      <c r="AA156" s="200"/>
      <c r="AB156" s="199" t="s">
        <v>1881</v>
      </c>
      <c r="AC156" s="165"/>
      <c r="AD156" s="203">
        <v>1</v>
      </c>
      <c r="AE156" s="205">
        <v>1</v>
      </c>
      <c r="AF156" s="137"/>
      <c r="AG156" s="138"/>
      <c r="AH156" s="138"/>
      <c r="AI156" s="138"/>
      <c r="AJ156" s="138" t="str">
        <f>"  " &amp; TEXT(AE156,"#0.00%") &amp; " " &amp; "ORACLE 설치" &amp; "(박재혁이사)" &amp; " " &amp; IF(P156="","",TEXT(P156,"M/D-")) &amp; IF(Q156="","",TEXT(Q156,"M/D")) &amp; " "</f>
        <v xml:space="preserve">  100.00% ORACLE 설치(박재혁이사) 2/2-2/2 </v>
      </c>
      <c r="AK156" s="138"/>
      <c r="AL156" s="138"/>
      <c r="AM156" s="138"/>
      <c r="AN156" s="138"/>
      <c r="AO156" s="138"/>
      <c r="AP156" s="138"/>
      <c r="AQ156" s="138"/>
      <c r="AR156" s="138"/>
      <c r="AS156" s="138"/>
      <c r="AT156" s="138"/>
      <c r="AU156" s="138"/>
      <c r="AV156" s="138"/>
      <c r="AW156" s="138"/>
      <c r="AX156" s="138"/>
      <c r="AY156" s="138"/>
      <c r="AZ156" s="138"/>
      <c r="BA156" s="138"/>
      <c r="BB156" s="138"/>
      <c r="BC156" s="138"/>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8"/>
      <c r="CG156" s="138"/>
      <c r="CH156" s="138"/>
      <c r="CI156" s="138"/>
      <c r="CJ156" s="138"/>
      <c r="CK156" s="138"/>
      <c r="CL156" s="138"/>
      <c r="CM156" s="138"/>
      <c r="CN156" s="138"/>
      <c r="CO156" s="138"/>
      <c r="CP156" s="138"/>
      <c r="CQ156" s="138"/>
      <c r="CR156" s="138"/>
      <c r="CS156" s="138"/>
    </row>
    <row r="157" spans="1:97" ht="18" customHeight="1" outlineLevel="3">
      <c r="A157" s="195"/>
      <c r="B157" s="195"/>
      <c r="C157" s="195">
        <v>4</v>
      </c>
      <c r="D157" s="196" t="s">
        <v>1849</v>
      </c>
      <c r="E157" s="197"/>
      <c r="F157" s="197"/>
      <c r="G157" s="197"/>
      <c r="H157" s="197" t="s">
        <v>1846</v>
      </c>
      <c r="I157" s="197"/>
      <c r="J157" s="197"/>
      <c r="K157" s="197"/>
      <c r="L157" s="197"/>
      <c r="M157" s="197"/>
      <c r="N157" s="197"/>
      <c r="O157" s="197"/>
      <c r="P157" s="198">
        <v>44230</v>
      </c>
      <c r="Q157" s="198">
        <v>44237</v>
      </c>
      <c r="R157" s="199"/>
      <c r="S157" s="200">
        <v>12</v>
      </c>
      <c r="T157" s="200">
        <v>12</v>
      </c>
      <c r="U157" s="200">
        <v>6</v>
      </c>
      <c r="V157" s="200">
        <v>6</v>
      </c>
      <c r="W157" s="198">
        <v>44235</v>
      </c>
      <c r="X157" s="198">
        <v>44236</v>
      </c>
      <c r="Y157" s="201">
        <v>4</v>
      </c>
      <c r="Z157" s="202">
        <v>2</v>
      </c>
      <c r="AA157" s="200"/>
      <c r="AB157" s="199" t="s">
        <v>1880</v>
      </c>
      <c r="AC157" s="165"/>
      <c r="AD157" s="203">
        <v>1</v>
      </c>
      <c r="AE157" s="205">
        <v>1</v>
      </c>
      <c r="AF157" s="137"/>
      <c r="AG157" s="138"/>
      <c r="AH157" s="138"/>
      <c r="AI157" s="138"/>
      <c r="AJ157" s="138"/>
      <c r="AK157" s="138" t="str">
        <f>"  " &amp; TEXT(AE157,"#0.00%") &amp; " " &amp; "물류 개발환경 설치" &amp; "(이재익차장,김재훈차장)" &amp; " " &amp; IF(P157="","",TEXT(P157,"M/D-")) &amp; IF(Q157="","",TEXT(Q157,"M/D")) &amp; " "</f>
        <v xml:space="preserve">  100.00% 물류 개발환경 설치(이재익차장,김재훈차장) 2/3-2/10 </v>
      </c>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row>
    <row r="158" spans="1:97" ht="18" customHeight="1" outlineLevel="2">
      <c r="A158" s="195"/>
      <c r="B158" s="195"/>
      <c r="C158" s="195">
        <v>3</v>
      </c>
      <c r="D158" s="196" t="s">
        <v>1645</v>
      </c>
      <c r="E158" s="197"/>
      <c r="F158" s="197"/>
      <c r="G158" s="197" t="s">
        <v>1635</v>
      </c>
      <c r="H158" s="197"/>
      <c r="I158" s="197"/>
      <c r="J158" s="197"/>
      <c r="K158" s="197"/>
      <c r="L158" s="197"/>
      <c r="M158" s="197"/>
      <c r="N158" s="197"/>
      <c r="O158" s="197"/>
      <c r="P158" s="198">
        <v>44424</v>
      </c>
      <c r="Q158" s="198">
        <v>44435</v>
      </c>
      <c r="R158" s="199"/>
      <c r="S158" s="200">
        <v>10</v>
      </c>
      <c r="T158" s="200">
        <v>0</v>
      </c>
      <c r="U158" s="200">
        <v>10</v>
      </c>
      <c r="V158" s="200">
        <v>0</v>
      </c>
      <c r="W158" s="198"/>
      <c r="X158" s="198"/>
      <c r="Y158" s="201">
        <v>0</v>
      </c>
      <c r="Z158" s="202">
        <v>0</v>
      </c>
      <c r="AA158" s="200"/>
      <c r="AB158" s="199"/>
      <c r="AC158" s="165"/>
      <c r="AD158" s="203">
        <v>0</v>
      </c>
      <c r="AE158" s="205">
        <v>0</v>
      </c>
      <c r="AF158" s="137"/>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t="str">
        <f>"" &amp; TEXT(AE158,"#0.00%") &amp; " " &amp; "서버 구성을 위한 실사" &amp; " " &amp; IF(P158="","",TEXT(P158,"M/D-")) &amp; IF(Q158="","",TEXT(Q158,"M/D")) &amp; " "</f>
        <v xml:space="preserve">0.00% 서버 구성을 위한 실사 8/16-8/27 </v>
      </c>
      <c r="BM158" s="138"/>
      <c r="BN158" s="138"/>
      <c r="BO158" s="138"/>
      <c r="BP158" s="138"/>
      <c r="BQ158" s="138"/>
      <c r="BR158" s="138"/>
      <c r="BS158" s="138"/>
      <c r="BT158" s="138"/>
      <c r="BU158" s="138"/>
      <c r="BV158" s="138"/>
      <c r="BW158" s="138"/>
      <c r="BX158" s="138"/>
      <c r="BY158" s="138"/>
      <c r="BZ158" s="138"/>
      <c r="CA158" s="138"/>
      <c r="CB158" s="138"/>
      <c r="CC158" s="138"/>
      <c r="CD158" s="138"/>
      <c r="CE158" s="138"/>
      <c r="CF158" s="138"/>
      <c r="CG158" s="138"/>
      <c r="CH158" s="138"/>
      <c r="CI158" s="138"/>
      <c r="CJ158" s="138"/>
      <c r="CK158" s="138"/>
      <c r="CL158" s="138"/>
      <c r="CM158" s="138"/>
      <c r="CN158" s="138"/>
      <c r="CO158" s="138"/>
      <c r="CP158" s="138"/>
      <c r="CQ158" s="138"/>
      <c r="CR158" s="138"/>
      <c r="CS158" s="138"/>
    </row>
    <row r="159" spans="1:97" ht="18" customHeight="1" outlineLevel="2">
      <c r="A159" s="195"/>
      <c r="B159" s="195"/>
      <c r="C159" s="195">
        <v>3</v>
      </c>
      <c r="D159" s="196" t="s">
        <v>1646</v>
      </c>
      <c r="E159" s="197"/>
      <c r="F159" s="197"/>
      <c r="G159" s="197" t="s">
        <v>1636</v>
      </c>
      <c r="H159" s="197"/>
      <c r="I159" s="197"/>
      <c r="J159" s="197"/>
      <c r="K159" s="197"/>
      <c r="L159" s="197"/>
      <c r="M159" s="197"/>
      <c r="N159" s="197"/>
      <c r="O159" s="197"/>
      <c r="P159" s="198">
        <v>44438</v>
      </c>
      <c r="Q159" s="198">
        <v>44442</v>
      </c>
      <c r="R159" s="199"/>
      <c r="S159" s="200">
        <v>5</v>
      </c>
      <c r="T159" s="200">
        <v>0</v>
      </c>
      <c r="U159" s="200">
        <v>5</v>
      </c>
      <c r="V159" s="200">
        <v>0</v>
      </c>
      <c r="W159" s="198"/>
      <c r="X159" s="198"/>
      <c r="Y159" s="201">
        <v>0</v>
      </c>
      <c r="Z159" s="202">
        <v>0</v>
      </c>
      <c r="AA159" s="200"/>
      <c r="AB159" s="199"/>
      <c r="AC159" s="165"/>
      <c r="AD159" s="203">
        <v>0</v>
      </c>
      <c r="AE159" s="205">
        <v>0</v>
      </c>
      <c r="AF159" s="137"/>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t="str">
        <f>"" &amp; TEXT(AE159,"#0.00%") &amp; " " &amp; "환경 분석 및 설계" &amp; " " &amp; IF(P159="","",TEXT(P159,"M/D-")) &amp; IF(Q159="","",TEXT(Q159,"M/D")) &amp; " "</f>
        <v xml:space="preserve">0.00% 환경 분석 및 설계 8/30-9/3 </v>
      </c>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row>
    <row r="160" spans="1:97" ht="18" customHeight="1" outlineLevel="2">
      <c r="A160" s="195"/>
      <c r="B160" s="195"/>
      <c r="C160" s="195">
        <v>3</v>
      </c>
      <c r="D160" s="196" t="s">
        <v>1647</v>
      </c>
      <c r="E160" s="197"/>
      <c r="F160" s="197"/>
      <c r="G160" s="197" t="s">
        <v>1637</v>
      </c>
      <c r="H160" s="197"/>
      <c r="I160" s="197"/>
      <c r="J160" s="197"/>
      <c r="K160" s="197"/>
      <c r="L160" s="197"/>
      <c r="M160" s="197"/>
      <c r="N160" s="197"/>
      <c r="O160" s="197"/>
      <c r="P160" s="198">
        <v>44445</v>
      </c>
      <c r="Q160" s="198">
        <v>44456</v>
      </c>
      <c r="R160" s="199"/>
      <c r="S160" s="200">
        <v>10</v>
      </c>
      <c r="T160" s="200">
        <v>0</v>
      </c>
      <c r="U160" s="200">
        <v>10</v>
      </c>
      <c r="V160" s="200">
        <v>0</v>
      </c>
      <c r="W160" s="198"/>
      <c r="X160" s="198"/>
      <c r="Y160" s="201">
        <v>0</v>
      </c>
      <c r="Z160" s="202">
        <v>0</v>
      </c>
      <c r="AA160" s="200"/>
      <c r="AB160" s="199"/>
      <c r="AC160" s="165"/>
      <c r="AD160" s="203">
        <v>0</v>
      </c>
      <c r="AE160" s="205">
        <v>0</v>
      </c>
      <c r="AF160" s="137"/>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t="str">
        <f>"" &amp; TEXT(AE160,"#0.00%") &amp; " " &amp; "서버 및 스토리지 장비 Delivery" &amp; " " &amp; IF(P160="","",TEXT(P160,"M/D-")) &amp; IF(Q160="","",TEXT(Q160,"M/D")) &amp; " "</f>
        <v xml:space="preserve">0.00% 서버 및 스토리지 장비 Delivery 9/6-9/17 </v>
      </c>
      <c r="BP160" s="138"/>
      <c r="BQ160" s="138"/>
      <c r="BR160" s="138"/>
      <c r="BS160" s="138"/>
      <c r="BT160" s="138"/>
      <c r="BU160" s="138"/>
      <c r="BV160" s="138"/>
      <c r="BW160" s="138"/>
      <c r="BX160" s="138"/>
      <c r="BY160" s="138"/>
      <c r="BZ160" s="138"/>
      <c r="CA160" s="138"/>
      <c r="CB160" s="138"/>
      <c r="CC160" s="138"/>
      <c r="CD160" s="138"/>
      <c r="CE160" s="138"/>
      <c r="CF160" s="138"/>
      <c r="CG160" s="138"/>
      <c r="CH160" s="138"/>
      <c r="CI160" s="138"/>
      <c r="CJ160" s="138"/>
      <c r="CK160" s="138"/>
      <c r="CL160" s="138"/>
      <c r="CM160" s="138"/>
      <c r="CN160" s="138"/>
      <c r="CO160" s="138"/>
      <c r="CP160" s="138"/>
      <c r="CQ160" s="138"/>
      <c r="CR160" s="138"/>
      <c r="CS160" s="138"/>
    </row>
    <row r="161" spans="1:97" ht="18" customHeight="1" outlineLevel="2">
      <c r="A161" s="195"/>
      <c r="B161" s="195"/>
      <c r="C161" s="195">
        <v>3</v>
      </c>
      <c r="D161" s="196" t="s">
        <v>1648</v>
      </c>
      <c r="E161" s="197"/>
      <c r="F161" s="197"/>
      <c r="G161" s="197" t="s">
        <v>1642</v>
      </c>
      <c r="H161" s="197"/>
      <c r="I161" s="197"/>
      <c r="J161" s="197"/>
      <c r="K161" s="197"/>
      <c r="L161" s="197"/>
      <c r="M161" s="197"/>
      <c r="N161" s="197"/>
      <c r="O161" s="197"/>
      <c r="P161" s="198">
        <v>44462</v>
      </c>
      <c r="Q161" s="198">
        <v>44470</v>
      </c>
      <c r="R161" s="199"/>
      <c r="S161" s="200">
        <v>7</v>
      </c>
      <c r="T161" s="200">
        <v>0</v>
      </c>
      <c r="U161" s="200">
        <v>7</v>
      </c>
      <c r="V161" s="200">
        <v>0</v>
      </c>
      <c r="W161" s="198"/>
      <c r="X161" s="198"/>
      <c r="Y161" s="201">
        <v>0</v>
      </c>
      <c r="Z161" s="202">
        <v>0</v>
      </c>
      <c r="AA161" s="200"/>
      <c r="AB161" s="199"/>
      <c r="AC161" s="165"/>
      <c r="AD161" s="203">
        <v>0</v>
      </c>
      <c r="AE161" s="205">
        <v>0</v>
      </c>
      <c r="AF161" s="137"/>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c r="BC161" s="138"/>
      <c r="BD161" s="138"/>
      <c r="BE161" s="138"/>
      <c r="BF161" s="138"/>
      <c r="BG161" s="138"/>
      <c r="BH161" s="138"/>
      <c r="BI161" s="138"/>
      <c r="BJ161" s="138"/>
      <c r="BK161" s="138"/>
      <c r="BL161" s="138"/>
      <c r="BM161" s="138"/>
      <c r="BN161" s="138"/>
      <c r="BO161" s="138"/>
      <c r="BP161" s="138"/>
      <c r="BQ161" s="138" t="str">
        <f>"   " &amp; TEXT(AE161,"#0.00%") &amp; " " &amp; "통합 OS 및 환경 구성" &amp; " " &amp; IF(P161="","",TEXT(P161,"M/D-")) &amp; IF(Q161="","",TEXT(Q161,"M/D")) &amp; " "</f>
        <v xml:space="preserve">   0.00% 통합 OS 및 환경 구성 9/23-10/1 </v>
      </c>
      <c r="BR161" s="138"/>
      <c r="BS161" s="138"/>
      <c r="BT161" s="138"/>
      <c r="BU161" s="138"/>
      <c r="BV161" s="138"/>
      <c r="BW161" s="138"/>
      <c r="BX161" s="138"/>
      <c r="BY161" s="138"/>
      <c r="BZ161" s="138"/>
      <c r="CA161" s="138"/>
      <c r="CB161" s="138"/>
      <c r="CC161" s="138"/>
      <c r="CD161" s="138"/>
      <c r="CE161" s="138"/>
      <c r="CF161" s="138"/>
      <c r="CG161" s="138"/>
      <c r="CH161" s="138"/>
      <c r="CI161" s="138"/>
      <c r="CJ161" s="138"/>
      <c r="CK161" s="138"/>
      <c r="CL161" s="138"/>
      <c r="CM161" s="138"/>
      <c r="CN161" s="138"/>
      <c r="CO161" s="138"/>
      <c r="CP161" s="138"/>
      <c r="CQ161" s="138"/>
      <c r="CR161" s="138"/>
      <c r="CS161" s="138"/>
    </row>
    <row r="162" spans="1:97" ht="18" customHeight="1" outlineLevel="2">
      <c r="A162" s="195"/>
      <c r="B162" s="195"/>
      <c r="C162" s="195">
        <v>3</v>
      </c>
      <c r="D162" s="196" t="s">
        <v>1649</v>
      </c>
      <c r="E162" s="197"/>
      <c r="F162" s="197"/>
      <c r="G162" s="197" t="s">
        <v>1643</v>
      </c>
      <c r="H162" s="197"/>
      <c r="I162" s="197"/>
      <c r="J162" s="197"/>
      <c r="K162" s="197"/>
      <c r="L162" s="197"/>
      <c r="M162" s="197"/>
      <c r="N162" s="197"/>
      <c r="O162" s="197"/>
      <c r="P162" s="198">
        <v>44468</v>
      </c>
      <c r="Q162" s="198">
        <v>44477</v>
      </c>
      <c r="R162" s="199"/>
      <c r="S162" s="200">
        <v>8</v>
      </c>
      <c r="T162" s="200">
        <v>0</v>
      </c>
      <c r="U162" s="200">
        <v>8</v>
      </c>
      <c r="V162" s="200">
        <v>0</v>
      </c>
      <c r="W162" s="198"/>
      <c r="X162" s="198"/>
      <c r="Y162" s="201">
        <v>0</v>
      </c>
      <c r="Z162" s="202">
        <v>0</v>
      </c>
      <c r="AA162" s="200"/>
      <c r="AB162" s="199"/>
      <c r="AC162" s="165"/>
      <c r="AD162" s="203">
        <v>0</v>
      </c>
      <c r="AE162" s="205">
        <v>0</v>
      </c>
      <c r="AF162" s="137"/>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c r="BD162" s="138"/>
      <c r="BE162" s="138"/>
      <c r="BF162" s="138"/>
      <c r="BG162" s="138"/>
      <c r="BH162" s="138"/>
      <c r="BI162" s="138"/>
      <c r="BJ162" s="138"/>
      <c r="BK162" s="138"/>
      <c r="BL162" s="138"/>
      <c r="BM162" s="138"/>
      <c r="BN162" s="138"/>
      <c r="BO162" s="138"/>
      <c r="BP162" s="138"/>
      <c r="BQ162" s="138"/>
      <c r="BR162" s="138" t="str">
        <f>"  " &amp; TEXT(AE162,"#0.00%") &amp; " " &amp; "통합 VMware 구성" &amp; " " &amp; IF(P162="","",TEXT(P162,"M/D-")) &amp; IF(Q162="","",TEXT(Q162,"M/D")) &amp; " "</f>
        <v xml:space="preserve">  0.00% 통합 VMware 구성 9/29-10/8 </v>
      </c>
      <c r="BS162" s="138"/>
      <c r="BT162" s="138"/>
      <c r="BU162" s="138"/>
      <c r="BV162" s="138"/>
      <c r="BW162" s="138"/>
      <c r="BX162" s="138"/>
      <c r="BY162" s="138"/>
      <c r="BZ162" s="138"/>
      <c r="CA162" s="138"/>
      <c r="CB162" s="138"/>
      <c r="CC162" s="138"/>
      <c r="CD162" s="138"/>
      <c r="CE162" s="138"/>
      <c r="CF162" s="138"/>
      <c r="CG162" s="138"/>
      <c r="CH162" s="138"/>
      <c r="CI162" s="138"/>
      <c r="CJ162" s="138"/>
      <c r="CK162" s="138"/>
      <c r="CL162" s="138"/>
      <c r="CM162" s="138"/>
      <c r="CN162" s="138"/>
      <c r="CO162" s="138"/>
      <c r="CP162" s="138"/>
      <c r="CQ162" s="138"/>
      <c r="CR162" s="138"/>
      <c r="CS162" s="138"/>
    </row>
    <row r="163" spans="1:97" ht="18" customHeight="1" outlineLevel="2">
      <c r="A163" s="195"/>
      <c r="B163" s="195"/>
      <c r="C163" s="195">
        <v>3</v>
      </c>
      <c r="D163" s="196" t="s">
        <v>1650</v>
      </c>
      <c r="E163" s="197"/>
      <c r="F163" s="197"/>
      <c r="G163" s="197" t="s">
        <v>1640</v>
      </c>
      <c r="H163" s="197"/>
      <c r="I163" s="197"/>
      <c r="J163" s="197"/>
      <c r="K163" s="197"/>
      <c r="L163" s="197"/>
      <c r="M163" s="197"/>
      <c r="N163" s="197"/>
      <c r="O163" s="197"/>
      <c r="P163" s="198">
        <v>44462</v>
      </c>
      <c r="Q163" s="198">
        <v>44470</v>
      </c>
      <c r="R163" s="199"/>
      <c r="S163" s="200">
        <v>7</v>
      </c>
      <c r="T163" s="200">
        <v>0</v>
      </c>
      <c r="U163" s="200">
        <v>7</v>
      </c>
      <c r="V163" s="200">
        <v>0</v>
      </c>
      <c r="W163" s="198"/>
      <c r="X163" s="198"/>
      <c r="Y163" s="201">
        <v>0</v>
      </c>
      <c r="Z163" s="202">
        <v>0</v>
      </c>
      <c r="AA163" s="200"/>
      <c r="AB163" s="199"/>
      <c r="AC163" s="165"/>
      <c r="AD163" s="203">
        <v>0</v>
      </c>
      <c r="AE163" s="205">
        <v>0</v>
      </c>
      <c r="AF163" s="137"/>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t="str">
        <f>"   " &amp; TEXT(AE163,"#0.00%") &amp; " " &amp; "SLC 장비 OS 및 환경 구성" &amp; " " &amp; IF(P163="","",TEXT(P163,"M/D-")) &amp; IF(Q163="","",TEXT(Q163,"M/D")) &amp; " "</f>
        <v xml:space="preserve">   0.00% SLC 장비 OS 및 환경 구성 9/23-10/1 </v>
      </c>
      <c r="BR163" s="138"/>
      <c r="BS163" s="138"/>
      <c r="BT163" s="138"/>
      <c r="BU163" s="138"/>
      <c r="BV163" s="138"/>
      <c r="BW163" s="138"/>
      <c r="BX163" s="138"/>
      <c r="BY163" s="138"/>
      <c r="BZ163" s="138"/>
      <c r="CA163" s="138"/>
      <c r="CB163" s="138"/>
      <c r="CC163" s="138"/>
      <c r="CD163" s="138"/>
      <c r="CE163" s="138"/>
      <c r="CF163" s="138"/>
      <c r="CG163" s="138"/>
      <c r="CH163" s="138"/>
      <c r="CI163" s="138"/>
      <c r="CJ163" s="138"/>
      <c r="CK163" s="138"/>
      <c r="CL163" s="138"/>
      <c r="CM163" s="138"/>
      <c r="CN163" s="138"/>
      <c r="CO163" s="138"/>
      <c r="CP163" s="138"/>
      <c r="CQ163" s="138"/>
      <c r="CR163" s="138"/>
      <c r="CS163" s="138"/>
    </row>
    <row r="164" spans="1:97" ht="18" customHeight="1" outlineLevel="2">
      <c r="A164" s="195"/>
      <c r="B164" s="195"/>
      <c r="C164" s="195">
        <v>3</v>
      </c>
      <c r="D164" s="196" t="s">
        <v>1651</v>
      </c>
      <c r="E164" s="197"/>
      <c r="F164" s="197"/>
      <c r="G164" s="197" t="s">
        <v>1641</v>
      </c>
      <c r="H164" s="197"/>
      <c r="I164" s="197"/>
      <c r="J164" s="197"/>
      <c r="K164" s="197"/>
      <c r="L164" s="197"/>
      <c r="M164" s="197"/>
      <c r="N164" s="197"/>
      <c r="O164" s="197"/>
      <c r="P164" s="198">
        <v>44468</v>
      </c>
      <c r="Q164" s="198">
        <v>44477</v>
      </c>
      <c r="R164" s="199"/>
      <c r="S164" s="200">
        <v>8</v>
      </c>
      <c r="T164" s="200">
        <v>0</v>
      </c>
      <c r="U164" s="200">
        <v>8</v>
      </c>
      <c r="V164" s="200">
        <v>0</v>
      </c>
      <c r="W164" s="198"/>
      <c r="X164" s="198"/>
      <c r="Y164" s="201">
        <v>0</v>
      </c>
      <c r="Z164" s="202">
        <v>0</v>
      </c>
      <c r="AA164" s="200"/>
      <c r="AB164" s="199"/>
      <c r="AC164" s="165"/>
      <c r="AD164" s="203">
        <v>0</v>
      </c>
      <c r="AE164" s="205">
        <v>0</v>
      </c>
      <c r="AF164" s="137"/>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c r="BC164" s="138"/>
      <c r="BD164" s="138"/>
      <c r="BE164" s="138"/>
      <c r="BF164" s="138"/>
      <c r="BG164" s="138"/>
      <c r="BH164" s="138"/>
      <c r="BI164" s="138"/>
      <c r="BJ164" s="138"/>
      <c r="BK164" s="138"/>
      <c r="BL164" s="138"/>
      <c r="BM164" s="138"/>
      <c r="BN164" s="138"/>
      <c r="BO164" s="138"/>
      <c r="BP164" s="138"/>
      <c r="BQ164" s="138"/>
      <c r="BR164" s="138" t="str">
        <f>"  " &amp; TEXT(AE164,"#0.00%") &amp; " " &amp; "SLC 장비 설치 VMware 구성" &amp; " " &amp; IF(P164="","",TEXT(P164,"M/D-")) &amp; IF(Q164="","",TEXT(Q164,"M/D")) &amp; " "</f>
        <v xml:space="preserve">  0.00% SLC 장비 설치 VMware 구성 9/29-10/8 </v>
      </c>
      <c r="BS164" s="138"/>
      <c r="BT164" s="138"/>
      <c r="BU164" s="138"/>
      <c r="BV164" s="138"/>
      <c r="BW164" s="138"/>
      <c r="BX164" s="138"/>
      <c r="BY164" s="138"/>
      <c r="BZ164" s="138"/>
      <c r="CA164" s="138"/>
      <c r="CB164" s="138"/>
      <c r="CC164" s="138"/>
      <c r="CD164" s="138"/>
      <c r="CE164" s="138"/>
      <c r="CF164" s="138"/>
      <c r="CG164" s="138"/>
      <c r="CH164" s="138"/>
      <c r="CI164" s="138"/>
      <c r="CJ164" s="138"/>
      <c r="CK164" s="138"/>
      <c r="CL164" s="138"/>
      <c r="CM164" s="138"/>
      <c r="CN164" s="138"/>
      <c r="CO164" s="138"/>
      <c r="CP164" s="138"/>
      <c r="CQ164" s="138"/>
      <c r="CR164" s="138"/>
      <c r="CS164" s="138"/>
    </row>
    <row r="165" spans="1:97" ht="18" customHeight="1" outlineLevel="2">
      <c r="A165" s="195"/>
      <c r="B165" s="195"/>
      <c r="C165" s="195">
        <v>3</v>
      </c>
      <c r="D165" s="196" t="s">
        <v>1652</v>
      </c>
      <c r="E165" s="197"/>
      <c r="F165" s="197"/>
      <c r="G165" s="197" t="s">
        <v>1638</v>
      </c>
      <c r="H165" s="197"/>
      <c r="I165" s="197"/>
      <c r="J165" s="197"/>
      <c r="K165" s="197"/>
      <c r="L165" s="197"/>
      <c r="M165" s="197"/>
      <c r="N165" s="197"/>
      <c r="O165" s="197"/>
      <c r="P165" s="198">
        <v>44480</v>
      </c>
      <c r="Q165" s="198">
        <v>44491</v>
      </c>
      <c r="R165" s="199"/>
      <c r="S165" s="200">
        <v>10</v>
      </c>
      <c r="T165" s="200">
        <v>0</v>
      </c>
      <c r="U165" s="200">
        <v>10</v>
      </c>
      <c r="V165" s="200">
        <v>0</v>
      </c>
      <c r="W165" s="198"/>
      <c r="X165" s="198"/>
      <c r="Y165" s="201">
        <v>0</v>
      </c>
      <c r="Z165" s="202">
        <v>0</v>
      </c>
      <c r="AA165" s="200"/>
      <c r="AB165" s="199"/>
      <c r="AC165" s="165"/>
      <c r="AD165" s="203">
        <v>0</v>
      </c>
      <c r="AE165" s="205">
        <v>0</v>
      </c>
      <c r="AF165" s="137"/>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c r="BC165" s="138"/>
      <c r="BD165" s="138"/>
      <c r="BE165" s="138"/>
      <c r="BF165" s="138"/>
      <c r="BG165" s="138"/>
      <c r="BH165" s="138"/>
      <c r="BI165" s="138"/>
      <c r="BJ165" s="138"/>
      <c r="BK165" s="138"/>
      <c r="BL165" s="138"/>
      <c r="BM165" s="138"/>
      <c r="BN165" s="138"/>
      <c r="BO165" s="138"/>
      <c r="BP165" s="138"/>
      <c r="BQ165" s="138"/>
      <c r="BR165" s="138"/>
      <c r="BS165" s="138"/>
      <c r="BT165" s="138" t="str">
        <f>"" &amp; TEXT(AE165,"#0.00%") &amp; " " &amp; "백업S/W 설치 및 구성" &amp; " " &amp; IF(P165="","",TEXT(P165,"M/D-")) &amp; IF(Q165="","",TEXT(Q165,"M/D")) &amp; " "</f>
        <v xml:space="preserve">0.00% 백업S/W 설치 및 구성 10/11-10/22 </v>
      </c>
      <c r="BU165" s="138"/>
      <c r="BV165" s="138"/>
      <c r="BW165" s="138"/>
      <c r="BX165" s="138"/>
      <c r="BY165" s="138"/>
      <c r="BZ165" s="138"/>
      <c r="CA165" s="138"/>
      <c r="CB165" s="138"/>
      <c r="CC165" s="138"/>
      <c r="CD165" s="138"/>
      <c r="CE165" s="138"/>
      <c r="CF165" s="138"/>
      <c r="CG165" s="138"/>
      <c r="CH165" s="138"/>
      <c r="CI165" s="138"/>
      <c r="CJ165" s="138"/>
      <c r="CK165" s="138"/>
      <c r="CL165" s="138"/>
      <c r="CM165" s="138"/>
      <c r="CN165" s="138"/>
      <c r="CO165" s="138"/>
      <c r="CP165" s="138"/>
      <c r="CQ165" s="138"/>
      <c r="CR165" s="138"/>
      <c r="CS165" s="138"/>
    </row>
    <row r="166" spans="1:97" ht="18" customHeight="1" outlineLevel="2">
      <c r="A166" s="195"/>
      <c r="B166" s="195"/>
      <c r="C166" s="195">
        <v>3</v>
      </c>
      <c r="D166" s="196" t="s">
        <v>1653</v>
      </c>
      <c r="E166" s="197"/>
      <c r="F166" s="197"/>
      <c r="G166" s="197" t="s">
        <v>1639</v>
      </c>
      <c r="H166" s="197"/>
      <c r="I166" s="197"/>
      <c r="J166" s="197"/>
      <c r="K166" s="197"/>
      <c r="L166" s="197"/>
      <c r="M166" s="197"/>
      <c r="N166" s="197"/>
      <c r="O166" s="197"/>
      <c r="P166" s="198">
        <v>44480</v>
      </c>
      <c r="Q166" s="198">
        <v>44498</v>
      </c>
      <c r="R166" s="199"/>
      <c r="S166" s="200">
        <v>15</v>
      </c>
      <c r="T166" s="200">
        <v>0</v>
      </c>
      <c r="U166" s="200">
        <v>15</v>
      </c>
      <c r="V166" s="200">
        <v>0</v>
      </c>
      <c r="W166" s="198"/>
      <c r="X166" s="198"/>
      <c r="Y166" s="201">
        <v>0</v>
      </c>
      <c r="Z166" s="202">
        <v>0</v>
      </c>
      <c r="AA166" s="200"/>
      <c r="AB166" s="199"/>
      <c r="AC166" s="165"/>
      <c r="AD166" s="203">
        <v>0</v>
      </c>
      <c r="AE166" s="205">
        <v>0</v>
      </c>
      <c r="AF166" s="137"/>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t="str">
        <f>"" &amp; TEXT(AE166,"#0.00%") &amp; " " &amp; "HW 이상 유무 확인" &amp; " " &amp; IF(P166="","",TEXT(P166,"M/D-")) &amp; IF(Q166="","",TEXT(Q166,"M/D")) &amp; " "</f>
        <v xml:space="preserve">0.00% HW 이상 유무 확인 10/11-10/29 </v>
      </c>
      <c r="BU166" s="138"/>
      <c r="BV166" s="138"/>
      <c r="BW166" s="138"/>
      <c r="BX166" s="138"/>
      <c r="BY166" s="138"/>
      <c r="BZ166" s="138"/>
      <c r="CA166" s="138"/>
      <c r="CB166" s="138"/>
      <c r="CC166" s="138"/>
      <c r="CD166" s="138"/>
      <c r="CE166" s="138"/>
      <c r="CF166" s="138"/>
      <c r="CG166" s="138"/>
      <c r="CH166" s="138"/>
      <c r="CI166" s="138"/>
      <c r="CJ166" s="138"/>
      <c r="CK166" s="138"/>
      <c r="CL166" s="138"/>
      <c r="CM166" s="138"/>
      <c r="CN166" s="138"/>
      <c r="CO166" s="138"/>
      <c r="CP166" s="138"/>
      <c r="CQ166" s="138"/>
      <c r="CR166" s="138"/>
      <c r="CS166" s="138"/>
    </row>
    <row r="167" spans="1:97" ht="18" customHeight="1" outlineLevel="2">
      <c r="A167" s="195"/>
      <c r="B167" s="195"/>
      <c r="C167" s="195">
        <v>3</v>
      </c>
      <c r="D167" s="196" t="s">
        <v>1711</v>
      </c>
      <c r="E167" s="197"/>
      <c r="F167" s="197"/>
      <c r="G167" s="197" t="s">
        <v>1557</v>
      </c>
      <c r="H167" s="197"/>
      <c r="I167" s="197"/>
      <c r="J167" s="197"/>
      <c r="K167" s="197"/>
      <c r="L167" s="197"/>
      <c r="M167" s="197"/>
      <c r="N167" s="197"/>
      <c r="O167" s="197"/>
      <c r="P167" s="198">
        <v>44501</v>
      </c>
      <c r="Q167" s="198">
        <v>44561</v>
      </c>
      <c r="R167" s="199"/>
      <c r="S167" s="200">
        <v>45</v>
      </c>
      <c r="T167" s="200">
        <v>0</v>
      </c>
      <c r="U167" s="200">
        <v>45</v>
      </c>
      <c r="V167" s="200">
        <v>0</v>
      </c>
      <c r="W167" s="198"/>
      <c r="X167" s="198"/>
      <c r="Y167" s="201">
        <v>0</v>
      </c>
      <c r="Z167" s="202">
        <v>0</v>
      </c>
      <c r="AA167" s="200"/>
      <c r="AB167" s="199"/>
      <c r="AC167" s="165"/>
      <c r="AD167" s="203">
        <v>0</v>
      </c>
      <c r="AE167" s="205">
        <v>0</v>
      </c>
      <c r="AF167" s="137"/>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c r="BV167" s="138"/>
      <c r="BW167" s="138" t="str">
        <f>"" &amp; TEXT(AE167,"#0.00%") &amp; " "</f>
        <v xml:space="preserve">0.00% </v>
      </c>
      <c r="BX167" s="138"/>
      <c r="BY167" s="138"/>
      <c r="BZ167" s="138"/>
      <c r="CA167" s="138"/>
      <c r="CB167" s="138"/>
      <c r="CC167" s="138"/>
      <c r="CD167" s="138"/>
      <c r="CE167" s="138" t="str">
        <f>"     " &amp; "모니터링 및 안정화 작업" &amp; " " &amp; IF(P167="","",TEXT(P167,"M/D-")) &amp; IF(Q167="","",TEXT(Q167,"M/D")) &amp; " "</f>
        <v xml:space="preserve">     모니터링 및 안정화 작업 11/1-12/31 </v>
      </c>
      <c r="CF167" s="138"/>
      <c r="CG167" s="138"/>
      <c r="CH167" s="138"/>
      <c r="CI167" s="138"/>
      <c r="CJ167" s="138"/>
      <c r="CK167" s="138"/>
      <c r="CL167" s="138"/>
      <c r="CM167" s="138"/>
      <c r="CN167" s="138"/>
      <c r="CO167" s="138"/>
      <c r="CP167" s="138"/>
      <c r="CQ167" s="138"/>
      <c r="CR167" s="138"/>
      <c r="CS167" s="138"/>
    </row>
    <row r="168" spans="1:97" ht="18" customHeight="1" outlineLevel="1">
      <c r="A168" s="195"/>
      <c r="B168" s="195" t="s">
        <v>1426</v>
      </c>
      <c r="C168" s="195">
        <v>2</v>
      </c>
      <c r="D168" s="196" t="s">
        <v>1572</v>
      </c>
      <c r="E168" s="197"/>
      <c r="F168" s="197" t="s">
        <v>1542</v>
      </c>
      <c r="G168" s="197"/>
      <c r="H168" s="197"/>
      <c r="I168" s="197"/>
      <c r="J168" s="197"/>
      <c r="K168" s="197"/>
      <c r="L168" s="197"/>
      <c r="M168" s="197"/>
      <c r="N168" s="197"/>
      <c r="O168" s="197"/>
      <c r="P168" s="198">
        <v>44410</v>
      </c>
      <c r="Q168" s="198">
        <v>44443</v>
      </c>
      <c r="R168" s="199"/>
      <c r="S168" s="200">
        <v>45</v>
      </c>
      <c r="T168" s="200">
        <v>0</v>
      </c>
      <c r="U168" s="200">
        <v>25</v>
      </c>
      <c r="V168" s="200">
        <v>0</v>
      </c>
      <c r="W168" s="198"/>
      <c r="X168" s="198"/>
      <c r="Y168" s="201">
        <v>0</v>
      </c>
      <c r="Z168" s="202">
        <v>0</v>
      </c>
      <c r="AA168" s="200"/>
      <c r="AB168" s="199" t="s">
        <v>1632</v>
      </c>
      <c r="AC168" s="165"/>
      <c r="AD168" s="203">
        <v>0</v>
      </c>
      <c r="AE168" s="204">
        <v>0</v>
      </c>
      <c r="AF168" s="137"/>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t="str">
        <f>"" &amp; TEXT(AE168,"#0.00%") &amp; " "</f>
        <v xml:space="preserve">0.00% </v>
      </c>
      <c r="BK168" s="138"/>
      <c r="BL168" s="138"/>
      <c r="BM168" s="138"/>
      <c r="BN168" s="138" t="str">
        <f>"      " &amp; "LAN 공사" &amp; "(오경)" &amp; " " &amp; IF(P168="","",TEXT(P168,"M/D-")) &amp; IF(Q168="","",TEXT(Q168,"M/D")) &amp; " "</f>
        <v xml:space="preserve">      LAN 공사(오경) 8/2-9/4 </v>
      </c>
      <c r="BO168" s="138"/>
      <c r="BP168" s="138"/>
      <c r="BQ168" s="138"/>
      <c r="BR168" s="138"/>
      <c r="BS168" s="138"/>
      <c r="BT168" s="138"/>
      <c r="BU168" s="138"/>
      <c r="BV168" s="138"/>
      <c r="BW168" s="138"/>
      <c r="BX168" s="138"/>
      <c r="BY168" s="138"/>
      <c r="BZ168" s="138"/>
      <c r="CA168" s="138"/>
      <c r="CB168" s="138"/>
      <c r="CC168" s="138"/>
      <c r="CD168" s="138"/>
      <c r="CE168" s="138"/>
      <c r="CF168" s="138"/>
      <c r="CG168" s="138"/>
      <c r="CH168" s="138"/>
      <c r="CI168" s="138"/>
      <c r="CJ168" s="138"/>
      <c r="CK168" s="138"/>
      <c r="CL168" s="138"/>
      <c r="CM168" s="138"/>
      <c r="CN168" s="138"/>
      <c r="CO168" s="138"/>
      <c r="CP168" s="138"/>
      <c r="CQ168" s="138"/>
      <c r="CR168" s="138"/>
      <c r="CS168" s="138"/>
    </row>
    <row r="169" spans="1:97" ht="18" customHeight="1" outlineLevel="2">
      <c r="A169" s="195"/>
      <c r="B169" s="195"/>
      <c r="C169" s="195">
        <v>3</v>
      </c>
      <c r="D169" s="196" t="s">
        <v>1591</v>
      </c>
      <c r="E169" s="197"/>
      <c r="F169" s="197"/>
      <c r="G169" s="197" t="s">
        <v>1574</v>
      </c>
      <c r="H169" s="197"/>
      <c r="I169" s="197"/>
      <c r="J169" s="197"/>
      <c r="K169" s="197"/>
      <c r="L169" s="197"/>
      <c r="M169" s="197"/>
      <c r="N169" s="197"/>
      <c r="O169" s="197"/>
      <c r="P169" s="198">
        <v>44410</v>
      </c>
      <c r="Q169" s="198">
        <v>44416</v>
      </c>
      <c r="R169" s="199"/>
      <c r="S169" s="200">
        <v>5</v>
      </c>
      <c r="T169" s="200">
        <v>0</v>
      </c>
      <c r="U169" s="200">
        <v>5</v>
      </c>
      <c r="V169" s="200">
        <v>0</v>
      </c>
      <c r="W169" s="198"/>
      <c r="X169" s="198"/>
      <c r="Y169" s="201">
        <v>0</v>
      </c>
      <c r="Z169" s="202">
        <v>0</v>
      </c>
      <c r="AA169" s="200"/>
      <c r="AB169" s="199" t="s">
        <v>1883</v>
      </c>
      <c r="AC169" s="165"/>
      <c r="AD169" s="203">
        <v>0</v>
      </c>
      <c r="AE169" s="205">
        <v>0</v>
      </c>
      <c r="AF169" s="137"/>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t="str">
        <f>"" &amp; TEXT(AE169,"#0.00%") &amp; " " &amp; "현장실사" &amp; "(김명석부장)" &amp; " " &amp; IF(P169="","",TEXT(P169,"M/D-")) &amp; IF(Q169="","",TEXT(Q169,"M/D")) &amp; " "</f>
        <v xml:space="preserve">0.00% 현장실사(김명석부장) 8/2-8/8 </v>
      </c>
      <c r="BK169" s="138"/>
      <c r="BL169" s="138"/>
      <c r="BM169" s="138"/>
      <c r="BN169" s="138"/>
      <c r="BO169" s="138"/>
      <c r="BP169" s="138"/>
      <c r="BQ169" s="138"/>
      <c r="BR169" s="138"/>
      <c r="BS169" s="138"/>
      <c r="BT169" s="138"/>
      <c r="BU169" s="138"/>
      <c r="BV169" s="138"/>
      <c r="BW169" s="138"/>
      <c r="BX169" s="138"/>
      <c r="BY169" s="138"/>
      <c r="BZ169" s="138"/>
      <c r="CA169" s="138"/>
      <c r="CB169" s="138"/>
      <c r="CC169" s="138"/>
      <c r="CD169" s="138"/>
      <c r="CE169" s="138"/>
      <c r="CF169" s="138"/>
      <c r="CG169" s="138"/>
      <c r="CH169" s="138"/>
      <c r="CI169" s="138"/>
      <c r="CJ169" s="138"/>
      <c r="CK169" s="138"/>
      <c r="CL169" s="138"/>
      <c r="CM169" s="138"/>
      <c r="CN169" s="138"/>
      <c r="CO169" s="138"/>
      <c r="CP169" s="138"/>
      <c r="CQ169" s="138"/>
      <c r="CR169" s="138"/>
      <c r="CS169" s="138"/>
    </row>
    <row r="170" spans="1:97" ht="18" customHeight="1" outlineLevel="2">
      <c r="A170" s="195"/>
      <c r="B170" s="195"/>
      <c r="C170" s="195">
        <v>3</v>
      </c>
      <c r="D170" s="196" t="s">
        <v>1592</v>
      </c>
      <c r="E170" s="197"/>
      <c r="F170" s="197"/>
      <c r="G170" s="197" t="s">
        <v>1575</v>
      </c>
      <c r="H170" s="197"/>
      <c r="I170" s="197"/>
      <c r="J170" s="197"/>
      <c r="K170" s="197"/>
      <c r="L170" s="197"/>
      <c r="M170" s="197"/>
      <c r="N170" s="197"/>
      <c r="O170" s="197"/>
      <c r="P170" s="198">
        <v>44417</v>
      </c>
      <c r="Q170" s="198">
        <v>44422</v>
      </c>
      <c r="R170" s="199"/>
      <c r="S170" s="200">
        <v>5</v>
      </c>
      <c r="T170" s="200">
        <v>0</v>
      </c>
      <c r="U170" s="200">
        <v>5</v>
      </c>
      <c r="V170" s="200">
        <v>0</v>
      </c>
      <c r="W170" s="198"/>
      <c r="X170" s="198"/>
      <c r="Y170" s="201">
        <v>0</v>
      </c>
      <c r="Z170" s="202">
        <v>0</v>
      </c>
      <c r="AA170" s="200"/>
      <c r="AB170" s="199" t="s">
        <v>1883</v>
      </c>
      <c r="AC170" s="165"/>
      <c r="AD170" s="203">
        <v>0</v>
      </c>
      <c r="AE170" s="205">
        <v>0</v>
      </c>
      <c r="AF170" s="137"/>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t="str">
        <f>"" &amp; TEXT(AE170,"#0.00%") &amp; " " &amp; "통합배선 상세설계 " &amp; "(김명석부장)" &amp; " " &amp; IF(P170="","",TEXT(P170,"M/D-")) &amp; IF(Q170="","",TEXT(Q170,"M/D")) &amp; " "</f>
        <v xml:space="preserve">0.00% 통합배선 상세설계 (김명석부장) 8/9-8/14 </v>
      </c>
      <c r="BL170" s="138"/>
      <c r="BM170" s="138"/>
      <c r="BN170" s="138"/>
      <c r="BO170" s="138"/>
      <c r="BP170" s="138"/>
      <c r="BQ170" s="138"/>
      <c r="BR170" s="138"/>
      <c r="BS170" s="138"/>
      <c r="BT170" s="138"/>
      <c r="BU170" s="138"/>
      <c r="BV170" s="138"/>
      <c r="BW170" s="138"/>
      <c r="BX170" s="138"/>
      <c r="BY170" s="138"/>
      <c r="BZ170" s="138"/>
      <c r="CA170" s="138"/>
      <c r="CB170" s="138"/>
      <c r="CC170" s="138"/>
      <c r="CD170" s="138"/>
      <c r="CE170" s="138"/>
      <c r="CF170" s="138"/>
      <c r="CG170" s="138"/>
      <c r="CH170" s="138"/>
      <c r="CI170" s="138"/>
      <c r="CJ170" s="138"/>
      <c r="CK170" s="138"/>
      <c r="CL170" s="138"/>
      <c r="CM170" s="138"/>
      <c r="CN170" s="138"/>
      <c r="CO170" s="138"/>
      <c r="CP170" s="138"/>
      <c r="CQ170" s="138"/>
      <c r="CR170" s="138"/>
      <c r="CS170" s="138"/>
    </row>
    <row r="171" spans="1:97" ht="18" customHeight="1" outlineLevel="2">
      <c r="A171" s="195"/>
      <c r="B171" s="195" t="s">
        <v>1426</v>
      </c>
      <c r="C171" s="195">
        <v>3</v>
      </c>
      <c r="D171" s="196" t="s">
        <v>1593</v>
      </c>
      <c r="E171" s="197"/>
      <c r="F171" s="197"/>
      <c r="G171" s="197" t="s">
        <v>1576</v>
      </c>
      <c r="H171" s="197"/>
      <c r="I171" s="197"/>
      <c r="J171" s="197"/>
      <c r="K171" s="197"/>
      <c r="L171" s="197"/>
      <c r="M171" s="197"/>
      <c r="N171" s="197"/>
      <c r="O171" s="197"/>
      <c r="P171" s="198">
        <v>44424</v>
      </c>
      <c r="Q171" s="198">
        <v>44430</v>
      </c>
      <c r="R171" s="199"/>
      <c r="S171" s="200">
        <v>11</v>
      </c>
      <c r="T171" s="200">
        <v>0</v>
      </c>
      <c r="U171" s="200">
        <v>5</v>
      </c>
      <c r="V171" s="200">
        <v>0</v>
      </c>
      <c r="W171" s="198"/>
      <c r="X171" s="198"/>
      <c r="Y171" s="201">
        <v>0</v>
      </c>
      <c r="Z171" s="202">
        <v>0</v>
      </c>
      <c r="AA171" s="200"/>
      <c r="AB171" s="199"/>
      <c r="AC171" s="165"/>
      <c r="AD171" s="203">
        <v>0</v>
      </c>
      <c r="AE171" s="204">
        <v>0</v>
      </c>
      <c r="AF171" s="137"/>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t="str">
        <f>"" &amp; TEXT(AE171,"#0.00%") &amp; " " &amp; "본사 &amp; 남항" &amp; " " &amp; IF(P171="","",TEXT(P171,"M/D-")) &amp; IF(Q171="","",TEXT(Q171,"M/D")) &amp; " "</f>
        <v xml:space="preserve">0.00% 본사 &amp; 남항 8/16-8/22 </v>
      </c>
      <c r="BM171" s="138"/>
      <c r="BN171" s="138"/>
      <c r="BO171" s="138"/>
      <c r="BP171" s="138"/>
      <c r="BQ171" s="138"/>
      <c r="BR171" s="138"/>
      <c r="BS171" s="138"/>
      <c r="BT171" s="138"/>
      <c r="BU171" s="138"/>
      <c r="BV171" s="138"/>
      <c r="BW171" s="138"/>
      <c r="BX171" s="138"/>
      <c r="BY171" s="138"/>
      <c r="BZ171" s="138"/>
      <c r="CA171" s="138"/>
      <c r="CB171" s="138"/>
      <c r="CC171" s="138"/>
      <c r="CD171" s="138"/>
      <c r="CE171" s="138"/>
      <c r="CF171" s="138"/>
      <c r="CG171" s="138"/>
      <c r="CH171" s="138"/>
      <c r="CI171" s="138"/>
      <c r="CJ171" s="138"/>
      <c r="CK171" s="138"/>
      <c r="CL171" s="138"/>
      <c r="CM171" s="138"/>
      <c r="CN171" s="138"/>
      <c r="CO171" s="138"/>
      <c r="CP171" s="138"/>
      <c r="CQ171" s="138"/>
      <c r="CR171" s="138"/>
      <c r="CS171" s="138"/>
    </row>
    <row r="172" spans="1:97" ht="18" customHeight="1" outlineLevel="3">
      <c r="A172" s="195"/>
      <c r="B172" s="195" t="s">
        <v>1426</v>
      </c>
      <c r="C172" s="195">
        <v>4</v>
      </c>
      <c r="D172" s="196" t="s">
        <v>1594</v>
      </c>
      <c r="E172" s="197"/>
      <c r="F172" s="197"/>
      <c r="G172" s="197"/>
      <c r="H172" s="197" t="s">
        <v>1577</v>
      </c>
      <c r="I172" s="197"/>
      <c r="J172" s="197"/>
      <c r="K172" s="197"/>
      <c r="L172" s="197"/>
      <c r="M172" s="197"/>
      <c r="N172" s="197"/>
      <c r="O172" s="197"/>
      <c r="P172" s="198">
        <v>44424</v>
      </c>
      <c r="Q172" s="198">
        <v>44428</v>
      </c>
      <c r="R172" s="199"/>
      <c r="S172" s="200">
        <v>11</v>
      </c>
      <c r="T172" s="200">
        <v>0</v>
      </c>
      <c r="U172" s="200">
        <v>5</v>
      </c>
      <c r="V172" s="200">
        <v>0</v>
      </c>
      <c r="W172" s="198"/>
      <c r="X172" s="198"/>
      <c r="Y172" s="201">
        <v>0</v>
      </c>
      <c r="Z172" s="202">
        <v>0</v>
      </c>
      <c r="AA172" s="200"/>
      <c r="AB172" s="199"/>
      <c r="AC172" s="165"/>
      <c r="AD172" s="203">
        <v>0</v>
      </c>
      <c r="AE172" s="204">
        <v>0</v>
      </c>
      <c r="AF172" s="137"/>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t="str">
        <f>"" &amp; TEXT(AE172,"#0.00%") &amp; " " &amp; "통합배선공사" &amp; " " &amp; IF(P172="","",TEXT(P172,"M/D-")) &amp; IF(Q172="","",TEXT(Q172,"M/D")) &amp; " "</f>
        <v xml:space="preserve">0.00% 통합배선공사 8/16-8/20 </v>
      </c>
      <c r="BM172" s="138"/>
      <c r="BN172" s="138"/>
      <c r="BO172" s="138"/>
      <c r="BP172" s="138"/>
      <c r="BQ172" s="138"/>
      <c r="BR172" s="138"/>
      <c r="BS172" s="138"/>
      <c r="BT172" s="138"/>
      <c r="BU172" s="138"/>
      <c r="BV172" s="138"/>
      <c r="BW172" s="138"/>
      <c r="BX172" s="138"/>
      <c r="BY172" s="138"/>
      <c r="BZ172" s="138"/>
      <c r="CA172" s="138"/>
      <c r="CB172" s="138"/>
      <c r="CC172" s="138"/>
      <c r="CD172" s="138"/>
      <c r="CE172" s="138"/>
      <c r="CF172" s="138"/>
      <c r="CG172" s="138"/>
      <c r="CH172" s="138"/>
      <c r="CI172" s="138"/>
      <c r="CJ172" s="138"/>
      <c r="CK172" s="138"/>
      <c r="CL172" s="138"/>
      <c r="CM172" s="138"/>
      <c r="CN172" s="138"/>
      <c r="CO172" s="138"/>
      <c r="CP172" s="138"/>
      <c r="CQ172" s="138"/>
      <c r="CR172" s="138"/>
      <c r="CS172" s="138"/>
    </row>
    <row r="173" spans="1:97" ht="18" customHeight="1" outlineLevel="4">
      <c r="A173" s="195"/>
      <c r="B173" s="195"/>
      <c r="C173" s="195">
        <v>5</v>
      </c>
      <c r="D173" s="196" t="s">
        <v>1595</v>
      </c>
      <c r="E173" s="197"/>
      <c r="F173" s="197"/>
      <c r="G173" s="197"/>
      <c r="H173" s="197"/>
      <c r="I173" s="197" t="s">
        <v>1578</v>
      </c>
      <c r="J173" s="197"/>
      <c r="K173" s="197"/>
      <c r="L173" s="197"/>
      <c r="M173" s="197"/>
      <c r="N173" s="197"/>
      <c r="O173" s="197"/>
      <c r="P173" s="198">
        <v>44424</v>
      </c>
      <c r="Q173" s="198">
        <v>44426</v>
      </c>
      <c r="R173" s="199"/>
      <c r="S173" s="200">
        <v>3</v>
      </c>
      <c r="T173" s="200">
        <v>0</v>
      </c>
      <c r="U173" s="200">
        <v>3</v>
      </c>
      <c r="V173" s="200">
        <v>0</v>
      </c>
      <c r="W173" s="198"/>
      <c r="X173" s="198"/>
      <c r="Y173" s="201">
        <v>0</v>
      </c>
      <c r="Z173" s="202">
        <v>0</v>
      </c>
      <c r="AA173" s="200"/>
      <c r="AB173" s="199" t="s">
        <v>1883</v>
      </c>
      <c r="AC173" s="165"/>
      <c r="AD173" s="203">
        <v>0</v>
      </c>
      <c r="AE173" s="205">
        <v>0</v>
      </c>
      <c r="AF173" s="137"/>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t="str">
        <f>"" &amp; TEXT(AE173,"#0.00%") &amp; " " &amp; "통신배관공사" &amp; "(김명석부장)" &amp; " " &amp; IF(P173="","",TEXT(P173,"M/D-")) &amp; IF(Q173="","",TEXT(Q173,"M/D")) &amp; " "</f>
        <v xml:space="preserve">0.00% 통신배관공사(김명석부장) 8/16-8/18 </v>
      </c>
      <c r="BM173" s="138"/>
      <c r="BN173" s="138"/>
      <c r="BO173" s="138"/>
      <c r="BP173" s="138"/>
      <c r="BQ173" s="138"/>
      <c r="BR173" s="138"/>
      <c r="BS173" s="138"/>
      <c r="BT173" s="138"/>
      <c r="BU173" s="138"/>
      <c r="BV173" s="138"/>
      <c r="BW173" s="138"/>
      <c r="BX173" s="138"/>
      <c r="BY173" s="138"/>
      <c r="BZ173" s="138"/>
      <c r="CA173" s="138"/>
      <c r="CB173" s="138"/>
      <c r="CC173" s="138"/>
      <c r="CD173" s="138"/>
      <c r="CE173" s="138"/>
      <c r="CF173" s="138"/>
      <c r="CG173" s="138"/>
      <c r="CH173" s="138"/>
      <c r="CI173" s="138"/>
      <c r="CJ173" s="138"/>
      <c r="CK173" s="138"/>
      <c r="CL173" s="138"/>
      <c r="CM173" s="138"/>
      <c r="CN173" s="138"/>
      <c r="CO173" s="138"/>
      <c r="CP173" s="138"/>
      <c r="CQ173" s="138"/>
      <c r="CR173" s="138"/>
      <c r="CS173" s="138"/>
    </row>
    <row r="174" spans="1:97" ht="18" customHeight="1" outlineLevel="4">
      <c r="A174" s="195"/>
      <c r="B174" s="195"/>
      <c r="C174" s="195">
        <v>5</v>
      </c>
      <c r="D174" s="196" t="s">
        <v>1596</v>
      </c>
      <c r="E174" s="197"/>
      <c r="F174" s="197"/>
      <c r="G174" s="197"/>
      <c r="H174" s="197"/>
      <c r="I174" s="197" t="s">
        <v>1579</v>
      </c>
      <c r="J174" s="197"/>
      <c r="K174" s="197"/>
      <c r="L174" s="197"/>
      <c r="M174" s="197"/>
      <c r="N174" s="197"/>
      <c r="O174" s="197"/>
      <c r="P174" s="198">
        <v>44425</v>
      </c>
      <c r="Q174" s="198">
        <v>44427</v>
      </c>
      <c r="R174" s="199"/>
      <c r="S174" s="200">
        <v>3</v>
      </c>
      <c r="T174" s="200">
        <v>0</v>
      </c>
      <c r="U174" s="200">
        <v>3</v>
      </c>
      <c r="V174" s="200">
        <v>0</v>
      </c>
      <c r="W174" s="198"/>
      <c r="X174" s="198"/>
      <c r="Y174" s="201">
        <v>0</v>
      </c>
      <c r="Z174" s="202">
        <v>0</v>
      </c>
      <c r="AA174" s="200"/>
      <c r="AB174" s="199" t="s">
        <v>1883</v>
      </c>
      <c r="AC174" s="165"/>
      <c r="AD174" s="203">
        <v>0</v>
      </c>
      <c r="AE174" s="205">
        <v>0</v>
      </c>
      <c r="AF174" s="137"/>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t="str">
        <f>" " &amp; TEXT(AE174,"#0.00%") &amp; " " &amp; "네트워크 케이블 포설" &amp; "(김명석부장)" &amp; " " &amp; IF(P174="","",TEXT(P174,"M/D-")) &amp; IF(Q174="","",TEXT(Q174,"M/D")) &amp; " "</f>
        <v xml:space="preserve"> 0.00% 네트워크 케이블 포설(김명석부장) 8/17-8/19 </v>
      </c>
      <c r="BM174" s="138"/>
      <c r="BN174" s="138"/>
      <c r="BO174" s="138"/>
      <c r="BP174" s="138"/>
      <c r="BQ174" s="138"/>
      <c r="BR174" s="138"/>
      <c r="BS174" s="138"/>
      <c r="BT174" s="138"/>
      <c r="BU174" s="138"/>
      <c r="BV174" s="138"/>
      <c r="BW174" s="138"/>
      <c r="BX174" s="138"/>
      <c r="BY174" s="138"/>
      <c r="BZ174" s="138"/>
      <c r="CA174" s="138"/>
      <c r="CB174" s="138"/>
      <c r="CC174" s="138"/>
      <c r="CD174" s="138"/>
      <c r="CE174" s="138"/>
      <c r="CF174" s="138"/>
      <c r="CG174" s="138"/>
      <c r="CH174" s="138"/>
      <c r="CI174" s="138"/>
      <c r="CJ174" s="138"/>
      <c r="CK174" s="138"/>
      <c r="CL174" s="138"/>
      <c r="CM174" s="138"/>
      <c r="CN174" s="138"/>
      <c r="CO174" s="138"/>
      <c r="CP174" s="138"/>
      <c r="CQ174" s="138"/>
      <c r="CR174" s="138"/>
      <c r="CS174" s="138"/>
    </row>
    <row r="175" spans="1:97" ht="18" customHeight="1" outlineLevel="4">
      <c r="A175" s="195"/>
      <c r="B175" s="195"/>
      <c r="C175" s="195">
        <v>5</v>
      </c>
      <c r="D175" s="196" t="s">
        <v>1597</v>
      </c>
      <c r="E175" s="197"/>
      <c r="F175" s="197"/>
      <c r="G175" s="197"/>
      <c r="H175" s="197"/>
      <c r="I175" s="197" t="s">
        <v>1580</v>
      </c>
      <c r="J175" s="197"/>
      <c r="K175" s="197"/>
      <c r="L175" s="197"/>
      <c r="M175" s="197"/>
      <c r="N175" s="197"/>
      <c r="O175" s="197"/>
      <c r="P175" s="198">
        <v>44427</v>
      </c>
      <c r="Q175" s="198">
        <v>44428</v>
      </c>
      <c r="R175" s="199"/>
      <c r="S175" s="200">
        <v>2</v>
      </c>
      <c r="T175" s="200">
        <v>0</v>
      </c>
      <c r="U175" s="200">
        <v>2</v>
      </c>
      <c r="V175" s="200">
        <v>0</v>
      </c>
      <c r="W175" s="198"/>
      <c r="X175" s="198"/>
      <c r="Y175" s="201">
        <v>0</v>
      </c>
      <c r="Z175" s="202">
        <v>0</v>
      </c>
      <c r="AA175" s="200"/>
      <c r="AB175" s="199" t="s">
        <v>1883</v>
      </c>
      <c r="AC175" s="165"/>
      <c r="AD175" s="203">
        <v>0</v>
      </c>
      <c r="AE175" s="205">
        <v>0</v>
      </c>
      <c r="AF175" s="137"/>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t="str">
        <f>"   " &amp; TEXT(AE175,"#0.00%") &amp; " " &amp; "기구설치공사" &amp; "(김명석부장)" &amp; " " &amp; IF(P175="","",TEXT(P175,"M/D-")) &amp; IF(Q175="","",TEXT(Q175,"M/D")) &amp; " "</f>
        <v xml:space="preserve">   0.00% 기구설치공사(김명석부장) 8/19-8/20 </v>
      </c>
      <c r="BM175" s="138"/>
      <c r="BN175" s="138"/>
      <c r="BO175" s="138"/>
      <c r="BP175" s="138"/>
      <c r="BQ175" s="138"/>
      <c r="BR175" s="138"/>
      <c r="BS175" s="138"/>
      <c r="BT175" s="138"/>
      <c r="BU175" s="138"/>
      <c r="BV175" s="138"/>
      <c r="BW175" s="138"/>
      <c r="BX175" s="138"/>
      <c r="BY175" s="138"/>
      <c r="BZ175" s="138"/>
      <c r="CA175" s="138"/>
      <c r="CB175" s="138"/>
      <c r="CC175" s="138"/>
      <c r="CD175" s="138"/>
      <c r="CE175" s="138"/>
      <c r="CF175" s="138"/>
      <c r="CG175" s="138"/>
      <c r="CH175" s="138"/>
      <c r="CI175" s="138"/>
      <c r="CJ175" s="138"/>
      <c r="CK175" s="138"/>
      <c r="CL175" s="138"/>
      <c r="CM175" s="138"/>
      <c r="CN175" s="138"/>
      <c r="CO175" s="138"/>
      <c r="CP175" s="138"/>
      <c r="CQ175" s="138"/>
      <c r="CR175" s="138"/>
      <c r="CS175" s="138"/>
    </row>
    <row r="176" spans="1:97" ht="18" customHeight="1" outlineLevel="4">
      <c r="A176" s="195"/>
      <c r="B176" s="195"/>
      <c r="C176" s="195">
        <v>5</v>
      </c>
      <c r="D176" s="196" t="s">
        <v>1598</v>
      </c>
      <c r="E176" s="197"/>
      <c r="F176" s="197"/>
      <c r="G176" s="197"/>
      <c r="H176" s="197"/>
      <c r="I176" s="197" t="s">
        <v>1581</v>
      </c>
      <c r="J176" s="197"/>
      <c r="K176" s="197"/>
      <c r="L176" s="197"/>
      <c r="M176" s="197"/>
      <c r="N176" s="197"/>
      <c r="O176" s="197"/>
      <c r="P176" s="198">
        <v>44428</v>
      </c>
      <c r="Q176" s="198">
        <v>44428</v>
      </c>
      <c r="R176" s="199"/>
      <c r="S176" s="200">
        <v>1</v>
      </c>
      <c r="T176" s="200">
        <v>0</v>
      </c>
      <c r="U176" s="200">
        <v>1</v>
      </c>
      <c r="V176" s="200">
        <v>0</v>
      </c>
      <c r="W176" s="198"/>
      <c r="X176" s="198"/>
      <c r="Y176" s="201">
        <v>0</v>
      </c>
      <c r="Z176" s="202">
        <v>0</v>
      </c>
      <c r="AA176" s="200"/>
      <c r="AB176" s="199" t="s">
        <v>1883</v>
      </c>
      <c r="AC176" s="165"/>
      <c r="AD176" s="203">
        <v>0</v>
      </c>
      <c r="AE176" s="205">
        <v>0</v>
      </c>
      <c r="AF176" s="137"/>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c r="BJ176" s="138"/>
      <c r="BK176" s="138"/>
      <c r="BL176" s="138" t="str">
        <f>"    " &amp; TEXT(AE176,"#0.00%") &amp; " " &amp; "케이블성단" &amp; "(김명석부장)" &amp; " " &amp; IF(P176="","",TEXT(P176,"M/D-")) &amp; IF(Q176="","",TEXT(Q176,"M/D")) &amp; " "</f>
        <v xml:space="preserve">    0.00% 케이블성단(김명석부장) 8/20-8/20 </v>
      </c>
      <c r="BM176" s="138"/>
      <c r="BN176" s="138"/>
      <c r="BO176" s="138"/>
      <c r="BP176" s="138"/>
      <c r="BQ176" s="138"/>
      <c r="BR176" s="138"/>
      <c r="BS176" s="138"/>
      <c r="BT176" s="138"/>
      <c r="BU176" s="138"/>
      <c r="BV176" s="138"/>
      <c r="BW176" s="138"/>
      <c r="BX176" s="138"/>
      <c r="BY176" s="138"/>
      <c r="BZ176" s="138"/>
      <c r="CA176" s="138"/>
      <c r="CB176" s="138"/>
      <c r="CC176" s="138"/>
      <c r="CD176" s="138"/>
      <c r="CE176" s="138"/>
      <c r="CF176" s="138"/>
      <c r="CG176" s="138"/>
      <c r="CH176" s="138"/>
      <c r="CI176" s="138"/>
      <c r="CJ176" s="138"/>
      <c r="CK176" s="138"/>
      <c r="CL176" s="138"/>
      <c r="CM176" s="138"/>
      <c r="CN176" s="138"/>
      <c r="CO176" s="138"/>
      <c r="CP176" s="138"/>
      <c r="CQ176" s="138"/>
      <c r="CR176" s="138"/>
      <c r="CS176" s="138"/>
    </row>
    <row r="177" spans="1:97" ht="18" customHeight="1" outlineLevel="4">
      <c r="A177" s="195"/>
      <c r="B177" s="195"/>
      <c r="C177" s="195">
        <v>5</v>
      </c>
      <c r="D177" s="196" t="s">
        <v>1599</v>
      </c>
      <c r="E177" s="197"/>
      <c r="F177" s="197"/>
      <c r="G177" s="197"/>
      <c r="H177" s="197"/>
      <c r="I177" s="197" t="s">
        <v>1582</v>
      </c>
      <c r="J177" s="197"/>
      <c r="K177" s="197"/>
      <c r="L177" s="197"/>
      <c r="M177" s="197"/>
      <c r="N177" s="197"/>
      <c r="O177" s="197"/>
      <c r="P177" s="198">
        <v>44426</v>
      </c>
      <c r="Q177" s="198">
        <v>44427</v>
      </c>
      <c r="R177" s="199"/>
      <c r="S177" s="200">
        <v>2</v>
      </c>
      <c r="T177" s="200">
        <v>0</v>
      </c>
      <c r="U177" s="200">
        <v>2</v>
      </c>
      <c r="V177" s="200">
        <v>0</v>
      </c>
      <c r="W177" s="198"/>
      <c r="X177" s="198"/>
      <c r="Y177" s="201">
        <v>0</v>
      </c>
      <c r="Z177" s="202">
        <v>0</v>
      </c>
      <c r="AA177" s="200"/>
      <c r="AB177" s="199" t="s">
        <v>1883</v>
      </c>
      <c r="AC177" s="165"/>
      <c r="AD177" s="203">
        <v>0</v>
      </c>
      <c r="AE177" s="205">
        <v>0</v>
      </c>
      <c r="AF177" s="137"/>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t="str">
        <f>"  " &amp; TEXT(AE177,"#0.00%") &amp; " " &amp; "무선AP설비공사" &amp; "(김명석부장)" &amp; " " &amp; IF(P177="","",TEXT(P177,"M/D-")) &amp; IF(Q177="","",TEXT(Q177,"M/D")) &amp; " "</f>
        <v xml:space="preserve">  0.00% 무선AP설비공사(김명석부장) 8/18-8/19 </v>
      </c>
      <c r="BM177" s="138"/>
      <c r="BN177" s="138"/>
      <c r="BO177" s="138"/>
      <c r="BP177" s="138"/>
      <c r="BQ177" s="138"/>
      <c r="BR177" s="138"/>
      <c r="BS177" s="138"/>
      <c r="BT177" s="138"/>
      <c r="BU177" s="138"/>
      <c r="BV177" s="138"/>
      <c r="BW177" s="138"/>
      <c r="BX177" s="138"/>
      <c r="BY177" s="138"/>
      <c r="BZ177" s="138"/>
      <c r="CA177" s="138"/>
      <c r="CB177" s="138"/>
      <c r="CC177" s="138"/>
      <c r="CD177" s="138"/>
      <c r="CE177" s="138"/>
      <c r="CF177" s="138"/>
      <c r="CG177" s="138"/>
      <c r="CH177" s="138"/>
      <c r="CI177" s="138"/>
      <c r="CJ177" s="138"/>
      <c r="CK177" s="138"/>
      <c r="CL177" s="138"/>
      <c r="CM177" s="138"/>
      <c r="CN177" s="138"/>
      <c r="CO177" s="138"/>
      <c r="CP177" s="138"/>
      <c r="CQ177" s="138"/>
      <c r="CR177" s="138"/>
      <c r="CS177" s="138"/>
    </row>
    <row r="178" spans="1:97" ht="18" customHeight="1" outlineLevel="3">
      <c r="A178" s="195"/>
      <c r="B178" s="195"/>
      <c r="C178" s="195">
        <v>4</v>
      </c>
      <c r="D178" s="196" t="s">
        <v>1600</v>
      </c>
      <c r="E178" s="197"/>
      <c r="F178" s="197"/>
      <c r="G178" s="197"/>
      <c r="H178" s="197" t="s">
        <v>1583</v>
      </c>
      <c r="I178" s="197"/>
      <c r="J178" s="197"/>
      <c r="K178" s="197"/>
      <c r="L178" s="197"/>
      <c r="M178" s="197"/>
      <c r="N178" s="197"/>
      <c r="O178" s="197"/>
      <c r="P178" s="198">
        <v>44429</v>
      </c>
      <c r="Q178" s="198">
        <v>44430</v>
      </c>
      <c r="R178" s="199"/>
      <c r="S178" s="200">
        <v>0</v>
      </c>
      <c r="T178" s="200">
        <v>0</v>
      </c>
      <c r="U178" s="200">
        <v>0</v>
      </c>
      <c r="V178" s="200">
        <v>0</v>
      </c>
      <c r="W178" s="198"/>
      <c r="X178" s="198"/>
      <c r="Y178" s="201">
        <v>0</v>
      </c>
      <c r="Z178" s="202">
        <v>0</v>
      </c>
      <c r="AA178" s="200"/>
      <c r="AB178" s="199" t="s">
        <v>1883</v>
      </c>
      <c r="AC178" s="165"/>
      <c r="AD178" s="203">
        <v>0</v>
      </c>
      <c r="AE178" s="205">
        <v>0</v>
      </c>
      <c r="AF178" s="137"/>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c r="BC178" s="138"/>
      <c r="BD178" s="138"/>
      <c r="BE178" s="138"/>
      <c r="BF178" s="138"/>
      <c r="BG178" s="138"/>
      <c r="BH178" s="138"/>
      <c r="BI178" s="138"/>
      <c r="BJ178" s="138"/>
      <c r="BK178" s="138"/>
      <c r="BL178" s="138" t="str">
        <f>"     " &amp; TEXT(AE178,"#0.00%") &amp; " " &amp; "Network LinkTest" &amp; "(김명석부장)" &amp; " " &amp; IF(P178="","",TEXT(P178,"M/D-")) &amp; IF(Q178="","",TEXT(Q178,"M/D")) &amp; " "</f>
        <v xml:space="preserve">     0.00% Network LinkTest(김명석부장) 8/21-8/22 </v>
      </c>
      <c r="BM178" s="138"/>
      <c r="BN178" s="138"/>
      <c r="BO178" s="138"/>
      <c r="BP178" s="138"/>
      <c r="BQ178" s="138"/>
      <c r="BR178" s="138"/>
      <c r="BS178" s="138"/>
      <c r="BT178" s="138"/>
      <c r="BU178" s="138"/>
      <c r="BV178" s="138"/>
      <c r="BW178" s="138"/>
      <c r="BX178" s="138"/>
      <c r="BY178" s="138"/>
      <c r="BZ178" s="138"/>
      <c r="CA178" s="138"/>
      <c r="CB178" s="138"/>
      <c r="CC178" s="138"/>
      <c r="CD178" s="138"/>
      <c r="CE178" s="138"/>
      <c r="CF178" s="138"/>
      <c r="CG178" s="138"/>
      <c r="CH178" s="138"/>
      <c r="CI178" s="138"/>
      <c r="CJ178" s="138"/>
      <c r="CK178" s="138"/>
      <c r="CL178" s="138"/>
      <c r="CM178" s="138"/>
      <c r="CN178" s="138"/>
      <c r="CO178" s="138"/>
      <c r="CP178" s="138"/>
      <c r="CQ178" s="138"/>
      <c r="CR178" s="138"/>
      <c r="CS178" s="138"/>
    </row>
    <row r="179" spans="1:97" ht="18" customHeight="1" outlineLevel="3">
      <c r="A179" s="195"/>
      <c r="B179" s="195"/>
      <c r="C179" s="195">
        <v>4</v>
      </c>
      <c r="D179" s="196" t="s">
        <v>1601</v>
      </c>
      <c r="E179" s="197"/>
      <c r="F179" s="197"/>
      <c r="G179" s="197"/>
      <c r="H179" s="197" t="s">
        <v>1584</v>
      </c>
      <c r="I179" s="197"/>
      <c r="J179" s="197"/>
      <c r="K179" s="197"/>
      <c r="L179" s="197"/>
      <c r="M179" s="197"/>
      <c r="N179" s="197"/>
      <c r="O179" s="197"/>
      <c r="P179" s="198">
        <v>44429</v>
      </c>
      <c r="Q179" s="198">
        <v>44430</v>
      </c>
      <c r="R179" s="199"/>
      <c r="S179" s="200">
        <v>0</v>
      </c>
      <c r="T179" s="200">
        <v>0</v>
      </c>
      <c r="U179" s="200">
        <v>0</v>
      </c>
      <c r="V179" s="200">
        <v>0</v>
      </c>
      <c r="W179" s="198"/>
      <c r="X179" s="198"/>
      <c r="Y179" s="201">
        <v>0</v>
      </c>
      <c r="Z179" s="202">
        <v>0</v>
      </c>
      <c r="AA179" s="200"/>
      <c r="AB179" s="199" t="s">
        <v>1883</v>
      </c>
      <c r="AC179" s="165"/>
      <c r="AD179" s="203">
        <v>0</v>
      </c>
      <c r="AE179" s="205">
        <v>0</v>
      </c>
      <c r="AF179" s="137"/>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c r="BC179" s="138"/>
      <c r="BD179" s="138"/>
      <c r="BE179" s="138"/>
      <c r="BF179" s="138"/>
      <c r="BG179" s="138"/>
      <c r="BH179" s="138"/>
      <c r="BI179" s="138"/>
      <c r="BJ179" s="138"/>
      <c r="BK179" s="138"/>
      <c r="BL179" s="138" t="str">
        <f>"     " &amp; TEXT(AE179,"#0.00%") &amp; " " &amp; "철거(기존 케이블 및 기구)" &amp; "(김명석부장)" &amp; " " &amp; IF(P179="","",TEXT(P179,"M/D-")) &amp; IF(Q179="","",TEXT(Q179,"M/D")) &amp; " "</f>
        <v xml:space="preserve">     0.00% 철거(기존 케이블 및 기구)(김명석부장) 8/21-8/22 </v>
      </c>
      <c r="BM179" s="138"/>
      <c r="BN179" s="138"/>
      <c r="BO179" s="138"/>
      <c r="BP179" s="138"/>
      <c r="BQ179" s="138"/>
      <c r="BR179" s="138"/>
      <c r="BS179" s="138"/>
      <c r="BT179" s="138"/>
      <c r="BU179" s="138"/>
      <c r="BV179" s="138"/>
      <c r="BW179" s="138"/>
      <c r="BX179" s="138"/>
      <c r="BY179" s="138"/>
      <c r="BZ179" s="138"/>
      <c r="CA179" s="138"/>
      <c r="CB179" s="138"/>
      <c r="CC179" s="138"/>
      <c r="CD179" s="138"/>
      <c r="CE179" s="138"/>
      <c r="CF179" s="138"/>
      <c r="CG179" s="138"/>
      <c r="CH179" s="138"/>
      <c r="CI179" s="138"/>
      <c r="CJ179" s="138"/>
      <c r="CK179" s="138"/>
      <c r="CL179" s="138"/>
      <c r="CM179" s="138"/>
      <c r="CN179" s="138"/>
      <c r="CO179" s="138"/>
      <c r="CP179" s="138"/>
      <c r="CQ179" s="138"/>
      <c r="CR179" s="138"/>
      <c r="CS179" s="138"/>
    </row>
    <row r="180" spans="1:97" ht="18" customHeight="1" outlineLevel="2">
      <c r="A180" s="195"/>
      <c r="B180" s="195" t="s">
        <v>1426</v>
      </c>
      <c r="C180" s="195">
        <v>3</v>
      </c>
      <c r="D180" s="196" t="s">
        <v>1602</v>
      </c>
      <c r="E180" s="197"/>
      <c r="F180" s="197"/>
      <c r="G180" s="197" t="s">
        <v>1585</v>
      </c>
      <c r="H180" s="197"/>
      <c r="I180" s="197"/>
      <c r="J180" s="197"/>
      <c r="K180" s="197"/>
      <c r="L180" s="197"/>
      <c r="M180" s="197"/>
      <c r="N180" s="197"/>
      <c r="O180" s="197"/>
      <c r="P180" s="198">
        <v>44431</v>
      </c>
      <c r="Q180" s="198">
        <v>44433</v>
      </c>
      <c r="R180" s="199"/>
      <c r="S180" s="200">
        <v>7</v>
      </c>
      <c r="T180" s="200">
        <v>0</v>
      </c>
      <c r="U180" s="200">
        <v>3</v>
      </c>
      <c r="V180" s="200">
        <v>0</v>
      </c>
      <c r="W180" s="198"/>
      <c r="X180" s="198"/>
      <c r="Y180" s="201">
        <v>0</v>
      </c>
      <c r="Z180" s="202">
        <v>0</v>
      </c>
      <c r="AA180" s="200"/>
      <c r="AB180" s="199"/>
      <c r="AC180" s="165"/>
      <c r="AD180" s="203">
        <v>0</v>
      </c>
      <c r="AE180" s="204">
        <v>0</v>
      </c>
      <c r="AF180" s="137"/>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c r="BC180" s="138"/>
      <c r="BD180" s="138"/>
      <c r="BE180" s="138"/>
      <c r="BF180" s="138"/>
      <c r="BG180" s="138"/>
      <c r="BH180" s="138"/>
      <c r="BI180" s="138"/>
      <c r="BJ180" s="138"/>
      <c r="BK180" s="138"/>
      <c r="BL180" s="138"/>
      <c r="BM180" s="138" t="str">
        <f>"" &amp; TEXT(AE180,"#0.00%") &amp; " " &amp; "북항" &amp; " " &amp; IF(P180="","",TEXT(P180,"M/D-")) &amp; IF(Q180="","",TEXT(Q180,"M/D")) &amp; " "</f>
        <v xml:space="preserve">0.00% 북항 8/23-8/25 </v>
      </c>
      <c r="BN180" s="138"/>
      <c r="BO180" s="138"/>
      <c r="BP180" s="138"/>
      <c r="BQ180" s="138"/>
      <c r="BR180" s="138"/>
      <c r="BS180" s="138"/>
      <c r="BT180" s="138"/>
      <c r="BU180" s="138"/>
      <c r="BV180" s="138"/>
      <c r="BW180" s="138"/>
      <c r="BX180" s="138"/>
      <c r="BY180" s="138"/>
      <c r="BZ180" s="138"/>
      <c r="CA180" s="138"/>
      <c r="CB180" s="138"/>
      <c r="CC180" s="138"/>
      <c r="CD180" s="138"/>
      <c r="CE180" s="138"/>
      <c r="CF180" s="138"/>
      <c r="CG180" s="138"/>
      <c r="CH180" s="138"/>
      <c r="CI180" s="138"/>
      <c r="CJ180" s="138"/>
      <c r="CK180" s="138"/>
      <c r="CL180" s="138"/>
      <c r="CM180" s="138"/>
      <c r="CN180" s="138"/>
      <c r="CO180" s="138"/>
      <c r="CP180" s="138"/>
      <c r="CQ180" s="138"/>
      <c r="CR180" s="138"/>
      <c r="CS180" s="138"/>
    </row>
    <row r="181" spans="1:97" ht="18" customHeight="1" outlineLevel="3">
      <c r="A181" s="195"/>
      <c r="B181" s="195" t="s">
        <v>1426</v>
      </c>
      <c r="C181" s="195">
        <v>4</v>
      </c>
      <c r="D181" s="196" t="s">
        <v>1603</v>
      </c>
      <c r="E181" s="197"/>
      <c r="F181" s="197"/>
      <c r="G181" s="197"/>
      <c r="H181" s="197" t="s">
        <v>1577</v>
      </c>
      <c r="I181" s="197"/>
      <c r="J181" s="197"/>
      <c r="K181" s="197"/>
      <c r="L181" s="197"/>
      <c r="M181" s="197"/>
      <c r="N181" s="197"/>
      <c r="O181" s="197"/>
      <c r="P181" s="198">
        <v>44431</v>
      </c>
      <c r="Q181" s="198">
        <v>44432</v>
      </c>
      <c r="R181" s="199"/>
      <c r="S181" s="200">
        <v>5</v>
      </c>
      <c r="T181" s="200">
        <v>0</v>
      </c>
      <c r="U181" s="200">
        <v>2</v>
      </c>
      <c r="V181" s="200">
        <v>0</v>
      </c>
      <c r="W181" s="198"/>
      <c r="X181" s="198"/>
      <c r="Y181" s="201">
        <v>0</v>
      </c>
      <c r="Z181" s="202">
        <v>0</v>
      </c>
      <c r="AA181" s="200"/>
      <c r="AB181" s="199"/>
      <c r="AC181" s="165"/>
      <c r="AD181" s="203">
        <v>0</v>
      </c>
      <c r="AE181" s="204">
        <v>0</v>
      </c>
      <c r="AF181" s="137"/>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c r="BC181" s="138"/>
      <c r="BD181" s="138"/>
      <c r="BE181" s="138"/>
      <c r="BF181" s="138"/>
      <c r="BG181" s="138"/>
      <c r="BH181" s="138"/>
      <c r="BI181" s="138"/>
      <c r="BJ181" s="138"/>
      <c r="BK181" s="138"/>
      <c r="BL181" s="138"/>
      <c r="BM181" s="138" t="str">
        <f>"" &amp; TEXT(AE181,"#0.00%") &amp; " " &amp; "통합배선공사" &amp; " " &amp; IF(P181="","",TEXT(P181,"M/D-")) &amp; IF(Q181="","",TEXT(Q181,"M/D")) &amp; " "</f>
        <v xml:space="preserve">0.00% 통합배선공사 8/23-8/24 </v>
      </c>
      <c r="BN181" s="138"/>
      <c r="BO181" s="138"/>
      <c r="BP181" s="138"/>
      <c r="BQ181" s="138"/>
      <c r="BR181" s="138"/>
      <c r="BS181" s="138"/>
      <c r="BT181" s="138"/>
      <c r="BU181" s="138"/>
      <c r="BV181" s="138"/>
      <c r="BW181" s="138"/>
      <c r="BX181" s="138"/>
      <c r="BY181" s="138"/>
      <c r="BZ181" s="138"/>
      <c r="CA181" s="138"/>
      <c r="CB181" s="138"/>
      <c r="CC181" s="138"/>
      <c r="CD181" s="138"/>
      <c r="CE181" s="138"/>
      <c r="CF181" s="138"/>
      <c r="CG181" s="138"/>
      <c r="CH181" s="138"/>
      <c r="CI181" s="138"/>
      <c r="CJ181" s="138"/>
      <c r="CK181" s="138"/>
      <c r="CL181" s="138"/>
      <c r="CM181" s="138"/>
      <c r="CN181" s="138"/>
      <c r="CO181" s="138"/>
      <c r="CP181" s="138"/>
      <c r="CQ181" s="138"/>
      <c r="CR181" s="138"/>
      <c r="CS181" s="138"/>
    </row>
    <row r="182" spans="1:97" ht="18" customHeight="1" outlineLevel="4">
      <c r="A182" s="195"/>
      <c r="B182" s="195"/>
      <c r="C182" s="195">
        <v>5</v>
      </c>
      <c r="D182" s="196" t="s">
        <v>1604</v>
      </c>
      <c r="E182" s="197"/>
      <c r="F182" s="197"/>
      <c r="G182" s="197"/>
      <c r="H182" s="197"/>
      <c r="I182" s="197" t="s">
        <v>1578</v>
      </c>
      <c r="J182" s="197"/>
      <c r="K182" s="197"/>
      <c r="L182" s="197"/>
      <c r="M182" s="197"/>
      <c r="N182" s="197"/>
      <c r="O182" s="197"/>
      <c r="P182" s="198">
        <v>44431</v>
      </c>
      <c r="Q182" s="198">
        <v>44431</v>
      </c>
      <c r="R182" s="199"/>
      <c r="S182" s="200">
        <v>1</v>
      </c>
      <c r="T182" s="200">
        <v>0</v>
      </c>
      <c r="U182" s="200">
        <v>1</v>
      </c>
      <c r="V182" s="200">
        <v>0</v>
      </c>
      <c r="W182" s="198"/>
      <c r="X182" s="198"/>
      <c r="Y182" s="201">
        <v>0</v>
      </c>
      <c r="Z182" s="202">
        <v>0</v>
      </c>
      <c r="AA182" s="200"/>
      <c r="AB182" s="199" t="s">
        <v>1883</v>
      </c>
      <c r="AC182" s="165"/>
      <c r="AD182" s="203">
        <v>0</v>
      </c>
      <c r="AE182" s="205">
        <v>0</v>
      </c>
      <c r="AF182" s="137"/>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t="str">
        <f>"" &amp; TEXT(AE182,"#0.00%") &amp; " " &amp; "통신배관공사" &amp; "(김명석부장)" &amp; " " &amp; IF(P182="","",TEXT(P182,"M/D-")) &amp; IF(Q182="","",TEXT(Q182,"M/D")) &amp; " "</f>
        <v xml:space="preserve">0.00% 통신배관공사(김명석부장) 8/23-8/23 </v>
      </c>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row>
    <row r="183" spans="1:97" ht="18" customHeight="1" outlineLevel="4">
      <c r="A183" s="195"/>
      <c r="B183" s="195"/>
      <c r="C183" s="195">
        <v>5</v>
      </c>
      <c r="D183" s="196" t="s">
        <v>1605</v>
      </c>
      <c r="E183" s="197"/>
      <c r="F183" s="197"/>
      <c r="G183" s="197"/>
      <c r="H183" s="197"/>
      <c r="I183" s="197" t="s">
        <v>1579</v>
      </c>
      <c r="J183" s="197"/>
      <c r="K183" s="197"/>
      <c r="L183" s="197"/>
      <c r="M183" s="197"/>
      <c r="N183" s="197"/>
      <c r="O183" s="197"/>
      <c r="P183" s="198">
        <v>44432</v>
      </c>
      <c r="Q183" s="198">
        <v>44432</v>
      </c>
      <c r="R183" s="199"/>
      <c r="S183" s="200">
        <v>1</v>
      </c>
      <c r="T183" s="200">
        <v>0</v>
      </c>
      <c r="U183" s="200">
        <v>1</v>
      </c>
      <c r="V183" s="200">
        <v>0</v>
      </c>
      <c r="W183" s="198"/>
      <c r="X183" s="198"/>
      <c r="Y183" s="201">
        <v>0</v>
      </c>
      <c r="Z183" s="202">
        <v>0</v>
      </c>
      <c r="AA183" s="200"/>
      <c r="AB183" s="199" t="s">
        <v>1883</v>
      </c>
      <c r="AC183" s="165"/>
      <c r="AD183" s="203">
        <v>0</v>
      </c>
      <c r="AE183" s="205">
        <v>0</v>
      </c>
      <c r="AF183" s="137"/>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c r="BC183" s="138"/>
      <c r="BD183" s="138"/>
      <c r="BE183" s="138"/>
      <c r="BF183" s="138"/>
      <c r="BG183" s="138"/>
      <c r="BH183" s="138"/>
      <c r="BI183" s="138"/>
      <c r="BJ183" s="138"/>
      <c r="BK183" s="138"/>
      <c r="BL183" s="138"/>
      <c r="BM183" s="138" t="str">
        <f>" " &amp; TEXT(AE183,"#0.00%") &amp; " " &amp; "네트워크 케이블 포설" &amp; "(김명석부장)" &amp; " " &amp; IF(P183="","",TEXT(P183,"M/D-")) &amp; IF(Q183="","",TEXT(Q183,"M/D")) &amp; " "</f>
        <v xml:space="preserve"> 0.00% 네트워크 케이블 포설(김명석부장) 8/24-8/24 </v>
      </c>
      <c r="BN183" s="138"/>
      <c r="BO183" s="138"/>
      <c r="BP183" s="138"/>
      <c r="BQ183" s="138"/>
      <c r="BR183" s="138"/>
      <c r="BS183" s="138"/>
      <c r="BT183" s="138"/>
      <c r="BU183" s="138"/>
      <c r="BV183" s="138"/>
      <c r="BW183" s="138"/>
      <c r="BX183" s="138"/>
      <c r="BY183" s="138"/>
      <c r="BZ183" s="138"/>
      <c r="CA183" s="138"/>
      <c r="CB183" s="138"/>
      <c r="CC183" s="138"/>
      <c r="CD183" s="138"/>
      <c r="CE183" s="138"/>
      <c r="CF183" s="138"/>
      <c r="CG183" s="138"/>
      <c r="CH183" s="138"/>
      <c r="CI183" s="138"/>
      <c r="CJ183" s="138"/>
      <c r="CK183" s="138"/>
      <c r="CL183" s="138"/>
      <c r="CM183" s="138"/>
      <c r="CN183" s="138"/>
      <c r="CO183" s="138"/>
      <c r="CP183" s="138"/>
      <c r="CQ183" s="138"/>
      <c r="CR183" s="138"/>
      <c r="CS183" s="138"/>
    </row>
    <row r="184" spans="1:97" ht="18" customHeight="1" outlineLevel="4">
      <c r="A184" s="195"/>
      <c r="B184" s="195"/>
      <c r="C184" s="195">
        <v>5</v>
      </c>
      <c r="D184" s="196" t="s">
        <v>1606</v>
      </c>
      <c r="E184" s="197"/>
      <c r="F184" s="197"/>
      <c r="G184" s="197"/>
      <c r="H184" s="197"/>
      <c r="I184" s="197" t="s">
        <v>1580</v>
      </c>
      <c r="J184" s="197"/>
      <c r="K184" s="197"/>
      <c r="L184" s="197"/>
      <c r="M184" s="197"/>
      <c r="N184" s="197"/>
      <c r="O184" s="197"/>
      <c r="P184" s="198">
        <v>44432</v>
      </c>
      <c r="Q184" s="198">
        <v>44432</v>
      </c>
      <c r="R184" s="199"/>
      <c r="S184" s="200">
        <v>1</v>
      </c>
      <c r="T184" s="200">
        <v>0</v>
      </c>
      <c r="U184" s="200">
        <v>1</v>
      </c>
      <c r="V184" s="200">
        <v>0</v>
      </c>
      <c r="W184" s="198"/>
      <c r="X184" s="198"/>
      <c r="Y184" s="201">
        <v>0</v>
      </c>
      <c r="Z184" s="202">
        <v>0</v>
      </c>
      <c r="AA184" s="200"/>
      <c r="AB184" s="199" t="s">
        <v>1883</v>
      </c>
      <c r="AC184" s="165"/>
      <c r="AD184" s="203">
        <v>0</v>
      </c>
      <c r="AE184" s="205">
        <v>0</v>
      </c>
      <c r="AF184" s="137"/>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c r="BC184" s="138"/>
      <c r="BD184" s="138"/>
      <c r="BE184" s="138"/>
      <c r="BF184" s="138"/>
      <c r="BG184" s="138"/>
      <c r="BH184" s="138"/>
      <c r="BI184" s="138"/>
      <c r="BJ184" s="138"/>
      <c r="BK184" s="138"/>
      <c r="BL184" s="138"/>
      <c r="BM184" s="138" t="str">
        <f>" " &amp; TEXT(AE184,"#0.00%") &amp; " " &amp; "기구설치공사" &amp; "(김명석부장)" &amp; " " &amp; IF(P184="","",TEXT(P184,"M/D-")) &amp; IF(Q184="","",TEXT(Q184,"M/D")) &amp; " "</f>
        <v xml:space="preserve"> 0.00% 기구설치공사(김명석부장) 8/24-8/24 </v>
      </c>
      <c r="BN184" s="138"/>
      <c r="BO184" s="138"/>
      <c r="BP184" s="138"/>
      <c r="BQ184" s="138"/>
      <c r="BR184" s="138"/>
      <c r="BS184" s="138"/>
      <c r="BT184" s="138"/>
      <c r="BU184" s="138"/>
      <c r="BV184" s="138"/>
      <c r="BW184" s="138"/>
      <c r="BX184" s="138"/>
      <c r="BY184" s="138"/>
      <c r="BZ184" s="138"/>
      <c r="CA184" s="138"/>
      <c r="CB184" s="138"/>
      <c r="CC184" s="138"/>
      <c r="CD184" s="138"/>
      <c r="CE184" s="138"/>
      <c r="CF184" s="138"/>
      <c r="CG184" s="138"/>
      <c r="CH184" s="138"/>
      <c r="CI184" s="138"/>
      <c r="CJ184" s="138"/>
      <c r="CK184" s="138"/>
      <c r="CL184" s="138"/>
      <c r="CM184" s="138"/>
      <c r="CN184" s="138"/>
      <c r="CO184" s="138"/>
      <c r="CP184" s="138"/>
      <c r="CQ184" s="138"/>
      <c r="CR184" s="138"/>
      <c r="CS184" s="138"/>
    </row>
    <row r="185" spans="1:97" ht="18" customHeight="1" outlineLevel="4">
      <c r="A185" s="195"/>
      <c r="B185" s="195"/>
      <c r="C185" s="195">
        <v>5</v>
      </c>
      <c r="D185" s="196" t="s">
        <v>1607</v>
      </c>
      <c r="E185" s="197"/>
      <c r="F185" s="197"/>
      <c r="G185" s="197"/>
      <c r="H185" s="197"/>
      <c r="I185" s="197" t="s">
        <v>1581</v>
      </c>
      <c r="J185" s="197"/>
      <c r="K185" s="197"/>
      <c r="L185" s="197"/>
      <c r="M185" s="197"/>
      <c r="N185" s="197"/>
      <c r="O185" s="197"/>
      <c r="P185" s="198">
        <v>44432</v>
      </c>
      <c r="Q185" s="198">
        <v>44432</v>
      </c>
      <c r="R185" s="199"/>
      <c r="S185" s="200">
        <v>1</v>
      </c>
      <c r="T185" s="200">
        <v>0</v>
      </c>
      <c r="U185" s="200">
        <v>1</v>
      </c>
      <c r="V185" s="200">
        <v>0</v>
      </c>
      <c r="W185" s="198"/>
      <c r="X185" s="198"/>
      <c r="Y185" s="201">
        <v>0</v>
      </c>
      <c r="Z185" s="202">
        <v>0</v>
      </c>
      <c r="AA185" s="200"/>
      <c r="AB185" s="199" t="s">
        <v>1883</v>
      </c>
      <c r="AC185" s="165"/>
      <c r="AD185" s="203">
        <v>0</v>
      </c>
      <c r="AE185" s="205">
        <v>0</v>
      </c>
      <c r="AF185" s="137"/>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c r="BC185" s="138"/>
      <c r="BD185" s="138"/>
      <c r="BE185" s="138"/>
      <c r="BF185" s="138"/>
      <c r="BG185" s="138"/>
      <c r="BH185" s="138"/>
      <c r="BI185" s="138"/>
      <c r="BJ185" s="138"/>
      <c r="BK185" s="138"/>
      <c r="BL185" s="138"/>
      <c r="BM185" s="138" t="str">
        <f>" " &amp; TEXT(AE185,"#0.00%") &amp; " " &amp; "케이블성단" &amp; "(김명석부장)" &amp; " " &amp; IF(P185="","",TEXT(P185,"M/D-")) &amp; IF(Q185="","",TEXT(Q185,"M/D")) &amp; " "</f>
        <v xml:space="preserve"> 0.00% 케이블성단(김명석부장) 8/24-8/24 </v>
      </c>
      <c r="BN185" s="138"/>
      <c r="BO185" s="138"/>
      <c r="BP185" s="138"/>
      <c r="BQ185" s="138"/>
      <c r="BR185" s="138"/>
      <c r="BS185" s="138"/>
      <c r="BT185" s="138"/>
      <c r="BU185" s="138"/>
      <c r="BV185" s="138"/>
      <c r="BW185" s="138"/>
      <c r="BX185" s="138"/>
      <c r="BY185" s="138"/>
      <c r="BZ185" s="138"/>
      <c r="CA185" s="138"/>
      <c r="CB185" s="138"/>
      <c r="CC185" s="138"/>
      <c r="CD185" s="138"/>
      <c r="CE185" s="138"/>
      <c r="CF185" s="138"/>
      <c r="CG185" s="138"/>
      <c r="CH185" s="138"/>
      <c r="CI185" s="138"/>
      <c r="CJ185" s="138"/>
      <c r="CK185" s="138"/>
      <c r="CL185" s="138"/>
      <c r="CM185" s="138"/>
      <c r="CN185" s="138"/>
      <c r="CO185" s="138"/>
      <c r="CP185" s="138"/>
      <c r="CQ185" s="138"/>
      <c r="CR185" s="138"/>
      <c r="CS185" s="138"/>
    </row>
    <row r="186" spans="1:97" ht="18" customHeight="1" outlineLevel="4">
      <c r="A186" s="195"/>
      <c r="B186" s="195"/>
      <c r="C186" s="195">
        <v>5</v>
      </c>
      <c r="D186" s="196" t="s">
        <v>1608</v>
      </c>
      <c r="E186" s="197"/>
      <c r="F186" s="197"/>
      <c r="G186" s="197"/>
      <c r="H186" s="197"/>
      <c r="I186" s="197" t="s">
        <v>1582</v>
      </c>
      <c r="J186" s="197"/>
      <c r="K186" s="197"/>
      <c r="L186" s="197"/>
      <c r="M186" s="197"/>
      <c r="N186" s="197"/>
      <c r="O186" s="197"/>
      <c r="P186" s="198">
        <v>44432</v>
      </c>
      <c r="Q186" s="198">
        <v>44432</v>
      </c>
      <c r="R186" s="199"/>
      <c r="S186" s="200">
        <v>1</v>
      </c>
      <c r="T186" s="200">
        <v>0</v>
      </c>
      <c r="U186" s="200">
        <v>1</v>
      </c>
      <c r="V186" s="200">
        <v>0</v>
      </c>
      <c r="W186" s="198"/>
      <c r="X186" s="198"/>
      <c r="Y186" s="201">
        <v>0</v>
      </c>
      <c r="Z186" s="202">
        <v>0</v>
      </c>
      <c r="AA186" s="200"/>
      <c r="AB186" s="199" t="s">
        <v>1883</v>
      </c>
      <c r="AC186" s="165"/>
      <c r="AD186" s="203">
        <v>0</v>
      </c>
      <c r="AE186" s="205">
        <v>0</v>
      </c>
      <c r="AF186" s="137"/>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t="str">
        <f>" " &amp; TEXT(AE186,"#0.00%") &amp; " " &amp; "무선AP설비공사" &amp; "(김명석부장)" &amp; " " &amp; IF(P186="","",TEXT(P186,"M/D-")) &amp; IF(Q186="","",TEXT(Q186,"M/D")) &amp; " "</f>
        <v xml:space="preserve"> 0.00% 무선AP설비공사(김명석부장) 8/24-8/24 </v>
      </c>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row>
    <row r="187" spans="1:97" ht="18" customHeight="1" outlineLevel="3">
      <c r="A187" s="195"/>
      <c r="B187" s="195"/>
      <c r="C187" s="195">
        <v>4</v>
      </c>
      <c r="D187" s="196" t="s">
        <v>1609</v>
      </c>
      <c r="E187" s="197"/>
      <c r="F187" s="197"/>
      <c r="G187" s="197"/>
      <c r="H187" s="197" t="s">
        <v>1583</v>
      </c>
      <c r="I187" s="197"/>
      <c r="J187" s="197"/>
      <c r="K187" s="197"/>
      <c r="L187" s="197"/>
      <c r="M187" s="197"/>
      <c r="N187" s="197"/>
      <c r="O187" s="197"/>
      <c r="P187" s="198">
        <v>44433</v>
      </c>
      <c r="Q187" s="198">
        <v>44433</v>
      </c>
      <c r="R187" s="199"/>
      <c r="S187" s="200">
        <v>1</v>
      </c>
      <c r="T187" s="200">
        <v>0</v>
      </c>
      <c r="U187" s="200">
        <v>1</v>
      </c>
      <c r="V187" s="200">
        <v>0</v>
      </c>
      <c r="W187" s="198"/>
      <c r="X187" s="198"/>
      <c r="Y187" s="201">
        <v>0</v>
      </c>
      <c r="Z187" s="202">
        <v>0</v>
      </c>
      <c r="AA187" s="200"/>
      <c r="AB187" s="199" t="s">
        <v>1883</v>
      </c>
      <c r="AC187" s="165"/>
      <c r="AD187" s="203">
        <v>0</v>
      </c>
      <c r="AE187" s="205">
        <v>0</v>
      </c>
      <c r="AF187" s="137"/>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c r="BC187" s="138"/>
      <c r="BD187" s="138"/>
      <c r="BE187" s="138"/>
      <c r="BF187" s="138"/>
      <c r="BG187" s="138"/>
      <c r="BH187" s="138"/>
      <c r="BI187" s="138"/>
      <c r="BJ187" s="138"/>
      <c r="BK187" s="138"/>
      <c r="BL187" s="138"/>
      <c r="BM187" s="138" t="str">
        <f>"  " &amp; TEXT(AE187,"#0.00%") &amp; " " &amp; "Network LinkTest" &amp; "(김명석부장)" &amp; " " &amp; IF(P187="","",TEXT(P187,"M/D-")) &amp; IF(Q187="","",TEXT(Q187,"M/D")) &amp; " "</f>
        <v xml:space="preserve">  0.00% Network LinkTest(김명석부장) 8/25-8/25 </v>
      </c>
      <c r="BN187" s="138"/>
      <c r="BO187" s="138"/>
      <c r="BP187" s="138"/>
      <c r="BQ187" s="138"/>
      <c r="BR187" s="138"/>
      <c r="BS187" s="138"/>
      <c r="BT187" s="138"/>
      <c r="BU187" s="138"/>
      <c r="BV187" s="138"/>
      <c r="BW187" s="138"/>
      <c r="BX187" s="138"/>
      <c r="BY187" s="138"/>
      <c r="BZ187" s="138"/>
      <c r="CA187" s="138"/>
      <c r="CB187" s="138"/>
      <c r="CC187" s="138"/>
      <c r="CD187" s="138"/>
      <c r="CE187" s="138"/>
      <c r="CF187" s="138"/>
      <c r="CG187" s="138"/>
      <c r="CH187" s="138"/>
      <c r="CI187" s="138"/>
      <c r="CJ187" s="138"/>
      <c r="CK187" s="138"/>
      <c r="CL187" s="138"/>
      <c r="CM187" s="138"/>
      <c r="CN187" s="138"/>
      <c r="CO187" s="138"/>
      <c r="CP187" s="138"/>
      <c r="CQ187" s="138"/>
      <c r="CR187" s="138"/>
      <c r="CS187" s="138"/>
    </row>
    <row r="188" spans="1:97" ht="18" customHeight="1" outlineLevel="3">
      <c r="A188" s="195"/>
      <c r="B188" s="195"/>
      <c r="C188" s="195">
        <v>4</v>
      </c>
      <c r="D188" s="196" t="s">
        <v>1610</v>
      </c>
      <c r="E188" s="197"/>
      <c r="F188" s="197"/>
      <c r="G188" s="197"/>
      <c r="H188" s="197" t="s">
        <v>1584</v>
      </c>
      <c r="I188" s="197"/>
      <c r="J188" s="197"/>
      <c r="K188" s="197"/>
      <c r="L188" s="197"/>
      <c r="M188" s="197"/>
      <c r="N188" s="197"/>
      <c r="O188" s="197"/>
      <c r="P188" s="198">
        <v>44433</v>
      </c>
      <c r="Q188" s="198">
        <v>44433</v>
      </c>
      <c r="R188" s="199"/>
      <c r="S188" s="200">
        <v>1</v>
      </c>
      <c r="T188" s="200">
        <v>0</v>
      </c>
      <c r="U188" s="200">
        <v>1</v>
      </c>
      <c r="V188" s="200">
        <v>0</v>
      </c>
      <c r="W188" s="198"/>
      <c r="X188" s="198"/>
      <c r="Y188" s="201">
        <v>0</v>
      </c>
      <c r="Z188" s="202">
        <v>0</v>
      </c>
      <c r="AA188" s="200"/>
      <c r="AB188" s="199" t="s">
        <v>1883</v>
      </c>
      <c r="AC188" s="165"/>
      <c r="AD188" s="203">
        <v>0</v>
      </c>
      <c r="AE188" s="205">
        <v>0</v>
      </c>
      <c r="AF188" s="137"/>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c r="BC188" s="138"/>
      <c r="BD188" s="138"/>
      <c r="BE188" s="138"/>
      <c r="BF188" s="138"/>
      <c r="BG188" s="138"/>
      <c r="BH188" s="138"/>
      <c r="BI188" s="138"/>
      <c r="BJ188" s="138"/>
      <c r="BK188" s="138"/>
      <c r="BL188" s="138"/>
      <c r="BM188" s="138" t="str">
        <f>"  " &amp; TEXT(AE188,"#0.00%") &amp; " " &amp; "철거(기존 케이블 및 기구)" &amp; "(김명석부장)" &amp; " " &amp; IF(P188="","",TEXT(P188,"M/D-")) &amp; IF(Q188="","",TEXT(Q188,"M/D")) &amp; " "</f>
        <v xml:space="preserve">  0.00% 철거(기존 케이블 및 기구)(김명석부장) 8/25-8/25 </v>
      </c>
      <c r="BN188" s="138"/>
      <c r="BO188" s="138"/>
      <c r="BP188" s="138"/>
      <c r="BQ188" s="138"/>
      <c r="BR188" s="138"/>
      <c r="BS188" s="138"/>
      <c r="BT188" s="138"/>
      <c r="BU188" s="138"/>
      <c r="BV188" s="138"/>
      <c r="BW188" s="138"/>
      <c r="BX188" s="138"/>
      <c r="BY188" s="138"/>
      <c r="BZ188" s="138"/>
      <c r="CA188" s="138"/>
      <c r="CB188" s="138"/>
      <c r="CC188" s="138"/>
      <c r="CD188" s="138"/>
      <c r="CE188" s="138"/>
      <c r="CF188" s="138"/>
      <c r="CG188" s="138"/>
      <c r="CH188" s="138"/>
      <c r="CI188" s="138"/>
      <c r="CJ188" s="138"/>
      <c r="CK188" s="138"/>
      <c r="CL188" s="138"/>
      <c r="CM188" s="138"/>
      <c r="CN188" s="138"/>
      <c r="CO188" s="138"/>
      <c r="CP188" s="138"/>
      <c r="CQ188" s="138"/>
      <c r="CR188" s="138"/>
      <c r="CS188" s="138"/>
    </row>
    <row r="189" spans="1:97" ht="18" customHeight="1" outlineLevel="2">
      <c r="A189" s="195"/>
      <c r="B189" s="195" t="s">
        <v>1426</v>
      </c>
      <c r="C189" s="195">
        <v>3</v>
      </c>
      <c r="D189" s="196" t="s">
        <v>1611</v>
      </c>
      <c r="E189" s="197"/>
      <c r="F189" s="197"/>
      <c r="G189" s="197" t="s">
        <v>1586</v>
      </c>
      <c r="H189" s="197"/>
      <c r="I189" s="197"/>
      <c r="J189" s="197"/>
      <c r="K189" s="197"/>
      <c r="L189" s="197"/>
      <c r="M189" s="197"/>
      <c r="N189" s="197"/>
      <c r="O189" s="197"/>
      <c r="P189" s="198">
        <v>44434</v>
      </c>
      <c r="Q189" s="198">
        <v>44436</v>
      </c>
      <c r="R189" s="199"/>
      <c r="S189" s="200">
        <v>8</v>
      </c>
      <c r="T189" s="200">
        <v>0</v>
      </c>
      <c r="U189" s="200">
        <v>2</v>
      </c>
      <c r="V189" s="200">
        <v>0</v>
      </c>
      <c r="W189" s="198"/>
      <c r="X189" s="198"/>
      <c r="Y189" s="201">
        <v>0</v>
      </c>
      <c r="Z189" s="202">
        <v>0</v>
      </c>
      <c r="AA189" s="200"/>
      <c r="AB189" s="199"/>
      <c r="AC189" s="165"/>
      <c r="AD189" s="203">
        <v>0</v>
      </c>
      <c r="AE189" s="204">
        <v>0</v>
      </c>
      <c r="AF189" s="137"/>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c r="BC189" s="138"/>
      <c r="BD189" s="138"/>
      <c r="BE189" s="138"/>
      <c r="BF189" s="138"/>
      <c r="BG189" s="138"/>
      <c r="BH189" s="138"/>
      <c r="BI189" s="138"/>
      <c r="BJ189" s="138"/>
      <c r="BK189" s="138"/>
      <c r="BL189" s="138"/>
      <c r="BM189" s="138" t="str">
        <f>"   " &amp; TEXT(AE189,"#0.00%") &amp; " " &amp; "종합물류" &amp; " " &amp; IF(P189="","",TEXT(P189,"M/D-")) &amp; IF(Q189="","",TEXT(Q189,"M/D")) &amp; " "</f>
        <v xml:space="preserve">   0.00% 종합물류 8/26-8/28 </v>
      </c>
      <c r="BN189" s="138"/>
      <c r="BO189" s="138"/>
      <c r="BP189" s="138"/>
      <c r="BQ189" s="138"/>
      <c r="BR189" s="138"/>
      <c r="BS189" s="138"/>
      <c r="BT189" s="138"/>
      <c r="BU189" s="138"/>
      <c r="BV189" s="138"/>
      <c r="BW189" s="138"/>
      <c r="BX189" s="138"/>
      <c r="BY189" s="138"/>
      <c r="BZ189" s="138"/>
      <c r="CA189" s="138"/>
      <c r="CB189" s="138"/>
      <c r="CC189" s="138"/>
      <c r="CD189" s="138"/>
      <c r="CE189" s="138"/>
      <c r="CF189" s="138"/>
      <c r="CG189" s="138"/>
      <c r="CH189" s="138"/>
      <c r="CI189" s="138"/>
      <c r="CJ189" s="138"/>
      <c r="CK189" s="138"/>
      <c r="CL189" s="138"/>
      <c r="CM189" s="138"/>
      <c r="CN189" s="138"/>
      <c r="CO189" s="138"/>
      <c r="CP189" s="138"/>
      <c r="CQ189" s="138"/>
      <c r="CR189" s="138"/>
      <c r="CS189" s="138"/>
    </row>
    <row r="190" spans="1:97" ht="18" customHeight="1" outlineLevel="3">
      <c r="A190" s="195"/>
      <c r="B190" s="195" t="s">
        <v>1426</v>
      </c>
      <c r="C190" s="195">
        <v>4</v>
      </c>
      <c r="D190" s="196" t="s">
        <v>1612</v>
      </c>
      <c r="E190" s="197"/>
      <c r="F190" s="197"/>
      <c r="G190" s="197"/>
      <c r="H190" s="197" t="s">
        <v>1587</v>
      </c>
      <c r="I190" s="197"/>
      <c r="J190" s="197"/>
      <c r="K190" s="197"/>
      <c r="L190" s="197"/>
      <c r="M190" s="197"/>
      <c r="N190" s="197"/>
      <c r="O190" s="197"/>
      <c r="P190" s="198">
        <v>44435</v>
      </c>
      <c r="Q190" s="198">
        <v>44435</v>
      </c>
      <c r="R190" s="199"/>
      <c r="S190" s="200">
        <v>2</v>
      </c>
      <c r="T190" s="200">
        <v>0</v>
      </c>
      <c r="U190" s="200">
        <v>1</v>
      </c>
      <c r="V190" s="200">
        <v>0</v>
      </c>
      <c r="W190" s="198"/>
      <c r="X190" s="198"/>
      <c r="Y190" s="201">
        <v>0</v>
      </c>
      <c r="Z190" s="202">
        <v>0</v>
      </c>
      <c r="AA190" s="200"/>
      <c r="AB190" s="199"/>
      <c r="AC190" s="165"/>
      <c r="AD190" s="203">
        <v>0</v>
      </c>
      <c r="AE190" s="204">
        <v>0</v>
      </c>
      <c r="AF190" s="137"/>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c r="BC190" s="138"/>
      <c r="BD190" s="138"/>
      <c r="BE190" s="138"/>
      <c r="BF190" s="138"/>
      <c r="BG190" s="138"/>
      <c r="BH190" s="138"/>
      <c r="BI190" s="138"/>
      <c r="BJ190" s="138"/>
      <c r="BK190" s="138"/>
      <c r="BL190" s="138"/>
      <c r="BM190" s="138" t="str">
        <f>"    " &amp; TEXT(AE190,"#0.00%") &amp; " " &amp; "기존 케이블 절체작업" &amp; " " &amp; IF(P190="","",TEXT(P190,"M/D-")) &amp; IF(Q190="","",TEXT(Q190,"M/D")) &amp; " "</f>
        <v xml:space="preserve">    0.00% 기존 케이블 절체작업 8/27-8/27 </v>
      </c>
      <c r="BN190" s="138"/>
      <c r="BO190" s="138"/>
      <c r="BP190" s="138"/>
      <c r="BQ190" s="138"/>
      <c r="BR190" s="138"/>
      <c r="BS190" s="138"/>
      <c r="BT190" s="138"/>
      <c r="BU190" s="138"/>
      <c r="BV190" s="138"/>
      <c r="BW190" s="138"/>
      <c r="BX190" s="138"/>
      <c r="BY190" s="138"/>
      <c r="BZ190" s="138"/>
      <c r="CA190" s="138"/>
      <c r="CB190" s="138"/>
      <c r="CC190" s="138"/>
      <c r="CD190" s="138"/>
      <c r="CE190" s="138"/>
      <c r="CF190" s="138"/>
      <c r="CG190" s="138"/>
      <c r="CH190" s="138"/>
      <c r="CI190" s="138"/>
      <c r="CJ190" s="138"/>
      <c r="CK190" s="138"/>
      <c r="CL190" s="138"/>
      <c r="CM190" s="138"/>
      <c r="CN190" s="138"/>
      <c r="CO190" s="138"/>
      <c r="CP190" s="138"/>
      <c r="CQ190" s="138"/>
      <c r="CR190" s="138"/>
      <c r="CS190" s="138"/>
    </row>
    <row r="191" spans="1:97" ht="18" customHeight="1" outlineLevel="4">
      <c r="A191" s="195"/>
      <c r="B191" s="195"/>
      <c r="C191" s="195">
        <v>5</v>
      </c>
      <c r="D191" s="196" t="s">
        <v>1613</v>
      </c>
      <c r="E191" s="197"/>
      <c r="F191" s="197"/>
      <c r="G191" s="197"/>
      <c r="H191" s="197"/>
      <c r="I191" s="197" t="s">
        <v>1588</v>
      </c>
      <c r="J191" s="197"/>
      <c r="K191" s="197"/>
      <c r="L191" s="197"/>
      <c r="M191" s="197"/>
      <c r="N191" s="197"/>
      <c r="O191" s="197"/>
      <c r="P191" s="198">
        <v>44435</v>
      </c>
      <c r="Q191" s="198">
        <v>44435</v>
      </c>
      <c r="R191" s="199"/>
      <c r="S191" s="200">
        <v>1</v>
      </c>
      <c r="T191" s="200">
        <v>0</v>
      </c>
      <c r="U191" s="200">
        <v>1</v>
      </c>
      <c r="V191" s="200">
        <v>0</v>
      </c>
      <c r="W191" s="198"/>
      <c r="X191" s="198"/>
      <c r="Y191" s="201">
        <v>0</v>
      </c>
      <c r="Z191" s="202">
        <v>0</v>
      </c>
      <c r="AA191" s="200"/>
      <c r="AB191" s="199" t="s">
        <v>1883</v>
      </c>
      <c r="AC191" s="165"/>
      <c r="AD191" s="203">
        <v>0</v>
      </c>
      <c r="AE191" s="205">
        <v>0</v>
      </c>
      <c r="AF191" s="137"/>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c r="BC191" s="138"/>
      <c r="BD191" s="138"/>
      <c r="BE191" s="138"/>
      <c r="BF191" s="138"/>
      <c r="BG191" s="138"/>
      <c r="BH191" s="138"/>
      <c r="BI191" s="138"/>
      <c r="BJ191" s="138"/>
      <c r="BK191" s="138"/>
      <c r="BL191" s="138"/>
      <c r="BM191" s="138" t="str">
        <f>"    " &amp; TEXT(AE191,"#0.00%") &amp; " " &amp; "광케이블 절체작업" &amp; "(김명석부장)" &amp; " " &amp; IF(P191="","",TEXT(P191,"M/D-")) &amp; IF(Q191="","",TEXT(Q191,"M/D")) &amp; " "</f>
        <v xml:space="preserve">    0.00% 광케이블 절체작업(김명석부장) 8/27-8/27 </v>
      </c>
      <c r="BN191" s="138"/>
      <c r="BO191" s="138"/>
      <c r="BP191" s="138"/>
      <c r="BQ191" s="138"/>
      <c r="BR191" s="138"/>
      <c r="BS191" s="138"/>
      <c r="BT191" s="138"/>
      <c r="BU191" s="138"/>
      <c r="BV191" s="138"/>
      <c r="BW191" s="138"/>
      <c r="BX191" s="138"/>
      <c r="BY191" s="138"/>
      <c r="BZ191" s="138"/>
      <c r="CA191" s="138"/>
      <c r="CB191" s="138"/>
      <c r="CC191" s="138"/>
      <c r="CD191" s="138"/>
      <c r="CE191" s="138"/>
      <c r="CF191" s="138"/>
      <c r="CG191" s="138"/>
      <c r="CH191" s="138"/>
      <c r="CI191" s="138"/>
      <c r="CJ191" s="138"/>
      <c r="CK191" s="138"/>
      <c r="CL191" s="138"/>
      <c r="CM191" s="138"/>
      <c r="CN191" s="138"/>
      <c r="CO191" s="138"/>
      <c r="CP191" s="138"/>
      <c r="CQ191" s="138"/>
      <c r="CR191" s="138"/>
      <c r="CS191" s="138"/>
    </row>
    <row r="192" spans="1:97" ht="18" customHeight="1" outlineLevel="4">
      <c r="A192" s="195"/>
      <c r="B192" s="195"/>
      <c r="C192" s="195">
        <v>5</v>
      </c>
      <c r="D192" s="196" t="s">
        <v>1614</v>
      </c>
      <c r="E192" s="197"/>
      <c r="F192" s="197"/>
      <c r="G192" s="197"/>
      <c r="H192" s="197"/>
      <c r="I192" s="197" t="s">
        <v>1589</v>
      </c>
      <c r="J192" s="197"/>
      <c r="K192" s="197"/>
      <c r="L192" s="197"/>
      <c r="M192" s="197"/>
      <c r="N192" s="197"/>
      <c r="O192" s="197"/>
      <c r="P192" s="198">
        <v>44435</v>
      </c>
      <c r="Q192" s="198">
        <v>44435</v>
      </c>
      <c r="R192" s="199"/>
      <c r="S192" s="200">
        <v>1</v>
      </c>
      <c r="T192" s="200">
        <v>0</v>
      </c>
      <c r="U192" s="200">
        <v>1</v>
      </c>
      <c r="V192" s="200">
        <v>0</v>
      </c>
      <c r="W192" s="198"/>
      <c r="X192" s="198"/>
      <c r="Y192" s="201">
        <v>0</v>
      </c>
      <c r="Z192" s="202">
        <v>0</v>
      </c>
      <c r="AA192" s="200"/>
      <c r="AB192" s="199" t="s">
        <v>1883</v>
      </c>
      <c r="AC192" s="165"/>
      <c r="AD192" s="203">
        <v>0</v>
      </c>
      <c r="AE192" s="205">
        <v>0</v>
      </c>
      <c r="AF192" s="137"/>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c r="BC192" s="138"/>
      <c r="BD192" s="138"/>
      <c r="BE192" s="138"/>
      <c r="BF192" s="138"/>
      <c r="BG192" s="138"/>
      <c r="BH192" s="138"/>
      <c r="BI192" s="138"/>
      <c r="BJ192" s="138"/>
      <c r="BK192" s="138"/>
      <c r="BL192" s="138"/>
      <c r="BM192" s="138" t="str">
        <f>"    " &amp; TEXT(AE192,"#0.00%") &amp; " " &amp; "기존 통신설비 이설작업" &amp; "(김명석부장)" &amp; " " &amp; IF(P192="","",TEXT(P192,"M/D-")) &amp; IF(Q192="","",TEXT(Q192,"M/D")) &amp; " "</f>
        <v xml:space="preserve">    0.00% 기존 통신설비 이설작업(김명석부장) 8/27-8/27 </v>
      </c>
      <c r="BN192" s="138"/>
      <c r="BO192" s="138"/>
      <c r="BP192" s="138"/>
      <c r="BQ192" s="138"/>
      <c r="BR192" s="138"/>
      <c r="BS192" s="138"/>
      <c r="BT192" s="138"/>
      <c r="BU192" s="138"/>
      <c r="BV192" s="138"/>
      <c r="BW192" s="138"/>
      <c r="BX192" s="138"/>
      <c r="BY192" s="138"/>
      <c r="BZ192" s="138"/>
      <c r="CA192" s="138"/>
      <c r="CB192" s="138"/>
      <c r="CC192" s="138"/>
      <c r="CD192" s="138"/>
      <c r="CE192" s="138"/>
      <c r="CF192" s="138"/>
      <c r="CG192" s="138"/>
      <c r="CH192" s="138"/>
      <c r="CI192" s="138"/>
      <c r="CJ192" s="138"/>
      <c r="CK192" s="138"/>
      <c r="CL192" s="138"/>
      <c r="CM192" s="138"/>
      <c r="CN192" s="138"/>
      <c r="CO192" s="138"/>
      <c r="CP192" s="138"/>
      <c r="CQ192" s="138"/>
      <c r="CR192" s="138"/>
      <c r="CS192" s="138"/>
    </row>
    <row r="193" spans="1:97" ht="18" customHeight="1" outlineLevel="3">
      <c r="A193" s="195"/>
      <c r="B193" s="195" t="s">
        <v>1426</v>
      </c>
      <c r="C193" s="195">
        <v>4</v>
      </c>
      <c r="D193" s="196" t="s">
        <v>1615</v>
      </c>
      <c r="E193" s="197"/>
      <c r="F193" s="197"/>
      <c r="G193" s="197"/>
      <c r="H193" s="197" t="s">
        <v>1577</v>
      </c>
      <c r="I193" s="197"/>
      <c r="J193" s="197"/>
      <c r="K193" s="197"/>
      <c r="L193" s="197"/>
      <c r="M193" s="197"/>
      <c r="N193" s="197"/>
      <c r="O193" s="197"/>
      <c r="P193" s="198">
        <v>44434</v>
      </c>
      <c r="Q193" s="198">
        <v>44434</v>
      </c>
      <c r="R193" s="199"/>
      <c r="S193" s="200">
        <v>5</v>
      </c>
      <c r="T193" s="200">
        <v>0</v>
      </c>
      <c r="U193" s="200">
        <v>1</v>
      </c>
      <c r="V193" s="200">
        <v>0</v>
      </c>
      <c r="W193" s="198"/>
      <c r="X193" s="198"/>
      <c r="Y193" s="201">
        <v>0</v>
      </c>
      <c r="Z193" s="202">
        <v>0</v>
      </c>
      <c r="AA193" s="200"/>
      <c r="AB193" s="199"/>
      <c r="AC193" s="165"/>
      <c r="AD193" s="203">
        <v>0</v>
      </c>
      <c r="AE193" s="204">
        <v>0</v>
      </c>
      <c r="AF193" s="137"/>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c r="BC193" s="138"/>
      <c r="BD193" s="138"/>
      <c r="BE193" s="138"/>
      <c r="BF193" s="138"/>
      <c r="BG193" s="138"/>
      <c r="BH193" s="138"/>
      <c r="BI193" s="138"/>
      <c r="BJ193" s="138"/>
      <c r="BK193" s="138"/>
      <c r="BL193" s="138"/>
      <c r="BM193" s="138" t="str">
        <f>"   " &amp; TEXT(AE193,"#0.00%") &amp; " " &amp; "통합배선공사" &amp; " " &amp; IF(P193="","",TEXT(P193,"M/D-")) &amp; IF(Q193="","",TEXT(Q193,"M/D")) &amp; " "</f>
        <v xml:space="preserve">   0.00% 통합배선공사 8/26-8/26 </v>
      </c>
      <c r="BN193" s="138"/>
      <c r="BO193" s="138"/>
      <c r="BP193" s="138"/>
      <c r="BQ193" s="138"/>
      <c r="BR193" s="138"/>
      <c r="BS193" s="138"/>
      <c r="BT193" s="138"/>
      <c r="BU193" s="138"/>
      <c r="BV193" s="138"/>
      <c r="BW193" s="138"/>
      <c r="BX193" s="138"/>
      <c r="BY193" s="138"/>
      <c r="BZ193" s="138"/>
      <c r="CA193" s="138"/>
      <c r="CB193" s="138"/>
      <c r="CC193" s="138"/>
      <c r="CD193" s="138"/>
      <c r="CE193" s="138"/>
      <c r="CF193" s="138"/>
      <c r="CG193" s="138"/>
      <c r="CH193" s="138"/>
      <c r="CI193" s="138"/>
      <c r="CJ193" s="138"/>
      <c r="CK193" s="138"/>
      <c r="CL193" s="138"/>
      <c r="CM193" s="138"/>
      <c r="CN193" s="138"/>
      <c r="CO193" s="138"/>
      <c r="CP193" s="138"/>
      <c r="CQ193" s="138"/>
      <c r="CR193" s="138"/>
      <c r="CS193" s="138"/>
    </row>
    <row r="194" spans="1:97" ht="18" customHeight="1" outlineLevel="4">
      <c r="A194" s="195"/>
      <c r="B194" s="195"/>
      <c r="C194" s="195">
        <v>5</v>
      </c>
      <c r="D194" s="196" t="s">
        <v>1616</v>
      </c>
      <c r="E194" s="197"/>
      <c r="F194" s="197"/>
      <c r="G194" s="197"/>
      <c r="H194" s="197"/>
      <c r="I194" s="197" t="s">
        <v>1578</v>
      </c>
      <c r="J194" s="197"/>
      <c r="K194" s="197"/>
      <c r="L194" s="197"/>
      <c r="M194" s="197"/>
      <c r="N194" s="197"/>
      <c r="O194" s="197"/>
      <c r="P194" s="198">
        <v>44434</v>
      </c>
      <c r="Q194" s="198">
        <v>44434</v>
      </c>
      <c r="R194" s="199"/>
      <c r="S194" s="200">
        <v>1</v>
      </c>
      <c r="T194" s="200">
        <v>0</v>
      </c>
      <c r="U194" s="200">
        <v>1</v>
      </c>
      <c r="V194" s="200">
        <v>0</v>
      </c>
      <c r="W194" s="198"/>
      <c r="X194" s="198"/>
      <c r="Y194" s="201">
        <v>0</v>
      </c>
      <c r="Z194" s="202">
        <v>0</v>
      </c>
      <c r="AA194" s="200"/>
      <c r="AB194" s="199" t="s">
        <v>1883</v>
      </c>
      <c r="AC194" s="165"/>
      <c r="AD194" s="203">
        <v>0</v>
      </c>
      <c r="AE194" s="205">
        <v>0</v>
      </c>
      <c r="AF194" s="137"/>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c r="BC194" s="138"/>
      <c r="BD194" s="138"/>
      <c r="BE194" s="138"/>
      <c r="BF194" s="138"/>
      <c r="BG194" s="138"/>
      <c r="BH194" s="138"/>
      <c r="BI194" s="138"/>
      <c r="BJ194" s="138"/>
      <c r="BK194" s="138"/>
      <c r="BL194" s="138"/>
      <c r="BM194" s="138" t="str">
        <f>"   " &amp; TEXT(AE194,"#0.00%") &amp; " " &amp; "통신배관공사" &amp; "(김명석부장)" &amp; " " &amp; IF(P194="","",TEXT(P194,"M/D-")) &amp; IF(Q194="","",TEXT(Q194,"M/D")) &amp; " "</f>
        <v xml:space="preserve">   0.00% 통신배관공사(김명석부장) 8/26-8/26 </v>
      </c>
      <c r="BN194" s="138"/>
      <c r="BO194" s="138"/>
      <c r="BP194" s="138"/>
      <c r="BQ194" s="138"/>
      <c r="BR194" s="138"/>
      <c r="BS194" s="138"/>
      <c r="BT194" s="138"/>
      <c r="BU194" s="138"/>
      <c r="BV194" s="138"/>
      <c r="BW194" s="138"/>
      <c r="BX194" s="138"/>
      <c r="BY194" s="138"/>
      <c r="BZ194" s="138"/>
      <c r="CA194" s="138"/>
      <c r="CB194" s="138"/>
      <c r="CC194" s="138"/>
      <c r="CD194" s="138"/>
      <c r="CE194" s="138"/>
      <c r="CF194" s="138"/>
      <c r="CG194" s="138"/>
      <c r="CH194" s="138"/>
      <c r="CI194" s="138"/>
      <c r="CJ194" s="138"/>
      <c r="CK194" s="138"/>
      <c r="CL194" s="138"/>
      <c r="CM194" s="138"/>
      <c r="CN194" s="138"/>
      <c r="CO194" s="138"/>
      <c r="CP194" s="138"/>
      <c r="CQ194" s="138"/>
      <c r="CR194" s="138"/>
      <c r="CS194" s="138"/>
    </row>
    <row r="195" spans="1:97" ht="18" customHeight="1" outlineLevel="4">
      <c r="A195" s="195"/>
      <c r="B195" s="195"/>
      <c r="C195" s="195">
        <v>5</v>
      </c>
      <c r="D195" s="196" t="s">
        <v>1617</v>
      </c>
      <c r="E195" s="197"/>
      <c r="F195" s="197"/>
      <c r="G195" s="197"/>
      <c r="H195" s="197"/>
      <c r="I195" s="197" t="s">
        <v>1579</v>
      </c>
      <c r="J195" s="197"/>
      <c r="K195" s="197"/>
      <c r="L195" s="197"/>
      <c r="M195" s="197"/>
      <c r="N195" s="197"/>
      <c r="O195" s="197"/>
      <c r="P195" s="198">
        <v>44434</v>
      </c>
      <c r="Q195" s="198">
        <v>44434</v>
      </c>
      <c r="R195" s="199"/>
      <c r="S195" s="200">
        <v>1</v>
      </c>
      <c r="T195" s="200">
        <v>0</v>
      </c>
      <c r="U195" s="200">
        <v>1</v>
      </c>
      <c r="V195" s="200">
        <v>0</v>
      </c>
      <c r="W195" s="198"/>
      <c r="X195" s="198"/>
      <c r="Y195" s="201">
        <v>0</v>
      </c>
      <c r="Z195" s="202">
        <v>0</v>
      </c>
      <c r="AA195" s="200"/>
      <c r="AB195" s="199" t="s">
        <v>1883</v>
      </c>
      <c r="AC195" s="165"/>
      <c r="AD195" s="203">
        <v>0</v>
      </c>
      <c r="AE195" s="205">
        <v>0</v>
      </c>
      <c r="AF195" s="137"/>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c r="BC195" s="138"/>
      <c r="BD195" s="138"/>
      <c r="BE195" s="138"/>
      <c r="BF195" s="138"/>
      <c r="BG195" s="138"/>
      <c r="BH195" s="138"/>
      <c r="BI195" s="138"/>
      <c r="BJ195" s="138"/>
      <c r="BK195" s="138"/>
      <c r="BL195" s="138"/>
      <c r="BM195" s="138" t="str">
        <f>"   " &amp; TEXT(AE195,"#0.00%") &amp; " " &amp; "네트워크 케이블 포설" &amp; "(김명석부장)" &amp; " " &amp; IF(P195="","",TEXT(P195,"M/D-")) &amp; IF(Q195="","",TEXT(Q195,"M/D")) &amp; " "</f>
        <v xml:space="preserve">   0.00% 네트워크 케이블 포설(김명석부장) 8/26-8/26 </v>
      </c>
      <c r="BN195" s="138"/>
      <c r="BO195" s="138"/>
      <c r="BP195" s="138"/>
      <c r="BQ195" s="138"/>
      <c r="BR195" s="138"/>
      <c r="BS195" s="138"/>
      <c r="BT195" s="138"/>
      <c r="BU195" s="138"/>
      <c r="BV195" s="138"/>
      <c r="BW195" s="138"/>
      <c r="BX195" s="138"/>
      <c r="BY195" s="138"/>
      <c r="BZ195" s="138"/>
      <c r="CA195" s="138"/>
      <c r="CB195" s="138"/>
      <c r="CC195" s="138"/>
      <c r="CD195" s="138"/>
      <c r="CE195" s="138"/>
      <c r="CF195" s="138"/>
      <c r="CG195" s="138"/>
      <c r="CH195" s="138"/>
      <c r="CI195" s="138"/>
      <c r="CJ195" s="138"/>
      <c r="CK195" s="138"/>
      <c r="CL195" s="138"/>
      <c r="CM195" s="138"/>
      <c r="CN195" s="138"/>
      <c r="CO195" s="138"/>
      <c r="CP195" s="138"/>
      <c r="CQ195" s="138"/>
      <c r="CR195" s="138"/>
      <c r="CS195" s="138"/>
    </row>
    <row r="196" spans="1:97" ht="18" customHeight="1" outlineLevel="4">
      <c r="A196" s="195"/>
      <c r="B196" s="195"/>
      <c r="C196" s="195">
        <v>5</v>
      </c>
      <c r="D196" s="196" t="s">
        <v>1618</v>
      </c>
      <c r="E196" s="197"/>
      <c r="F196" s="197"/>
      <c r="G196" s="197"/>
      <c r="H196" s="197"/>
      <c r="I196" s="197" t="s">
        <v>1580</v>
      </c>
      <c r="J196" s="197"/>
      <c r="K196" s="197"/>
      <c r="L196" s="197"/>
      <c r="M196" s="197"/>
      <c r="N196" s="197"/>
      <c r="O196" s="197"/>
      <c r="P196" s="198">
        <v>44434</v>
      </c>
      <c r="Q196" s="198">
        <v>44434</v>
      </c>
      <c r="R196" s="199"/>
      <c r="S196" s="200">
        <v>1</v>
      </c>
      <c r="T196" s="200">
        <v>0</v>
      </c>
      <c r="U196" s="200">
        <v>1</v>
      </c>
      <c r="V196" s="200">
        <v>0</v>
      </c>
      <c r="W196" s="198"/>
      <c r="X196" s="198"/>
      <c r="Y196" s="201">
        <v>0</v>
      </c>
      <c r="Z196" s="202">
        <v>0</v>
      </c>
      <c r="AA196" s="200"/>
      <c r="AB196" s="199" t="s">
        <v>1883</v>
      </c>
      <c r="AC196" s="165"/>
      <c r="AD196" s="203">
        <v>0</v>
      </c>
      <c r="AE196" s="205">
        <v>0</v>
      </c>
      <c r="AF196" s="137"/>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c r="BC196" s="138"/>
      <c r="BD196" s="138"/>
      <c r="BE196" s="138"/>
      <c r="BF196" s="138"/>
      <c r="BG196" s="138"/>
      <c r="BH196" s="138"/>
      <c r="BI196" s="138"/>
      <c r="BJ196" s="138"/>
      <c r="BK196" s="138"/>
      <c r="BL196" s="138"/>
      <c r="BM196" s="138" t="str">
        <f>"   " &amp; TEXT(AE196,"#0.00%") &amp; " " &amp; "기구설치공사" &amp; "(김명석부장)" &amp; " " &amp; IF(P196="","",TEXT(P196,"M/D-")) &amp; IF(Q196="","",TEXT(Q196,"M/D")) &amp; " "</f>
        <v xml:space="preserve">   0.00% 기구설치공사(김명석부장) 8/26-8/26 </v>
      </c>
      <c r="BN196" s="138"/>
      <c r="BO196" s="138"/>
      <c r="BP196" s="138"/>
      <c r="BQ196" s="138"/>
      <c r="BR196" s="138"/>
      <c r="BS196" s="138"/>
      <c r="BT196" s="138"/>
      <c r="BU196" s="138"/>
      <c r="BV196" s="138"/>
      <c r="BW196" s="138"/>
      <c r="BX196" s="138"/>
      <c r="BY196" s="138"/>
      <c r="BZ196" s="138"/>
      <c r="CA196" s="138"/>
      <c r="CB196" s="138"/>
      <c r="CC196" s="138"/>
      <c r="CD196" s="138"/>
      <c r="CE196" s="138"/>
      <c r="CF196" s="138"/>
      <c r="CG196" s="138"/>
      <c r="CH196" s="138"/>
      <c r="CI196" s="138"/>
      <c r="CJ196" s="138"/>
      <c r="CK196" s="138"/>
      <c r="CL196" s="138"/>
      <c r="CM196" s="138"/>
      <c r="CN196" s="138"/>
      <c r="CO196" s="138"/>
      <c r="CP196" s="138"/>
      <c r="CQ196" s="138"/>
      <c r="CR196" s="138"/>
      <c r="CS196" s="138"/>
    </row>
    <row r="197" spans="1:97" ht="18" customHeight="1" outlineLevel="4">
      <c r="A197" s="195"/>
      <c r="B197" s="195"/>
      <c r="C197" s="195">
        <v>5</v>
      </c>
      <c r="D197" s="196" t="s">
        <v>1619</v>
      </c>
      <c r="E197" s="197"/>
      <c r="F197" s="197"/>
      <c r="G197" s="197"/>
      <c r="H197" s="197"/>
      <c r="I197" s="197" t="s">
        <v>1581</v>
      </c>
      <c r="J197" s="197"/>
      <c r="K197" s="197"/>
      <c r="L197" s="197"/>
      <c r="M197" s="197"/>
      <c r="N197" s="197"/>
      <c r="O197" s="197"/>
      <c r="P197" s="198">
        <v>44434</v>
      </c>
      <c r="Q197" s="198">
        <v>44434</v>
      </c>
      <c r="R197" s="199"/>
      <c r="S197" s="200">
        <v>1</v>
      </c>
      <c r="T197" s="200">
        <v>0</v>
      </c>
      <c r="U197" s="200">
        <v>1</v>
      </c>
      <c r="V197" s="200">
        <v>0</v>
      </c>
      <c r="W197" s="198"/>
      <c r="X197" s="198"/>
      <c r="Y197" s="201">
        <v>0</v>
      </c>
      <c r="Z197" s="202">
        <v>0</v>
      </c>
      <c r="AA197" s="200"/>
      <c r="AB197" s="199" t="s">
        <v>1883</v>
      </c>
      <c r="AC197" s="165"/>
      <c r="AD197" s="203">
        <v>0</v>
      </c>
      <c r="AE197" s="205">
        <v>0</v>
      </c>
      <c r="AF197" s="137"/>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t="str">
        <f>"   " &amp; TEXT(AE197,"#0.00%") &amp; " " &amp; "케이블성단" &amp; "(김명석부장)" &amp; " " &amp; IF(P197="","",TEXT(P197,"M/D-")) &amp; IF(Q197="","",TEXT(Q197,"M/D")) &amp; " "</f>
        <v xml:space="preserve">   0.00% 케이블성단(김명석부장) 8/26-8/26 </v>
      </c>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row>
    <row r="198" spans="1:97" ht="18" customHeight="1" outlineLevel="4">
      <c r="A198" s="195"/>
      <c r="B198" s="195"/>
      <c r="C198" s="195">
        <v>5</v>
      </c>
      <c r="D198" s="196" t="s">
        <v>1620</v>
      </c>
      <c r="E198" s="197"/>
      <c r="F198" s="197"/>
      <c r="G198" s="197"/>
      <c r="H198" s="197"/>
      <c r="I198" s="197" t="s">
        <v>1582</v>
      </c>
      <c r="J198" s="197"/>
      <c r="K198" s="197"/>
      <c r="L198" s="197"/>
      <c r="M198" s="197"/>
      <c r="N198" s="197"/>
      <c r="O198" s="197"/>
      <c r="P198" s="198">
        <v>44434</v>
      </c>
      <c r="Q198" s="198">
        <v>44434</v>
      </c>
      <c r="R198" s="199"/>
      <c r="S198" s="200">
        <v>1</v>
      </c>
      <c r="T198" s="200">
        <v>0</v>
      </c>
      <c r="U198" s="200">
        <v>1</v>
      </c>
      <c r="V198" s="200">
        <v>0</v>
      </c>
      <c r="W198" s="198"/>
      <c r="X198" s="198"/>
      <c r="Y198" s="201">
        <v>0</v>
      </c>
      <c r="Z198" s="202">
        <v>0</v>
      </c>
      <c r="AA198" s="200"/>
      <c r="AB198" s="199" t="s">
        <v>1883</v>
      </c>
      <c r="AC198" s="165"/>
      <c r="AD198" s="203">
        <v>0</v>
      </c>
      <c r="AE198" s="205">
        <v>0</v>
      </c>
      <c r="AF198" s="137"/>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c r="BC198" s="138"/>
      <c r="BD198" s="138"/>
      <c r="BE198" s="138"/>
      <c r="BF198" s="138"/>
      <c r="BG198" s="138"/>
      <c r="BH198" s="138"/>
      <c r="BI198" s="138"/>
      <c r="BJ198" s="138"/>
      <c r="BK198" s="138"/>
      <c r="BL198" s="138"/>
      <c r="BM198" s="138" t="str">
        <f>"   " &amp; TEXT(AE198,"#0.00%") &amp; " " &amp; "무선AP설비공사" &amp; "(김명석부장)" &amp; " " &amp; IF(P198="","",TEXT(P198,"M/D-")) &amp; IF(Q198="","",TEXT(Q198,"M/D")) &amp; " "</f>
        <v xml:space="preserve">   0.00% 무선AP설비공사(김명석부장) 8/26-8/26 </v>
      </c>
      <c r="BN198" s="138"/>
      <c r="BO198" s="138"/>
      <c r="BP198" s="138"/>
      <c r="BQ198" s="138"/>
      <c r="BR198" s="138"/>
      <c r="BS198" s="138"/>
      <c r="BT198" s="138"/>
      <c r="BU198" s="138"/>
      <c r="BV198" s="138"/>
      <c r="BW198" s="138"/>
      <c r="BX198" s="138"/>
      <c r="BY198" s="138"/>
      <c r="BZ198" s="138"/>
      <c r="CA198" s="138"/>
      <c r="CB198" s="138"/>
      <c r="CC198" s="138"/>
      <c r="CD198" s="138"/>
      <c r="CE198" s="138"/>
      <c r="CF198" s="138"/>
      <c r="CG198" s="138"/>
      <c r="CH198" s="138"/>
      <c r="CI198" s="138"/>
      <c r="CJ198" s="138"/>
      <c r="CK198" s="138"/>
      <c r="CL198" s="138"/>
      <c r="CM198" s="138"/>
      <c r="CN198" s="138"/>
      <c r="CO198" s="138"/>
      <c r="CP198" s="138"/>
      <c r="CQ198" s="138"/>
      <c r="CR198" s="138"/>
      <c r="CS198" s="138"/>
    </row>
    <row r="199" spans="1:97" ht="18" customHeight="1" outlineLevel="3">
      <c r="A199" s="195"/>
      <c r="B199" s="195"/>
      <c r="C199" s="195">
        <v>4</v>
      </c>
      <c r="D199" s="196" t="s">
        <v>1621</v>
      </c>
      <c r="E199" s="197"/>
      <c r="F199" s="197"/>
      <c r="G199" s="197"/>
      <c r="H199" s="197" t="s">
        <v>1583</v>
      </c>
      <c r="I199" s="197"/>
      <c r="J199" s="197"/>
      <c r="K199" s="197"/>
      <c r="L199" s="197"/>
      <c r="M199" s="197"/>
      <c r="N199" s="197"/>
      <c r="O199" s="197"/>
      <c r="P199" s="198">
        <v>44434</v>
      </c>
      <c r="Q199" s="198">
        <v>44434</v>
      </c>
      <c r="R199" s="199"/>
      <c r="S199" s="200">
        <v>1</v>
      </c>
      <c r="T199" s="200">
        <v>0</v>
      </c>
      <c r="U199" s="200">
        <v>1</v>
      </c>
      <c r="V199" s="200">
        <v>0</v>
      </c>
      <c r="W199" s="198"/>
      <c r="X199" s="198"/>
      <c r="Y199" s="201">
        <v>0</v>
      </c>
      <c r="Z199" s="202">
        <v>0</v>
      </c>
      <c r="AA199" s="200"/>
      <c r="AB199" s="199" t="s">
        <v>1883</v>
      </c>
      <c r="AC199" s="165"/>
      <c r="AD199" s="203">
        <v>0</v>
      </c>
      <c r="AE199" s="205">
        <v>0</v>
      </c>
      <c r="AF199" s="137"/>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t="str">
        <f>"   " &amp; TEXT(AE199,"#0.00%") &amp; " " &amp; "Network LinkTest" &amp; "(김명석부장)" &amp; " " &amp; IF(P199="","",TEXT(P199,"M/D-")) &amp; IF(Q199="","",TEXT(Q199,"M/D")) &amp; " "</f>
        <v xml:space="preserve">   0.00% Network LinkTest(김명석부장) 8/26-8/26 </v>
      </c>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row>
    <row r="200" spans="1:97" ht="18" customHeight="1" outlineLevel="3">
      <c r="A200" s="195"/>
      <c r="B200" s="195"/>
      <c r="C200" s="195">
        <v>4</v>
      </c>
      <c r="D200" s="196" t="s">
        <v>1622</v>
      </c>
      <c r="E200" s="197"/>
      <c r="F200" s="197"/>
      <c r="G200" s="197"/>
      <c r="H200" s="197" t="s">
        <v>1584</v>
      </c>
      <c r="I200" s="197"/>
      <c r="J200" s="197"/>
      <c r="K200" s="197"/>
      <c r="L200" s="197"/>
      <c r="M200" s="197"/>
      <c r="N200" s="197"/>
      <c r="O200" s="197"/>
      <c r="P200" s="198">
        <v>44436</v>
      </c>
      <c r="Q200" s="198">
        <v>44436</v>
      </c>
      <c r="R200" s="199"/>
      <c r="S200" s="200">
        <v>0</v>
      </c>
      <c r="T200" s="200">
        <v>0</v>
      </c>
      <c r="U200" s="200">
        <v>0</v>
      </c>
      <c r="V200" s="200">
        <v>0</v>
      </c>
      <c r="W200" s="198"/>
      <c r="X200" s="198"/>
      <c r="Y200" s="201">
        <v>0</v>
      </c>
      <c r="Z200" s="202">
        <v>0</v>
      </c>
      <c r="AA200" s="200"/>
      <c r="AB200" s="199" t="s">
        <v>1883</v>
      </c>
      <c r="AC200" s="165"/>
      <c r="AD200" s="203">
        <v>0</v>
      </c>
      <c r="AE200" s="205">
        <v>0</v>
      </c>
      <c r="AF200" s="137"/>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c r="BC200" s="138"/>
      <c r="BD200" s="138"/>
      <c r="BE200" s="138"/>
      <c r="BF200" s="138"/>
      <c r="BG200" s="138"/>
      <c r="BH200" s="138"/>
      <c r="BI200" s="138"/>
      <c r="BJ200" s="138"/>
      <c r="BK200" s="138"/>
      <c r="BL200" s="138"/>
      <c r="BM200" s="138" t="str">
        <f>"     " &amp; TEXT(AE200,"#0.00%") &amp; " " &amp; "철거(기존 케이블 및 기구)" &amp; "(김명석부장)" &amp; " " &amp; IF(P200="","",TEXT(P200,"M/D-")) &amp; IF(Q200="","",TEXT(Q200,"M/D")) &amp; " "</f>
        <v xml:space="preserve">     0.00% 철거(기존 케이블 및 기구)(김명석부장) 8/28-8/28 </v>
      </c>
      <c r="BN200" s="138"/>
      <c r="BO200" s="138"/>
      <c r="BP200" s="138"/>
      <c r="BQ200" s="138"/>
      <c r="BR200" s="138"/>
      <c r="BS200" s="138"/>
      <c r="BT200" s="138"/>
      <c r="BU200" s="138"/>
      <c r="BV200" s="138"/>
      <c r="BW200" s="138"/>
      <c r="BX200" s="138"/>
      <c r="BY200" s="138"/>
      <c r="BZ200" s="138"/>
      <c r="CA200" s="138"/>
      <c r="CB200" s="138"/>
      <c r="CC200" s="138"/>
      <c r="CD200" s="138"/>
      <c r="CE200" s="138"/>
      <c r="CF200" s="138"/>
      <c r="CG200" s="138"/>
      <c r="CH200" s="138"/>
      <c r="CI200" s="138"/>
      <c r="CJ200" s="138"/>
      <c r="CK200" s="138"/>
      <c r="CL200" s="138"/>
      <c r="CM200" s="138"/>
      <c r="CN200" s="138"/>
      <c r="CO200" s="138"/>
      <c r="CP200" s="138"/>
      <c r="CQ200" s="138"/>
      <c r="CR200" s="138"/>
      <c r="CS200" s="138"/>
    </row>
    <row r="201" spans="1:97" ht="18" customHeight="1" outlineLevel="2">
      <c r="A201" s="195"/>
      <c r="B201" s="195" t="s">
        <v>1426</v>
      </c>
      <c r="C201" s="195">
        <v>3</v>
      </c>
      <c r="D201" s="196" t="s">
        <v>1623</v>
      </c>
      <c r="E201" s="197"/>
      <c r="F201" s="197"/>
      <c r="G201" s="197" t="s">
        <v>1590</v>
      </c>
      <c r="H201" s="197"/>
      <c r="I201" s="197"/>
      <c r="J201" s="197"/>
      <c r="K201" s="197"/>
      <c r="L201" s="197"/>
      <c r="M201" s="197"/>
      <c r="N201" s="197"/>
      <c r="O201" s="197"/>
      <c r="P201" s="198">
        <v>44438</v>
      </c>
      <c r="Q201" s="198">
        <v>44443</v>
      </c>
      <c r="R201" s="199"/>
      <c r="S201" s="200">
        <v>9</v>
      </c>
      <c r="T201" s="200">
        <v>0</v>
      </c>
      <c r="U201" s="200">
        <v>5</v>
      </c>
      <c r="V201" s="200">
        <v>0</v>
      </c>
      <c r="W201" s="198"/>
      <c r="X201" s="198"/>
      <c r="Y201" s="201">
        <v>0</v>
      </c>
      <c r="Z201" s="202">
        <v>0</v>
      </c>
      <c r="AA201" s="200"/>
      <c r="AB201" s="199"/>
      <c r="AC201" s="165"/>
      <c r="AD201" s="203">
        <v>0</v>
      </c>
      <c r="AE201" s="204">
        <v>0</v>
      </c>
      <c r="AF201" s="137"/>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c r="BC201" s="138"/>
      <c r="BD201" s="138"/>
      <c r="BE201" s="138"/>
      <c r="BF201" s="138"/>
      <c r="BG201" s="138"/>
      <c r="BH201" s="138"/>
      <c r="BI201" s="138"/>
      <c r="BJ201" s="138"/>
      <c r="BK201" s="138"/>
      <c r="BL201" s="138"/>
      <c r="BM201" s="138"/>
      <c r="BN201" s="138" t="str">
        <f>"" &amp; TEXT(AE201,"#0.00%") &amp; " " &amp; "군산" &amp; " " &amp; IF(P201="","",TEXT(P201,"M/D-")) &amp; IF(Q201="","",TEXT(Q201,"M/D")) &amp; " "</f>
        <v xml:space="preserve">0.00% 군산 8/30-9/4 </v>
      </c>
      <c r="BO201" s="138"/>
      <c r="BP201" s="138"/>
      <c r="BQ201" s="138"/>
      <c r="BR201" s="138"/>
      <c r="BS201" s="138"/>
      <c r="BT201" s="138"/>
      <c r="BU201" s="138"/>
      <c r="BV201" s="138"/>
      <c r="BW201" s="138"/>
      <c r="BX201" s="138"/>
      <c r="BY201" s="138"/>
      <c r="BZ201" s="138"/>
      <c r="CA201" s="138"/>
      <c r="CB201" s="138"/>
      <c r="CC201" s="138"/>
      <c r="CD201" s="138"/>
      <c r="CE201" s="138"/>
      <c r="CF201" s="138"/>
      <c r="CG201" s="138"/>
      <c r="CH201" s="138"/>
      <c r="CI201" s="138"/>
      <c r="CJ201" s="138"/>
      <c r="CK201" s="138"/>
      <c r="CL201" s="138"/>
      <c r="CM201" s="138"/>
      <c r="CN201" s="138"/>
      <c r="CO201" s="138"/>
      <c r="CP201" s="138"/>
      <c r="CQ201" s="138"/>
      <c r="CR201" s="138"/>
      <c r="CS201" s="138"/>
    </row>
    <row r="202" spans="1:97" ht="18" customHeight="1" outlineLevel="3">
      <c r="A202" s="195"/>
      <c r="B202" s="195" t="s">
        <v>1426</v>
      </c>
      <c r="C202" s="195">
        <v>4</v>
      </c>
      <c r="D202" s="196" t="s">
        <v>1624</v>
      </c>
      <c r="E202" s="197"/>
      <c r="F202" s="197"/>
      <c r="G202" s="197"/>
      <c r="H202" s="197" t="s">
        <v>1577</v>
      </c>
      <c r="I202" s="197"/>
      <c r="J202" s="197"/>
      <c r="K202" s="197"/>
      <c r="L202" s="197"/>
      <c r="M202" s="197"/>
      <c r="N202" s="197"/>
      <c r="O202" s="197"/>
      <c r="P202" s="198">
        <v>44438</v>
      </c>
      <c r="Q202" s="198">
        <v>44441</v>
      </c>
      <c r="R202" s="199"/>
      <c r="S202" s="200">
        <v>8</v>
      </c>
      <c r="T202" s="200">
        <v>0</v>
      </c>
      <c r="U202" s="200">
        <v>4</v>
      </c>
      <c r="V202" s="200">
        <v>0</v>
      </c>
      <c r="W202" s="198"/>
      <c r="X202" s="198"/>
      <c r="Y202" s="201">
        <v>0</v>
      </c>
      <c r="Z202" s="202">
        <v>0</v>
      </c>
      <c r="AA202" s="200"/>
      <c r="AB202" s="199"/>
      <c r="AC202" s="165"/>
      <c r="AD202" s="203">
        <v>0</v>
      </c>
      <c r="AE202" s="204">
        <v>0</v>
      </c>
      <c r="AF202" s="137"/>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c r="BC202" s="138"/>
      <c r="BD202" s="138"/>
      <c r="BE202" s="138"/>
      <c r="BF202" s="138"/>
      <c r="BG202" s="138"/>
      <c r="BH202" s="138"/>
      <c r="BI202" s="138"/>
      <c r="BJ202" s="138"/>
      <c r="BK202" s="138"/>
      <c r="BL202" s="138"/>
      <c r="BM202" s="138"/>
      <c r="BN202" s="138" t="str">
        <f>"" &amp; TEXT(AE202,"#0.00%") &amp; " " &amp; "통합배선공사" &amp; " " &amp; IF(P202="","",TEXT(P202,"M/D-")) &amp; IF(Q202="","",TEXT(Q202,"M/D")) &amp; " "</f>
        <v xml:space="preserve">0.00% 통합배선공사 8/30-9/2 </v>
      </c>
      <c r="BO202" s="138"/>
      <c r="BP202" s="138"/>
      <c r="BQ202" s="138"/>
      <c r="BR202" s="138"/>
      <c r="BS202" s="138"/>
      <c r="BT202" s="138"/>
      <c r="BU202" s="138"/>
      <c r="BV202" s="138"/>
      <c r="BW202" s="138"/>
      <c r="BX202" s="138"/>
      <c r="BY202" s="138"/>
      <c r="BZ202" s="138"/>
      <c r="CA202" s="138"/>
      <c r="CB202" s="138"/>
      <c r="CC202" s="138"/>
      <c r="CD202" s="138"/>
      <c r="CE202" s="138"/>
      <c r="CF202" s="138"/>
      <c r="CG202" s="138"/>
      <c r="CH202" s="138"/>
      <c r="CI202" s="138"/>
      <c r="CJ202" s="138"/>
      <c r="CK202" s="138"/>
      <c r="CL202" s="138"/>
      <c r="CM202" s="138"/>
      <c r="CN202" s="138"/>
      <c r="CO202" s="138"/>
      <c r="CP202" s="138"/>
      <c r="CQ202" s="138"/>
      <c r="CR202" s="138"/>
      <c r="CS202" s="138"/>
    </row>
    <row r="203" spans="1:97" ht="18" customHeight="1" outlineLevel="4">
      <c r="A203" s="195"/>
      <c r="B203" s="195"/>
      <c r="C203" s="195">
        <v>5</v>
      </c>
      <c r="D203" s="196" t="s">
        <v>1625</v>
      </c>
      <c r="E203" s="197"/>
      <c r="F203" s="197"/>
      <c r="G203" s="197"/>
      <c r="H203" s="197"/>
      <c r="I203" s="197" t="s">
        <v>1578</v>
      </c>
      <c r="J203" s="197"/>
      <c r="K203" s="197"/>
      <c r="L203" s="197"/>
      <c r="M203" s="197"/>
      <c r="N203" s="197"/>
      <c r="O203" s="197"/>
      <c r="P203" s="198">
        <v>44438</v>
      </c>
      <c r="Q203" s="198">
        <v>44439</v>
      </c>
      <c r="R203" s="199"/>
      <c r="S203" s="200">
        <v>2</v>
      </c>
      <c r="T203" s="200">
        <v>0</v>
      </c>
      <c r="U203" s="200">
        <v>2</v>
      </c>
      <c r="V203" s="200">
        <v>0</v>
      </c>
      <c r="W203" s="198"/>
      <c r="X203" s="198"/>
      <c r="Y203" s="201">
        <v>0</v>
      </c>
      <c r="Z203" s="202">
        <v>0</v>
      </c>
      <c r="AA203" s="200"/>
      <c r="AB203" s="199" t="s">
        <v>1883</v>
      </c>
      <c r="AC203" s="165"/>
      <c r="AD203" s="203">
        <v>0</v>
      </c>
      <c r="AE203" s="205">
        <v>0</v>
      </c>
      <c r="AF203" s="137"/>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c r="BC203" s="138"/>
      <c r="BD203" s="138"/>
      <c r="BE203" s="138"/>
      <c r="BF203" s="138"/>
      <c r="BG203" s="138"/>
      <c r="BH203" s="138"/>
      <c r="BI203" s="138"/>
      <c r="BJ203" s="138"/>
      <c r="BK203" s="138"/>
      <c r="BL203" s="138"/>
      <c r="BM203" s="138"/>
      <c r="BN203" s="138" t="str">
        <f>"" &amp; TEXT(AE203,"#0.00%") &amp; " " &amp; "통신배관공사" &amp; "(김명석부장)" &amp; " " &amp; IF(P203="","",TEXT(P203,"M/D-")) &amp; IF(Q203="","",TEXT(Q203,"M/D")) &amp; " "</f>
        <v xml:space="preserve">0.00% 통신배관공사(김명석부장) 8/30-8/31 </v>
      </c>
      <c r="BO203" s="138"/>
      <c r="BP203" s="138"/>
      <c r="BQ203" s="138"/>
      <c r="BR203" s="138"/>
      <c r="BS203" s="138"/>
      <c r="BT203" s="138"/>
      <c r="BU203" s="138"/>
      <c r="BV203" s="138"/>
      <c r="BW203" s="138"/>
      <c r="BX203" s="138"/>
      <c r="BY203" s="138"/>
      <c r="BZ203" s="138"/>
      <c r="CA203" s="138"/>
      <c r="CB203" s="138"/>
      <c r="CC203" s="138"/>
      <c r="CD203" s="138"/>
      <c r="CE203" s="138"/>
      <c r="CF203" s="138"/>
      <c r="CG203" s="138"/>
      <c r="CH203" s="138"/>
      <c r="CI203" s="138"/>
      <c r="CJ203" s="138"/>
      <c r="CK203" s="138"/>
      <c r="CL203" s="138"/>
      <c r="CM203" s="138"/>
      <c r="CN203" s="138"/>
      <c r="CO203" s="138"/>
      <c r="CP203" s="138"/>
      <c r="CQ203" s="138"/>
      <c r="CR203" s="138"/>
      <c r="CS203" s="138"/>
    </row>
    <row r="204" spans="1:97" ht="18" customHeight="1" outlineLevel="4">
      <c r="A204" s="195"/>
      <c r="B204" s="195"/>
      <c r="C204" s="195">
        <v>5</v>
      </c>
      <c r="D204" s="196" t="s">
        <v>1626</v>
      </c>
      <c r="E204" s="197"/>
      <c r="F204" s="197"/>
      <c r="G204" s="197"/>
      <c r="H204" s="197"/>
      <c r="I204" s="197" t="s">
        <v>1579</v>
      </c>
      <c r="J204" s="197"/>
      <c r="K204" s="197"/>
      <c r="L204" s="197"/>
      <c r="M204" s="197"/>
      <c r="N204" s="197"/>
      <c r="O204" s="197"/>
      <c r="P204" s="198">
        <v>44439</v>
      </c>
      <c r="Q204" s="198">
        <v>44440</v>
      </c>
      <c r="R204" s="199"/>
      <c r="S204" s="200">
        <v>2</v>
      </c>
      <c r="T204" s="200">
        <v>0</v>
      </c>
      <c r="U204" s="200">
        <v>2</v>
      </c>
      <c r="V204" s="200">
        <v>0</v>
      </c>
      <c r="W204" s="198"/>
      <c r="X204" s="198"/>
      <c r="Y204" s="201">
        <v>0</v>
      </c>
      <c r="Z204" s="202">
        <v>0</v>
      </c>
      <c r="AA204" s="200"/>
      <c r="AB204" s="199" t="s">
        <v>1883</v>
      </c>
      <c r="AC204" s="165"/>
      <c r="AD204" s="203">
        <v>0</v>
      </c>
      <c r="AE204" s="205">
        <v>0</v>
      </c>
      <c r="AF204" s="137"/>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c r="BC204" s="138"/>
      <c r="BD204" s="138"/>
      <c r="BE204" s="138"/>
      <c r="BF204" s="138"/>
      <c r="BG204" s="138"/>
      <c r="BH204" s="138"/>
      <c r="BI204" s="138"/>
      <c r="BJ204" s="138"/>
      <c r="BK204" s="138"/>
      <c r="BL204" s="138"/>
      <c r="BM204" s="138"/>
      <c r="BN204" s="138" t="str">
        <f>" " &amp; TEXT(AE204,"#0.00%") &amp; " " &amp; "네트워크 케이블 포설" &amp; "(김명석부장)" &amp; " " &amp; IF(P204="","",TEXT(P204,"M/D-")) &amp; IF(Q204="","",TEXT(Q204,"M/D")) &amp; " "</f>
        <v xml:space="preserve"> 0.00% 네트워크 케이블 포설(김명석부장) 8/31-9/1 </v>
      </c>
      <c r="BO204" s="138"/>
      <c r="BP204" s="138"/>
      <c r="BQ204" s="138"/>
      <c r="BR204" s="138"/>
      <c r="BS204" s="138"/>
      <c r="BT204" s="138"/>
      <c r="BU204" s="138"/>
      <c r="BV204" s="138"/>
      <c r="BW204" s="138"/>
      <c r="BX204" s="138"/>
      <c r="BY204" s="138"/>
      <c r="BZ204" s="138"/>
      <c r="CA204" s="138"/>
      <c r="CB204" s="138"/>
      <c r="CC204" s="138"/>
      <c r="CD204" s="138"/>
      <c r="CE204" s="138"/>
      <c r="CF204" s="138"/>
      <c r="CG204" s="138"/>
      <c r="CH204" s="138"/>
      <c r="CI204" s="138"/>
      <c r="CJ204" s="138"/>
      <c r="CK204" s="138"/>
      <c r="CL204" s="138"/>
      <c r="CM204" s="138"/>
      <c r="CN204" s="138"/>
      <c r="CO204" s="138"/>
      <c r="CP204" s="138"/>
      <c r="CQ204" s="138"/>
      <c r="CR204" s="138"/>
      <c r="CS204" s="138"/>
    </row>
    <row r="205" spans="1:97" ht="18" customHeight="1" outlineLevel="4">
      <c r="A205" s="195"/>
      <c r="B205" s="195"/>
      <c r="C205" s="195">
        <v>5</v>
      </c>
      <c r="D205" s="196" t="s">
        <v>1627</v>
      </c>
      <c r="E205" s="197"/>
      <c r="F205" s="197"/>
      <c r="G205" s="197"/>
      <c r="H205" s="197"/>
      <c r="I205" s="197" t="s">
        <v>1580</v>
      </c>
      <c r="J205" s="197"/>
      <c r="K205" s="197"/>
      <c r="L205" s="197"/>
      <c r="M205" s="197"/>
      <c r="N205" s="197"/>
      <c r="O205" s="197"/>
      <c r="P205" s="198">
        <v>44439</v>
      </c>
      <c r="Q205" s="198">
        <v>44440</v>
      </c>
      <c r="R205" s="199"/>
      <c r="S205" s="200">
        <v>2</v>
      </c>
      <c r="T205" s="200">
        <v>0</v>
      </c>
      <c r="U205" s="200">
        <v>2</v>
      </c>
      <c r="V205" s="200">
        <v>0</v>
      </c>
      <c r="W205" s="198"/>
      <c r="X205" s="198"/>
      <c r="Y205" s="201">
        <v>0</v>
      </c>
      <c r="Z205" s="202">
        <v>0</v>
      </c>
      <c r="AA205" s="200"/>
      <c r="AB205" s="199" t="s">
        <v>1883</v>
      </c>
      <c r="AC205" s="165"/>
      <c r="AD205" s="203">
        <v>0</v>
      </c>
      <c r="AE205" s="205">
        <v>0</v>
      </c>
      <c r="AF205" s="137"/>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c r="BC205" s="138"/>
      <c r="BD205" s="138"/>
      <c r="BE205" s="138"/>
      <c r="BF205" s="138"/>
      <c r="BG205" s="138"/>
      <c r="BH205" s="138"/>
      <c r="BI205" s="138"/>
      <c r="BJ205" s="138"/>
      <c r="BK205" s="138"/>
      <c r="BL205" s="138"/>
      <c r="BM205" s="138"/>
      <c r="BN205" s="138" t="str">
        <f>" " &amp; TEXT(AE205,"#0.00%") &amp; " " &amp; "기구설치공사" &amp; "(김명석부장)" &amp; " " &amp; IF(P205="","",TEXT(P205,"M/D-")) &amp; IF(Q205="","",TEXT(Q205,"M/D")) &amp; " "</f>
        <v xml:space="preserve"> 0.00% 기구설치공사(김명석부장) 8/31-9/1 </v>
      </c>
      <c r="BO205" s="138"/>
      <c r="BP205" s="138"/>
      <c r="BQ205" s="138"/>
      <c r="BR205" s="138"/>
      <c r="BS205" s="138"/>
      <c r="BT205" s="138"/>
      <c r="BU205" s="138"/>
      <c r="BV205" s="138"/>
      <c r="BW205" s="138"/>
      <c r="BX205" s="138"/>
      <c r="BY205" s="138"/>
      <c r="BZ205" s="138"/>
      <c r="CA205" s="138"/>
      <c r="CB205" s="138"/>
      <c r="CC205" s="138"/>
      <c r="CD205" s="138"/>
      <c r="CE205" s="138"/>
      <c r="CF205" s="138"/>
      <c r="CG205" s="138"/>
      <c r="CH205" s="138"/>
      <c r="CI205" s="138"/>
      <c r="CJ205" s="138"/>
      <c r="CK205" s="138"/>
      <c r="CL205" s="138"/>
      <c r="CM205" s="138"/>
      <c r="CN205" s="138"/>
      <c r="CO205" s="138"/>
      <c r="CP205" s="138"/>
      <c r="CQ205" s="138"/>
      <c r="CR205" s="138"/>
      <c r="CS205" s="138"/>
    </row>
    <row r="206" spans="1:97" ht="18" customHeight="1" outlineLevel="4">
      <c r="A206" s="195"/>
      <c r="B206" s="195"/>
      <c r="C206" s="195">
        <v>5</v>
      </c>
      <c r="D206" s="196" t="s">
        <v>1628</v>
      </c>
      <c r="E206" s="197"/>
      <c r="F206" s="197"/>
      <c r="G206" s="197"/>
      <c r="H206" s="197"/>
      <c r="I206" s="197" t="s">
        <v>1581</v>
      </c>
      <c r="J206" s="197"/>
      <c r="K206" s="197"/>
      <c r="L206" s="197"/>
      <c r="M206" s="197"/>
      <c r="N206" s="197"/>
      <c r="O206" s="197"/>
      <c r="P206" s="198">
        <v>44441</v>
      </c>
      <c r="Q206" s="198">
        <v>44441</v>
      </c>
      <c r="R206" s="199"/>
      <c r="S206" s="200">
        <v>1</v>
      </c>
      <c r="T206" s="200">
        <v>0</v>
      </c>
      <c r="U206" s="200">
        <v>1</v>
      </c>
      <c r="V206" s="200">
        <v>0</v>
      </c>
      <c r="W206" s="198"/>
      <c r="X206" s="198"/>
      <c r="Y206" s="201">
        <v>0</v>
      </c>
      <c r="Z206" s="202">
        <v>0</v>
      </c>
      <c r="AA206" s="200"/>
      <c r="AB206" s="199" t="s">
        <v>1883</v>
      </c>
      <c r="AC206" s="165"/>
      <c r="AD206" s="203">
        <v>0</v>
      </c>
      <c r="AE206" s="205">
        <v>0</v>
      </c>
      <c r="AF206" s="137"/>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c r="BC206" s="138"/>
      <c r="BD206" s="138"/>
      <c r="BE206" s="138"/>
      <c r="BF206" s="138"/>
      <c r="BG206" s="138"/>
      <c r="BH206" s="138"/>
      <c r="BI206" s="138"/>
      <c r="BJ206" s="138"/>
      <c r="BK206" s="138"/>
      <c r="BL206" s="138"/>
      <c r="BM206" s="138"/>
      <c r="BN206" s="138" t="str">
        <f>"   " &amp; TEXT(AE206,"#0.00%") &amp; " " &amp; "케이블성단" &amp; "(김명석부장)" &amp; " " &amp; IF(P206="","",TEXT(P206,"M/D-")) &amp; IF(Q206="","",TEXT(Q206,"M/D")) &amp; " "</f>
        <v xml:space="preserve">   0.00% 케이블성단(김명석부장) 9/2-9/2 </v>
      </c>
      <c r="BO206" s="138"/>
      <c r="BP206" s="138"/>
      <c r="BQ206" s="138"/>
      <c r="BR206" s="138"/>
      <c r="BS206" s="138"/>
      <c r="BT206" s="138"/>
      <c r="BU206" s="138"/>
      <c r="BV206" s="138"/>
      <c r="BW206" s="138"/>
      <c r="BX206" s="138"/>
      <c r="BY206" s="138"/>
      <c r="BZ206" s="138"/>
      <c r="CA206" s="138"/>
      <c r="CB206" s="138"/>
      <c r="CC206" s="138"/>
      <c r="CD206" s="138"/>
      <c r="CE206" s="138"/>
      <c r="CF206" s="138"/>
      <c r="CG206" s="138"/>
      <c r="CH206" s="138"/>
      <c r="CI206" s="138"/>
      <c r="CJ206" s="138"/>
      <c r="CK206" s="138"/>
      <c r="CL206" s="138"/>
      <c r="CM206" s="138"/>
      <c r="CN206" s="138"/>
      <c r="CO206" s="138"/>
      <c r="CP206" s="138"/>
      <c r="CQ206" s="138"/>
      <c r="CR206" s="138"/>
      <c r="CS206" s="138"/>
    </row>
    <row r="207" spans="1:97" ht="18" customHeight="1" outlineLevel="4">
      <c r="A207" s="195"/>
      <c r="B207" s="195"/>
      <c r="C207" s="195">
        <v>5</v>
      </c>
      <c r="D207" s="196" t="s">
        <v>1629</v>
      </c>
      <c r="E207" s="197"/>
      <c r="F207" s="197"/>
      <c r="G207" s="197"/>
      <c r="H207" s="197"/>
      <c r="I207" s="197" t="s">
        <v>1582</v>
      </c>
      <c r="J207" s="197"/>
      <c r="K207" s="197"/>
      <c r="L207" s="197"/>
      <c r="M207" s="197"/>
      <c r="N207" s="197"/>
      <c r="O207" s="197"/>
      <c r="P207" s="198">
        <v>44441</v>
      </c>
      <c r="Q207" s="198">
        <v>44441</v>
      </c>
      <c r="R207" s="199"/>
      <c r="S207" s="200">
        <v>1</v>
      </c>
      <c r="T207" s="200">
        <v>0</v>
      </c>
      <c r="U207" s="200">
        <v>1</v>
      </c>
      <c r="V207" s="200">
        <v>0</v>
      </c>
      <c r="W207" s="198"/>
      <c r="X207" s="198"/>
      <c r="Y207" s="201">
        <v>0</v>
      </c>
      <c r="Z207" s="202">
        <v>0</v>
      </c>
      <c r="AA207" s="200"/>
      <c r="AB207" s="199" t="s">
        <v>1883</v>
      </c>
      <c r="AC207" s="165"/>
      <c r="AD207" s="203">
        <v>0</v>
      </c>
      <c r="AE207" s="205">
        <v>0</v>
      </c>
      <c r="AF207" s="137"/>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c r="BC207" s="138"/>
      <c r="BD207" s="138"/>
      <c r="BE207" s="138"/>
      <c r="BF207" s="138"/>
      <c r="BG207" s="138"/>
      <c r="BH207" s="138"/>
      <c r="BI207" s="138"/>
      <c r="BJ207" s="138"/>
      <c r="BK207" s="138"/>
      <c r="BL207" s="138"/>
      <c r="BM207" s="138"/>
      <c r="BN207" s="138" t="str">
        <f>"   " &amp; TEXT(AE207,"#0.00%") &amp; " " &amp; "무선AP설비공사" &amp; "(김명석부장)" &amp; " " &amp; IF(P207="","",TEXT(P207,"M/D-")) &amp; IF(Q207="","",TEXT(Q207,"M/D")) &amp; " "</f>
        <v xml:space="preserve">   0.00% 무선AP설비공사(김명석부장) 9/2-9/2 </v>
      </c>
      <c r="BO207" s="138"/>
      <c r="BP207" s="138"/>
      <c r="BQ207" s="138"/>
      <c r="BR207" s="138"/>
      <c r="BS207" s="138"/>
      <c r="BT207" s="138"/>
      <c r="BU207" s="138"/>
      <c r="BV207" s="138"/>
      <c r="BW207" s="138"/>
      <c r="BX207" s="138"/>
      <c r="BY207" s="138"/>
      <c r="BZ207" s="138"/>
      <c r="CA207" s="138"/>
      <c r="CB207" s="138"/>
      <c r="CC207" s="138"/>
      <c r="CD207" s="138"/>
      <c r="CE207" s="138"/>
      <c r="CF207" s="138"/>
      <c r="CG207" s="138"/>
      <c r="CH207" s="138"/>
      <c r="CI207" s="138"/>
      <c r="CJ207" s="138"/>
      <c r="CK207" s="138"/>
      <c r="CL207" s="138"/>
      <c r="CM207" s="138"/>
      <c r="CN207" s="138"/>
      <c r="CO207" s="138"/>
      <c r="CP207" s="138"/>
      <c r="CQ207" s="138"/>
      <c r="CR207" s="138"/>
      <c r="CS207" s="138"/>
    </row>
    <row r="208" spans="1:97" ht="18" customHeight="1" outlineLevel="3">
      <c r="A208" s="195"/>
      <c r="B208" s="195"/>
      <c r="C208" s="195">
        <v>4</v>
      </c>
      <c r="D208" s="196" t="s">
        <v>1630</v>
      </c>
      <c r="E208" s="197"/>
      <c r="F208" s="197"/>
      <c r="G208" s="197"/>
      <c r="H208" s="197" t="s">
        <v>1583</v>
      </c>
      <c r="I208" s="197"/>
      <c r="J208" s="197"/>
      <c r="K208" s="197"/>
      <c r="L208" s="197"/>
      <c r="M208" s="197"/>
      <c r="N208" s="197"/>
      <c r="O208" s="197"/>
      <c r="P208" s="198">
        <v>44442</v>
      </c>
      <c r="Q208" s="198">
        <v>44442</v>
      </c>
      <c r="R208" s="199"/>
      <c r="S208" s="200">
        <v>1</v>
      </c>
      <c r="T208" s="200">
        <v>0</v>
      </c>
      <c r="U208" s="200">
        <v>1</v>
      </c>
      <c r="V208" s="200">
        <v>0</v>
      </c>
      <c r="W208" s="198"/>
      <c r="X208" s="198"/>
      <c r="Y208" s="201">
        <v>0</v>
      </c>
      <c r="Z208" s="202">
        <v>0</v>
      </c>
      <c r="AA208" s="200"/>
      <c r="AB208" s="199" t="s">
        <v>1883</v>
      </c>
      <c r="AC208" s="165"/>
      <c r="AD208" s="203">
        <v>0</v>
      </c>
      <c r="AE208" s="205">
        <v>0</v>
      </c>
      <c r="AF208" s="137"/>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c r="BC208" s="138"/>
      <c r="BD208" s="138"/>
      <c r="BE208" s="138"/>
      <c r="BF208" s="138"/>
      <c r="BG208" s="138"/>
      <c r="BH208" s="138"/>
      <c r="BI208" s="138"/>
      <c r="BJ208" s="138"/>
      <c r="BK208" s="138"/>
      <c r="BL208" s="138"/>
      <c r="BM208" s="138"/>
      <c r="BN208" s="138" t="str">
        <f>"    " &amp; TEXT(AE208,"#0.00%") &amp; " " &amp; "Network LinkTest" &amp; "(김명석부장)" &amp; " " &amp; IF(P208="","",TEXT(P208,"M/D-")) &amp; IF(Q208="","",TEXT(Q208,"M/D")) &amp; " "</f>
        <v xml:space="preserve">    0.00% Network LinkTest(김명석부장) 9/3-9/3 </v>
      </c>
      <c r="BO208" s="138"/>
      <c r="BP208" s="138"/>
      <c r="BQ208" s="138"/>
      <c r="BR208" s="138"/>
      <c r="BS208" s="138"/>
      <c r="BT208" s="138"/>
      <c r="BU208" s="138"/>
      <c r="BV208" s="138"/>
      <c r="BW208" s="138"/>
      <c r="BX208" s="138"/>
      <c r="BY208" s="138"/>
      <c r="BZ208" s="138"/>
      <c r="CA208" s="138"/>
      <c r="CB208" s="138"/>
      <c r="CC208" s="138"/>
      <c r="CD208" s="138"/>
      <c r="CE208" s="138"/>
      <c r="CF208" s="138"/>
      <c r="CG208" s="138"/>
      <c r="CH208" s="138"/>
      <c r="CI208" s="138"/>
      <c r="CJ208" s="138"/>
      <c r="CK208" s="138"/>
      <c r="CL208" s="138"/>
      <c r="CM208" s="138"/>
      <c r="CN208" s="138"/>
      <c r="CO208" s="138"/>
      <c r="CP208" s="138"/>
      <c r="CQ208" s="138"/>
      <c r="CR208" s="138"/>
      <c r="CS208" s="138"/>
    </row>
    <row r="209" spans="1:97" ht="18" customHeight="1" outlineLevel="3">
      <c r="A209" s="195"/>
      <c r="B209" s="195"/>
      <c r="C209" s="195">
        <v>4</v>
      </c>
      <c r="D209" s="196" t="s">
        <v>1631</v>
      </c>
      <c r="E209" s="197"/>
      <c r="F209" s="197"/>
      <c r="G209" s="197"/>
      <c r="H209" s="197" t="s">
        <v>1584</v>
      </c>
      <c r="I209" s="197"/>
      <c r="J209" s="197"/>
      <c r="K209" s="197"/>
      <c r="L209" s="197"/>
      <c r="M209" s="197"/>
      <c r="N209" s="197"/>
      <c r="O209" s="197"/>
      <c r="P209" s="198">
        <v>44443</v>
      </c>
      <c r="Q209" s="198">
        <v>44443</v>
      </c>
      <c r="R209" s="199"/>
      <c r="S209" s="200">
        <v>0</v>
      </c>
      <c r="T209" s="200">
        <v>0</v>
      </c>
      <c r="U209" s="200">
        <v>0</v>
      </c>
      <c r="V209" s="200">
        <v>0</v>
      </c>
      <c r="W209" s="198"/>
      <c r="X209" s="198"/>
      <c r="Y209" s="201">
        <v>0</v>
      </c>
      <c r="Z209" s="202">
        <v>0</v>
      </c>
      <c r="AA209" s="200"/>
      <c r="AB209" s="199" t="s">
        <v>1883</v>
      </c>
      <c r="AC209" s="165"/>
      <c r="AD209" s="203">
        <v>0</v>
      </c>
      <c r="AE209" s="205">
        <v>0</v>
      </c>
      <c r="AF209" s="137"/>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c r="BC209" s="138"/>
      <c r="BD209" s="138"/>
      <c r="BE209" s="138"/>
      <c r="BF209" s="138"/>
      <c r="BG209" s="138"/>
      <c r="BH209" s="138"/>
      <c r="BI209" s="138"/>
      <c r="BJ209" s="138"/>
      <c r="BK209" s="138"/>
      <c r="BL209" s="138"/>
      <c r="BM209" s="138"/>
      <c r="BN209" s="138" t="str">
        <f>"     " &amp; TEXT(AE209,"#0.00%") &amp; " " &amp; "철거(기존 케이블 및 기구)" &amp; "(김명석부장)" &amp; " " &amp; IF(P209="","",TEXT(P209,"M/D-")) &amp; IF(Q209="","",TEXT(Q209,"M/D")) &amp; " "</f>
        <v xml:space="preserve">     0.00% 철거(기존 케이블 및 기구)(김명석부장) 9/4-9/4 </v>
      </c>
      <c r="BO209" s="138"/>
      <c r="BP209" s="138"/>
      <c r="BQ209" s="138"/>
      <c r="BR209" s="138"/>
      <c r="BS209" s="138"/>
      <c r="BT209" s="138"/>
      <c r="BU209" s="138"/>
      <c r="BV209" s="138"/>
      <c r="BW209" s="138"/>
      <c r="BX209" s="138"/>
      <c r="BY209" s="138"/>
      <c r="BZ209" s="138"/>
      <c r="CA209" s="138"/>
      <c r="CB209" s="138"/>
      <c r="CC209" s="138"/>
      <c r="CD209" s="138"/>
      <c r="CE209" s="138"/>
      <c r="CF209" s="138"/>
      <c r="CG209" s="138"/>
      <c r="CH209" s="138"/>
      <c r="CI209" s="138"/>
      <c r="CJ209" s="138"/>
      <c r="CK209" s="138"/>
      <c r="CL209" s="138"/>
      <c r="CM209" s="138"/>
      <c r="CN209" s="138"/>
      <c r="CO209" s="138"/>
      <c r="CP209" s="138"/>
      <c r="CQ209" s="138"/>
      <c r="CR209" s="138"/>
      <c r="CS209" s="138"/>
    </row>
    <row r="210" spans="1:97" ht="18" customHeight="1" outlineLevel="1">
      <c r="A210" s="195"/>
      <c r="B210" s="195" t="s">
        <v>1426</v>
      </c>
      <c r="C210" s="195">
        <v>2</v>
      </c>
      <c r="D210" s="196" t="s">
        <v>1573</v>
      </c>
      <c r="E210" s="197"/>
      <c r="F210" s="197" t="s">
        <v>1543</v>
      </c>
      <c r="G210" s="197"/>
      <c r="H210" s="197"/>
      <c r="I210" s="197"/>
      <c r="J210" s="197"/>
      <c r="K210" s="197"/>
      <c r="L210" s="197"/>
      <c r="M210" s="197"/>
      <c r="N210" s="197"/>
      <c r="O210" s="197"/>
      <c r="P210" s="198">
        <v>44424</v>
      </c>
      <c r="Q210" s="198">
        <v>44435</v>
      </c>
      <c r="R210" s="199"/>
      <c r="S210" s="200">
        <v>10</v>
      </c>
      <c r="T210" s="200">
        <v>0</v>
      </c>
      <c r="U210" s="200">
        <v>10</v>
      </c>
      <c r="V210" s="200">
        <v>0</v>
      </c>
      <c r="W210" s="198"/>
      <c r="X210" s="198"/>
      <c r="Y210" s="201">
        <v>0</v>
      </c>
      <c r="Z210" s="202">
        <v>0</v>
      </c>
      <c r="AA210" s="200"/>
      <c r="AB210" s="199" t="s">
        <v>1632</v>
      </c>
      <c r="AC210" s="165"/>
      <c r="AD210" s="203">
        <v>0</v>
      </c>
      <c r="AE210" s="204">
        <v>0</v>
      </c>
      <c r="AF210" s="137"/>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c r="BJ210" s="138"/>
      <c r="BK210" s="138"/>
      <c r="BL210" s="138" t="str">
        <f>"" &amp; TEXT(AE210,"#0.00%") &amp; " " &amp; "전산실 공사" &amp; "(오경)" &amp; " " &amp; IF(P210="","",TEXT(P210,"M/D-")) &amp; IF(Q210="","",TEXT(Q210,"M/D")) &amp; " "</f>
        <v xml:space="preserve">0.00% 전산실 공사(오경) 8/16-8/27 </v>
      </c>
      <c r="BM210" s="138"/>
      <c r="BN210" s="138"/>
      <c r="BO210" s="138"/>
      <c r="BP210" s="138"/>
      <c r="BQ210" s="138"/>
      <c r="BR210" s="138"/>
      <c r="BS210" s="138"/>
      <c r="BT210" s="138"/>
      <c r="BU210" s="138"/>
      <c r="BV210" s="138"/>
      <c r="BW210" s="138"/>
      <c r="BX210" s="138"/>
      <c r="BY210" s="138"/>
      <c r="BZ210" s="138"/>
      <c r="CA210" s="138"/>
      <c r="CB210" s="138"/>
      <c r="CC210" s="138"/>
      <c r="CD210" s="138"/>
      <c r="CE210" s="138"/>
      <c r="CF210" s="138"/>
      <c r="CG210" s="138"/>
      <c r="CH210" s="138"/>
      <c r="CI210" s="138"/>
      <c r="CJ210" s="138"/>
      <c r="CK210" s="138"/>
      <c r="CL210" s="138"/>
      <c r="CM210" s="138"/>
      <c r="CN210" s="138"/>
      <c r="CO210" s="138"/>
      <c r="CP210" s="138"/>
      <c r="CQ210" s="138"/>
      <c r="CR210" s="138"/>
      <c r="CS210" s="138"/>
    </row>
    <row r="211" spans="1:97" ht="18" customHeight="1" outlineLevel="2">
      <c r="A211" s="195"/>
      <c r="B211" s="195"/>
      <c r="C211" s="195">
        <v>3</v>
      </c>
      <c r="D211" s="196" t="s">
        <v>1544</v>
      </c>
      <c r="E211" s="197"/>
      <c r="F211" s="197"/>
      <c r="G211" s="197" t="s">
        <v>1545</v>
      </c>
      <c r="H211" s="197"/>
      <c r="I211" s="197"/>
      <c r="J211" s="197"/>
      <c r="K211" s="197"/>
      <c r="L211" s="197"/>
      <c r="M211" s="197"/>
      <c r="N211" s="197"/>
      <c r="O211" s="197"/>
      <c r="P211" s="198">
        <v>44424</v>
      </c>
      <c r="Q211" s="198">
        <v>44428</v>
      </c>
      <c r="R211" s="199"/>
      <c r="S211" s="200">
        <v>5</v>
      </c>
      <c r="T211" s="200">
        <v>0</v>
      </c>
      <c r="U211" s="200">
        <v>5</v>
      </c>
      <c r="V211" s="200">
        <v>0</v>
      </c>
      <c r="W211" s="198"/>
      <c r="X211" s="198"/>
      <c r="Y211" s="201">
        <v>0</v>
      </c>
      <c r="Z211" s="202">
        <v>0</v>
      </c>
      <c r="AA211" s="200"/>
      <c r="AB211" s="199" t="s">
        <v>1883</v>
      </c>
      <c r="AC211" s="165"/>
      <c r="AD211" s="203">
        <v>0</v>
      </c>
      <c r="AE211" s="205">
        <v>0</v>
      </c>
      <c r="AF211" s="137"/>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c r="BC211" s="138"/>
      <c r="BD211" s="138"/>
      <c r="BE211" s="138"/>
      <c r="BF211" s="138"/>
      <c r="BG211" s="138"/>
      <c r="BH211" s="138"/>
      <c r="BI211" s="138"/>
      <c r="BJ211" s="138"/>
      <c r="BK211" s="138"/>
      <c r="BL211" s="138" t="str">
        <f>"" &amp; TEXT(AE211,"#0.00%") &amp; " " &amp; "SNCT 분전반 설치" &amp; "(김명석부장)" &amp; " " &amp; IF(P211="","",TEXT(P211,"M/D-")) &amp; IF(Q211="","",TEXT(Q211,"M/D")) &amp; " "</f>
        <v xml:space="preserve">0.00% SNCT 분전반 설치(김명석부장) 8/16-8/20 </v>
      </c>
      <c r="BM211" s="138"/>
      <c r="BN211" s="138"/>
      <c r="BO211" s="138"/>
      <c r="BP211" s="138"/>
      <c r="BQ211" s="138"/>
      <c r="BR211" s="138"/>
      <c r="BS211" s="138"/>
      <c r="BT211" s="138"/>
      <c r="BU211" s="138"/>
      <c r="BV211" s="138"/>
      <c r="BW211" s="138"/>
      <c r="BX211" s="138"/>
      <c r="BY211" s="138"/>
      <c r="BZ211" s="138"/>
      <c r="CA211" s="138"/>
      <c r="CB211" s="138"/>
      <c r="CC211" s="138"/>
      <c r="CD211" s="138"/>
      <c r="CE211" s="138"/>
      <c r="CF211" s="138"/>
      <c r="CG211" s="138"/>
      <c r="CH211" s="138"/>
      <c r="CI211" s="138"/>
      <c r="CJ211" s="138"/>
      <c r="CK211" s="138"/>
      <c r="CL211" s="138"/>
      <c r="CM211" s="138"/>
      <c r="CN211" s="138"/>
      <c r="CO211" s="138"/>
      <c r="CP211" s="138"/>
      <c r="CQ211" s="138"/>
      <c r="CR211" s="138"/>
      <c r="CS211" s="138"/>
    </row>
    <row r="212" spans="1:97" ht="18" customHeight="1" outlineLevel="2">
      <c r="A212" s="195"/>
      <c r="B212" s="195"/>
      <c r="C212" s="195">
        <v>3</v>
      </c>
      <c r="D212" s="196" t="s">
        <v>1546</v>
      </c>
      <c r="E212" s="197"/>
      <c r="F212" s="197"/>
      <c r="G212" s="197" t="s">
        <v>1547</v>
      </c>
      <c r="H212" s="197"/>
      <c r="I212" s="197"/>
      <c r="J212" s="197"/>
      <c r="K212" s="197"/>
      <c r="L212" s="197"/>
      <c r="M212" s="197"/>
      <c r="N212" s="197"/>
      <c r="O212" s="197"/>
      <c r="P212" s="198">
        <v>44431</v>
      </c>
      <c r="Q212" s="198">
        <v>44435</v>
      </c>
      <c r="R212" s="199"/>
      <c r="S212" s="200">
        <v>5</v>
      </c>
      <c r="T212" s="200">
        <v>0</v>
      </c>
      <c r="U212" s="200">
        <v>5</v>
      </c>
      <c r="V212" s="200">
        <v>0</v>
      </c>
      <c r="W212" s="198"/>
      <c r="X212" s="198"/>
      <c r="Y212" s="201">
        <v>0</v>
      </c>
      <c r="Z212" s="202">
        <v>0</v>
      </c>
      <c r="AA212" s="200"/>
      <c r="AB212" s="199" t="s">
        <v>1883</v>
      </c>
      <c r="AC212" s="165"/>
      <c r="AD212" s="203">
        <v>0</v>
      </c>
      <c r="AE212" s="205">
        <v>0</v>
      </c>
      <c r="AF212" s="137"/>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c r="BC212" s="138"/>
      <c r="BD212" s="138"/>
      <c r="BE212" s="138"/>
      <c r="BF212" s="138"/>
      <c r="BG212" s="138"/>
      <c r="BH212" s="138"/>
      <c r="BI212" s="138"/>
      <c r="BJ212" s="138"/>
      <c r="BK212" s="138"/>
      <c r="BL212" s="138"/>
      <c r="BM212" s="138" t="str">
        <f>"" &amp; TEXT(AE212,"#0.00%") &amp; " " &amp; "UPS 전원 설치(10K)" &amp; "(김명석부장)" &amp; " " &amp; IF(P212="","",TEXT(P212,"M/D-")) &amp; IF(Q212="","",TEXT(Q212,"M/D")) &amp; " "</f>
        <v xml:space="preserve">0.00% UPS 전원 설치(10K)(김명석부장) 8/23-8/27 </v>
      </c>
      <c r="BN212" s="138"/>
      <c r="BO212" s="138"/>
      <c r="BP212" s="138"/>
      <c r="BQ212" s="138"/>
      <c r="BR212" s="138"/>
      <c r="BS212" s="138"/>
      <c r="BT212" s="138"/>
      <c r="BU212" s="138"/>
      <c r="BV212" s="138"/>
      <c r="BW212" s="138"/>
      <c r="BX212" s="138"/>
      <c r="BY212" s="138"/>
      <c r="BZ212" s="138"/>
      <c r="CA212" s="138"/>
      <c r="CB212" s="138"/>
      <c r="CC212" s="138"/>
      <c r="CD212" s="138"/>
      <c r="CE212" s="138"/>
      <c r="CF212" s="138"/>
      <c r="CG212" s="138"/>
      <c r="CH212" s="138"/>
      <c r="CI212" s="138"/>
      <c r="CJ212" s="138"/>
      <c r="CK212" s="138"/>
      <c r="CL212" s="138"/>
      <c r="CM212" s="138"/>
      <c r="CN212" s="138"/>
      <c r="CO212" s="138"/>
      <c r="CP212" s="138"/>
      <c r="CQ212" s="138"/>
      <c r="CR212" s="138"/>
      <c r="CS212" s="138"/>
    </row>
    <row r="213" spans="1:97" ht="18" customHeight="1">
      <c r="A213" s="209"/>
      <c r="B213" s="209"/>
      <c r="C213" s="209"/>
      <c r="D213" s="210"/>
      <c r="E213" s="211"/>
      <c r="F213" s="211"/>
      <c r="G213" s="211"/>
      <c r="H213" s="211"/>
      <c r="I213" s="211"/>
      <c r="J213" s="211"/>
      <c r="K213" s="211"/>
      <c r="L213" s="211"/>
      <c r="M213" s="211"/>
      <c r="N213" s="211"/>
      <c r="O213" s="211"/>
      <c r="P213" s="212"/>
      <c r="Q213" s="212"/>
      <c r="R213" s="213"/>
      <c r="S213" s="214"/>
      <c r="T213" s="214"/>
      <c r="U213" s="214"/>
      <c r="V213" s="214"/>
      <c r="W213" s="212"/>
      <c r="X213" s="212"/>
      <c r="Y213" s="215"/>
      <c r="Z213" s="216"/>
      <c r="AA213" s="214"/>
      <c r="AB213" s="213"/>
      <c r="AC213" s="217"/>
      <c r="AD213" s="218"/>
      <c r="AE213" s="219"/>
      <c r="AF213" s="139"/>
      <c r="AG213" s="139"/>
      <c r="AH213" s="139"/>
      <c r="AI213" s="139"/>
      <c r="AJ213" s="139"/>
      <c r="AK213" s="139"/>
      <c r="AL213" s="139"/>
      <c r="AM213" s="139"/>
      <c r="AN213" s="139"/>
      <c r="AO213" s="139"/>
      <c r="AP213" s="139"/>
      <c r="AQ213" s="139"/>
      <c r="AR213" s="139"/>
      <c r="AS213" s="139"/>
      <c r="AT213" s="139"/>
      <c r="AU213" s="139"/>
      <c r="AV213" s="139"/>
      <c r="AW213" s="139"/>
      <c r="AX213" s="139"/>
      <c r="AY213" s="139"/>
      <c r="AZ213" s="139"/>
      <c r="BA213" s="139"/>
      <c r="BB213" s="139"/>
      <c r="BC213" s="139"/>
      <c r="BD213" s="139"/>
      <c r="BE213" s="139"/>
      <c r="BF213" s="139"/>
      <c r="BG213" s="139"/>
      <c r="BH213" s="139"/>
      <c r="BI213" s="139"/>
      <c r="BJ213" s="139"/>
      <c r="BK213" s="139"/>
      <c r="BL213" s="139"/>
      <c r="BM213" s="139"/>
      <c r="BN213" s="139"/>
      <c r="BO213" s="139"/>
      <c r="BP213" s="139"/>
      <c r="BQ213" s="139"/>
      <c r="BR213" s="139"/>
      <c r="BS213" s="139"/>
      <c r="BT213" s="139"/>
      <c r="BU213" s="139"/>
      <c r="BV213" s="139"/>
      <c r="BW213" s="139"/>
      <c r="BX213" s="139"/>
      <c r="BY213" s="139"/>
      <c r="BZ213" s="139"/>
      <c r="CA213" s="139"/>
      <c r="CB213" s="139"/>
      <c r="CC213" s="139"/>
      <c r="CD213" s="139"/>
      <c r="CE213" s="139"/>
      <c r="CF213" s="139"/>
      <c r="CG213" s="139"/>
      <c r="CH213" s="139"/>
      <c r="CI213" s="139"/>
      <c r="CJ213" s="139"/>
      <c r="CK213" s="139"/>
      <c r="CL213" s="139"/>
      <c r="CM213" s="139"/>
      <c r="CN213" s="139"/>
      <c r="CO213" s="139"/>
      <c r="CP213" s="139"/>
      <c r="CQ213" s="139"/>
      <c r="CR213" s="139"/>
      <c r="CS213" s="139"/>
    </row>
    <row r="214" spans="1:97" ht="18" customHeight="1"/>
    <row r="215" spans="1:97" ht="18" customHeight="1"/>
    <row r="216" spans="1:97" ht="18" customHeight="1"/>
    <row r="217" spans="1:97" ht="18" customHeight="1"/>
    <row r="218" spans="1:97" ht="18" customHeight="1"/>
    <row r="219" spans="1:97" ht="18" customHeight="1"/>
    <row r="220" spans="1:97" ht="18" customHeight="1"/>
    <row r="221" spans="1:97" ht="18" customHeight="1"/>
    <row r="222" spans="1:97" ht="18" customHeight="1"/>
    <row r="223" spans="1:97" ht="18" customHeight="1"/>
    <row r="224" spans="1:97" ht="18" customHeight="1"/>
    <row r="225" ht="18" customHeight="1"/>
    <row r="226" ht="18" customHeight="1"/>
    <row r="227" ht="18" customHeight="1"/>
    <row r="228" ht="18" customHeight="1"/>
    <row r="229" ht="18" customHeight="1"/>
    <row r="230" ht="18" customHeight="1"/>
    <row r="231" ht="18" customHeight="1"/>
    <row r="232" ht="18" customHeight="1"/>
    <row r="233" ht="18" customHeight="1"/>
    <row r="234" ht="18" customHeight="1"/>
    <row r="235" ht="18" customHeight="1"/>
    <row r="236" ht="18" customHeight="1"/>
    <row r="237" ht="18" customHeight="1"/>
    <row r="238" ht="18" customHeight="1"/>
    <row r="239" ht="18" customHeight="1"/>
    <row r="240" ht="18" customHeight="1"/>
    <row r="241" ht="18" customHeight="1"/>
    <row r="242" ht="18" customHeight="1"/>
    <row r="243" ht="18" customHeight="1"/>
    <row r="244" ht="18" customHeight="1"/>
    <row r="245" ht="18" customHeight="1"/>
    <row r="246" ht="18" customHeight="1"/>
    <row r="247" ht="18" customHeight="1"/>
    <row r="248" ht="18" customHeight="1"/>
    <row r="249" ht="18" customHeight="1"/>
    <row r="250" ht="18" customHeight="1"/>
  </sheetData>
  <sheetProtection formatCells="0" formatColumns="0" formatRows="0" insertColumns="0" insertRows="0" insertHyperlinks="0" deleteColumns="0" deleteRows="0" sort="0" autoFilter="0" pivotTables="0"/>
  <dataConsolidate/>
  <mergeCells count="57">
    <mergeCell ref="CJ3:CM3"/>
    <mergeCell ref="CJ2:CM2"/>
    <mergeCell ref="CN3:CQ3"/>
    <mergeCell ref="CN2:CQ2"/>
    <mergeCell ref="CR3:CU3"/>
    <mergeCell ref="CR2:CU2"/>
    <mergeCell ref="CB3:CE3"/>
    <mergeCell ref="CB2:CE2"/>
    <mergeCell ref="CF3:CI3"/>
    <mergeCell ref="CF2:CI2"/>
    <mergeCell ref="BP3:BS3"/>
    <mergeCell ref="BP2:BS2"/>
    <mergeCell ref="BT3:BW3"/>
    <mergeCell ref="BT2:BW2"/>
    <mergeCell ref="BX3:CA3"/>
    <mergeCell ref="BX2:CA2"/>
    <mergeCell ref="BD3:BG3"/>
    <mergeCell ref="BD2:BG2"/>
    <mergeCell ref="BH3:BK3"/>
    <mergeCell ref="BH2:BK2"/>
    <mergeCell ref="BL3:BO3"/>
    <mergeCell ref="BL2:BO2"/>
    <mergeCell ref="AZ3:BC3"/>
    <mergeCell ref="AZ2:BC2"/>
    <mergeCell ref="AJ3:AM3"/>
    <mergeCell ref="AJ2:AM2"/>
    <mergeCell ref="AN3:AQ3"/>
    <mergeCell ref="AN2:AQ2"/>
    <mergeCell ref="AR3:AU3"/>
    <mergeCell ref="AR2:AU2"/>
    <mergeCell ref="AV3:AY3"/>
    <mergeCell ref="AV2:AY2"/>
    <mergeCell ref="AC3:AC4"/>
    <mergeCell ref="AE3:AE4"/>
    <mergeCell ref="AD3:AD4"/>
    <mergeCell ref="AB3:AB4"/>
    <mergeCell ref="A3:A4"/>
    <mergeCell ref="B3:B4"/>
    <mergeCell ref="C3:C4"/>
    <mergeCell ref="D3:D4"/>
    <mergeCell ref="E3:N4"/>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s>
  <phoneticPr fontId="4" type="noConversion"/>
  <conditionalFormatting sqref="D5:AD212">
    <cfRule type="expression" dxfId="1" priority="2">
      <formula>($B5="G")</formula>
    </cfRule>
  </conditionalFormatting>
  <conditionalFormatting sqref="W5:X212">
    <cfRule type="expression" dxfId="0" priority="1">
      <formula>($P5&amp;$Q5&lt;&gt;$W5&amp;$X5)</formula>
    </cfRule>
  </conditionalFormatting>
  <hyperlinks>
    <hyperlink ref="AF1:BJ1" r:id="rId1" display="https://xlworks.net/xlgantt-project-scheduler/" xr:uid="{FDEF663B-575D-4A8C-9D8C-F6CAF26AAC85}"/>
  </hyperlinks>
  <pageMargins left="0.19685039370078741" right="0.15748031496062992" top="0.43307086614173229" bottom="0.39370078740157483" header="0.23622047244094491" footer="0.19685039370078741"/>
  <pageSetup paperSize="8" scale="57" fitToHeight="0" orientation="landscape" r:id="rId2"/>
  <headerFooter alignWithMargins="0">
    <oddFooter>페이지 &amp;P</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0" sqref="D30"/>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1468</v>
      </c>
      <c r="B1" s="2"/>
      <c r="C1" s="2"/>
      <c r="D1" s="2"/>
      <c r="E1" s="2"/>
      <c r="F1" s="2"/>
      <c r="G1" s="2"/>
      <c r="H1" s="2"/>
      <c r="I1" s="2"/>
      <c r="J1" s="2"/>
      <c r="K1" s="2"/>
      <c r="L1" s="293"/>
      <c r="M1" s="294"/>
      <c r="N1" s="294"/>
      <c r="O1" s="3"/>
      <c r="P1" s="3"/>
      <c r="Q1" s="3"/>
    </row>
    <row r="2" spans="1:17" s="7" customFormat="1" ht="13.8">
      <c r="A2" s="5" t="s">
        <v>1376</v>
      </c>
      <c r="B2" s="6"/>
    </row>
    <row r="3" spans="1:17" s="7" customFormat="1" ht="13.8">
      <c r="A3" s="5" t="s">
        <v>1377</v>
      </c>
      <c r="B3" s="6"/>
    </row>
    <row r="4" spans="1:17" s="7" customFormat="1" ht="13.8">
      <c r="A4" s="295"/>
      <c r="B4" s="295"/>
      <c r="C4" s="8"/>
      <c r="D4" s="9"/>
      <c r="E4" s="9"/>
      <c r="F4" s="9"/>
    </row>
    <row r="5" spans="1:17" s="15" customFormat="1" ht="13.8">
      <c r="A5" s="10"/>
      <c r="B5" s="11"/>
      <c r="C5" s="12"/>
      <c r="D5" s="13"/>
      <c r="E5" s="14"/>
      <c r="F5" s="14"/>
      <c r="G5" s="14"/>
    </row>
    <row r="6" spans="1:17" s="15" customFormat="1" ht="13.8">
      <c r="A6" s="16" t="s">
        <v>1378</v>
      </c>
      <c r="B6" s="17">
        <v>2282</v>
      </c>
      <c r="C6" s="15" t="s">
        <v>0</v>
      </c>
      <c r="D6" s="292" t="s">
        <v>1379</v>
      </c>
      <c r="E6" s="292"/>
      <c r="F6" s="292"/>
      <c r="G6" s="292"/>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1380</v>
      </c>
      <c r="B9" s="17">
        <v>92</v>
      </c>
      <c r="C9" s="15" t="s">
        <v>0</v>
      </c>
      <c r="D9" s="291" t="s">
        <v>1381</v>
      </c>
      <c r="E9" s="291"/>
      <c r="F9" s="291"/>
      <c r="G9" s="291"/>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1374</v>
      </c>
      <c r="B12" s="17">
        <v>63</v>
      </c>
      <c r="C12" s="15" t="s">
        <v>0</v>
      </c>
      <c r="D12" s="296" t="s">
        <v>1375</v>
      </c>
      <c r="E12" s="291"/>
      <c r="F12" s="291"/>
      <c r="G12" s="291"/>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1382</v>
      </c>
      <c r="B15" s="17">
        <v>55</v>
      </c>
      <c r="C15" s="15" t="s">
        <v>0</v>
      </c>
      <c r="D15" s="291" t="s">
        <v>1383</v>
      </c>
      <c r="E15" s="291"/>
      <c r="F15" s="291"/>
      <c r="G15" s="291"/>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1384</v>
      </c>
      <c r="B18" s="39">
        <v>4.0315512708150744E-2</v>
      </c>
      <c r="D18" s="291" t="s">
        <v>1385</v>
      </c>
      <c r="E18" s="291"/>
      <c r="F18" s="291"/>
      <c r="G18" s="291"/>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1386</v>
      </c>
      <c r="B21" s="39">
        <v>2.7607361963190184E-2</v>
      </c>
      <c r="D21" s="291" t="s">
        <v>1387</v>
      </c>
      <c r="E21" s="291"/>
      <c r="F21" s="291"/>
      <c r="G21" s="291"/>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1388</v>
      </c>
      <c r="B24" s="49">
        <f>ACTUAL_RATE-PLANNED_RATE</f>
        <v>-1.270815074496056E-2</v>
      </c>
      <c r="D24" s="292" t="s">
        <v>1389</v>
      </c>
      <c r="E24" s="292"/>
      <c r="F24" s="292"/>
      <c r="G24" s="292"/>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139"/>
  <sheetViews>
    <sheetView showGridLines="0" zoomScale="80" zoomScaleNormal="80" workbookViewId="0">
      <pane ySplit="6" topLeftCell="A85" activePane="bottomLeft" state="frozen"/>
      <selection pane="bottomLeft" activeCell="T99" sqref="T99"/>
    </sheetView>
  </sheetViews>
  <sheetFormatPr defaultColWidth="9.09765625" defaultRowHeight="14.4" outlineLevelRow="2"/>
  <cols>
    <col min="1" max="1" width="20.69921875" style="132" customWidth="1"/>
    <col min="2" max="2" width="9" style="132" bestFit="1" customWidth="1"/>
    <col min="3" max="3" width="32.69921875" style="132" bestFit="1" customWidth="1"/>
    <col min="4" max="5" width="10.59765625" style="132" bestFit="1" customWidth="1"/>
    <col min="6" max="6" width="8.59765625" style="164" bestFit="1" customWidth="1"/>
    <col min="7" max="9" width="9.19921875" style="90" bestFit="1" customWidth="1"/>
    <col min="10" max="11" width="8.69921875" style="90" bestFit="1" customWidth="1"/>
    <col min="12" max="12" width="9.09765625" style="90"/>
    <col min="13" max="14" width="10.59765625" style="132" bestFit="1" customWidth="1"/>
    <col min="15" max="15" width="9.19921875" style="132" bestFit="1" customWidth="1"/>
    <col min="16" max="16384" width="9.09765625" style="132"/>
  </cols>
  <sheetData>
    <row r="1" spans="1:15" ht="37.049999999999997" customHeight="1">
      <c r="A1" s="62" t="s">
        <v>1721</v>
      </c>
    </row>
    <row r="2" spans="1:15">
      <c r="A2" s="132" t="s">
        <v>607</v>
      </c>
    </row>
    <row r="3" spans="1:15">
      <c r="A3" s="132" t="s">
        <v>610</v>
      </c>
    </row>
    <row r="6" spans="1:15" ht="43.2">
      <c r="A6" s="63" t="s">
        <v>1718</v>
      </c>
      <c r="B6" s="89" t="s">
        <v>341</v>
      </c>
      <c r="C6" s="89" t="s">
        <v>1722</v>
      </c>
      <c r="D6" s="89" t="s">
        <v>559</v>
      </c>
      <c r="E6" s="89" t="s">
        <v>560</v>
      </c>
      <c r="F6" s="166" t="s">
        <v>1723</v>
      </c>
      <c r="G6" s="167" t="s">
        <v>1724</v>
      </c>
      <c r="H6" s="167" t="s">
        <v>1725</v>
      </c>
      <c r="I6" s="167" t="s">
        <v>1726</v>
      </c>
      <c r="J6" s="167" t="s">
        <v>773</v>
      </c>
      <c r="K6" s="167" t="s">
        <v>603</v>
      </c>
      <c r="L6" s="167" t="s">
        <v>917</v>
      </c>
      <c r="M6" s="89" t="s">
        <v>573</v>
      </c>
      <c r="N6" s="89" t="s">
        <v>574</v>
      </c>
      <c r="O6" s="169" t="s">
        <v>1727</v>
      </c>
    </row>
    <row r="7" spans="1:15" ht="15" outlineLevel="2">
      <c r="A7" s="170" t="s">
        <v>1406</v>
      </c>
      <c r="B7" s="171" t="s">
        <v>1281</v>
      </c>
      <c r="C7" s="170" t="s">
        <v>1282</v>
      </c>
      <c r="D7" s="168">
        <v>44214</v>
      </c>
      <c r="E7" s="168">
        <v>44253</v>
      </c>
      <c r="F7" s="164">
        <v>1</v>
      </c>
      <c r="G7" s="90">
        <v>28</v>
      </c>
      <c r="H7" s="90">
        <v>0</v>
      </c>
      <c r="I7" s="90">
        <v>0</v>
      </c>
      <c r="J7" s="164">
        <v>0</v>
      </c>
      <c r="K7" s="164">
        <v>0</v>
      </c>
      <c r="L7" s="164">
        <f t="shared" ref="L7:L38" si="0">K7-J7</f>
        <v>0</v>
      </c>
      <c r="O7" s="132">
        <v>0</v>
      </c>
    </row>
    <row r="8" spans="1:15" ht="15" outlineLevel="2">
      <c r="A8" s="170" t="s">
        <v>1406</v>
      </c>
      <c r="B8" s="171" t="s">
        <v>1284</v>
      </c>
      <c r="C8" s="170" t="s">
        <v>1655</v>
      </c>
      <c r="D8" s="168">
        <v>44216</v>
      </c>
      <c r="E8" s="168">
        <v>44217</v>
      </c>
      <c r="F8" s="164">
        <v>1</v>
      </c>
      <c r="G8" s="90">
        <v>2</v>
      </c>
      <c r="H8" s="90">
        <v>0</v>
      </c>
      <c r="I8" s="90">
        <v>0</v>
      </c>
      <c r="J8" s="164">
        <v>0</v>
      </c>
      <c r="K8" s="164">
        <v>0</v>
      </c>
      <c r="L8" s="164">
        <f t="shared" si="0"/>
        <v>0</v>
      </c>
      <c r="O8" s="132">
        <v>0</v>
      </c>
    </row>
    <row r="9" spans="1:15" ht="15" outlineLevel="2">
      <c r="A9" s="170" t="s">
        <v>1406</v>
      </c>
      <c r="B9" s="171" t="s">
        <v>1285</v>
      </c>
      <c r="C9" s="170" t="s">
        <v>1656</v>
      </c>
      <c r="D9" s="168">
        <v>44218</v>
      </c>
      <c r="E9" s="168">
        <v>44218</v>
      </c>
      <c r="F9" s="164">
        <v>1</v>
      </c>
      <c r="G9" s="90">
        <v>1</v>
      </c>
      <c r="H9" s="90">
        <v>0</v>
      </c>
      <c r="I9" s="90">
        <v>0</v>
      </c>
      <c r="J9" s="164">
        <v>0</v>
      </c>
      <c r="K9" s="164">
        <v>0</v>
      </c>
      <c r="L9" s="164">
        <f t="shared" si="0"/>
        <v>0</v>
      </c>
      <c r="O9" s="132">
        <v>0</v>
      </c>
    </row>
    <row r="10" spans="1:15" ht="15" outlineLevel="2">
      <c r="A10" s="170" t="s">
        <v>1406</v>
      </c>
      <c r="B10" s="171" t="s">
        <v>1480</v>
      </c>
      <c r="C10" s="170" t="s">
        <v>1585</v>
      </c>
      <c r="D10" s="168">
        <v>44222</v>
      </c>
      <c r="E10" s="168">
        <v>44222</v>
      </c>
      <c r="F10" s="164">
        <v>1</v>
      </c>
      <c r="G10" s="90">
        <v>1</v>
      </c>
      <c r="H10" s="90">
        <v>0</v>
      </c>
      <c r="I10" s="90">
        <v>0</v>
      </c>
      <c r="J10" s="164">
        <v>0</v>
      </c>
      <c r="K10" s="164">
        <v>0</v>
      </c>
      <c r="L10" s="164">
        <f t="shared" si="0"/>
        <v>0</v>
      </c>
      <c r="O10" s="132">
        <v>0</v>
      </c>
    </row>
    <row r="11" spans="1:15" ht="15" outlineLevel="2">
      <c r="A11" s="170" t="s">
        <v>1406</v>
      </c>
      <c r="B11" s="171" t="s">
        <v>1481</v>
      </c>
      <c r="C11" s="170" t="s">
        <v>1657</v>
      </c>
      <c r="D11" s="168">
        <v>44224</v>
      </c>
      <c r="E11" s="168">
        <v>44224</v>
      </c>
      <c r="F11" s="164">
        <v>1</v>
      </c>
      <c r="G11" s="90">
        <v>1</v>
      </c>
      <c r="H11" s="90">
        <v>0</v>
      </c>
      <c r="I11" s="90">
        <v>0</v>
      </c>
      <c r="J11" s="164">
        <v>0</v>
      </c>
      <c r="K11" s="164">
        <v>0</v>
      </c>
      <c r="L11" s="164">
        <f t="shared" si="0"/>
        <v>0</v>
      </c>
      <c r="O11" s="132">
        <v>0</v>
      </c>
    </row>
    <row r="12" spans="1:15" ht="15" outlineLevel="2">
      <c r="A12" s="170" t="s">
        <v>1406</v>
      </c>
      <c r="B12" s="171" t="s">
        <v>1482</v>
      </c>
      <c r="C12" s="170" t="s">
        <v>1658</v>
      </c>
      <c r="D12" s="168">
        <v>44215</v>
      </c>
      <c r="E12" s="168">
        <v>44222</v>
      </c>
      <c r="F12" s="164">
        <v>1</v>
      </c>
      <c r="G12" s="90">
        <v>6</v>
      </c>
      <c r="H12" s="90">
        <v>0</v>
      </c>
      <c r="I12" s="90">
        <v>0</v>
      </c>
      <c r="J12" s="164">
        <v>0</v>
      </c>
      <c r="K12" s="164">
        <v>0</v>
      </c>
      <c r="L12" s="164">
        <f t="shared" si="0"/>
        <v>0</v>
      </c>
      <c r="O12" s="132">
        <v>0</v>
      </c>
    </row>
    <row r="13" spans="1:15" ht="15" outlineLevel="2">
      <c r="A13" s="170" t="s">
        <v>1406</v>
      </c>
      <c r="B13" s="171" t="s">
        <v>1286</v>
      </c>
      <c r="C13" s="170" t="s">
        <v>1287</v>
      </c>
      <c r="D13" s="168">
        <v>44256</v>
      </c>
      <c r="E13" s="168">
        <v>44286</v>
      </c>
      <c r="F13" s="164">
        <v>1</v>
      </c>
      <c r="G13" s="90">
        <v>22</v>
      </c>
      <c r="H13" s="90">
        <v>0</v>
      </c>
      <c r="I13" s="90">
        <v>0</v>
      </c>
      <c r="J13" s="164">
        <v>0</v>
      </c>
      <c r="K13" s="164">
        <v>0</v>
      </c>
      <c r="L13" s="164">
        <f t="shared" si="0"/>
        <v>0</v>
      </c>
      <c r="O13" s="132">
        <v>0</v>
      </c>
    </row>
    <row r="14" spans="1:15" ht="15" outlineLevel="2">
      <c r="A14" s="170" t="s">
        <v>1406</v>
      </c>
      <c r="B14" s="171" t="s">
        <v>1290</v>
      </c>
      <c r="C14" s="170" t="s">
        <v>1292</v>
      </c>
      <c r="D14" s="168">
        <v>44257</v>
      </c>
      <c r="E14" s="168">
        <v>44316</v>
      </c>
      <c r="F14" s="164">
        <v>1</v>
      </c>
      <c r="G14" s="90">
        <v>44</v>
      </c>
      <c r="H14" s="90">
        <v>0</v>
      </c>
      <c r="I14" s="90">
        <v>0</v>
      </c>
      <c r="J14" s="164">
        <v>0</v>
      </c>
      <c r="K14" s="164">
        <v>0</v>
      </c>
      <c r="L14" s="164">
        <f t="shared" si="0"/>
        <v>0</v>
      </c>
      <c r="O14" s="132">
        <v>0</v>
      </c>
    </row>
    <row r="15" spans="1:15" ht="15" outlineLevel="2">
      <c r="A15" s="170" t="s">
        <v>1406</v>
      </c>
      <c r="B15" s="171" t="s">
        <v>1291</v>
      </c>
      <c r="C15" s="170" t="s">
        <v>1293</v>
      </c>
      <c r="D15" s="168">
        <v>44257</v>
      </c>
      <c r="E15" s="168">
        <v>44316</v>
      </c>
      <c r="F15" s="164">
        <v>1</v>
      </c>
      <c r="G15" s="90">
        <v>44</v>
      </c>
      <c r="H15" s="90">
        <v>0</v>
      </c>
      <c r="I15" s="90">
        <v>0</v>
      </c>
      <c r="J15" s="164">
        <v>0</v>
      </c>
      <c r="K15" s="164">
        <v>0</v>
      </c>
      <c r="L15" s="164">
        <f t="shared" si="0"/>
        <v>0</v>
      </c>
      <c r="O15" s="132">
        <v>0</v>
      </c>
    </row>
    <row r="16" spans="1:15" ht="15" outlineLevel="2">
      <c r="A16" s="170" t="s">
        <v>1406</v>
      </c>
      <c r="B16" s="171" t="s">
        <v>1533</v>
      </c>
      <c r="C16" s="170" t="s">
        <v>1676</v>
      </c>
      <c r="D16" s="168">
        <v>44319</v>
      </c>
      <c r="E16" s="168">
        <v>44498</v>
      </c>
      <c r="F16" s="164">
        <v>1</v>
      </c>
      <c r="G16" s="90">
        <v>125</v>
      </c>
      <c r="H16" s="90">
        <v>0</v>
      </c>
      <c r="I16" s="90">
        <v>0</v>
      </c>
      <c r="J16" s="164">
        <v>0</v>
      </c>
      <c r="K16" s="164">
        <v>0</v>
      </c>
      <c r="L16" s="164">
        <f t="shared" si="0"/>
        <v>0</v>
      </c>
      <c r="O16" s="132">
        <v>0</v>
      </c>
    </row>
    <row r="17" spans="1:15" ht="15" outlineLevel="2">
      <c r="A17" s="170" t="s">
        <v>1406</v>
      </c>
      <c r="B17" s="171" t="s">
        <v>1534</v>
      </c>
      <c r="C17" s="170" t="s">
        <v>1673</v>
      </c>
      <c r="D17" s="168">
        <v>44319</v>
      </c>
      <c r="E17" s="168">
        <v>44498</v>
      </c>
      <c r="F17" s="164">
        <v>1</v>
      </c>
      <c r="G17" s="90">
        <v>125</v>
      </c>
      <c r="H17" s="90">
        <v>0</v>
      </c>
      <c r="I17" s="90">
        <v>0</v>
      </c>
      <c r="J17" s="164">
        <v>0</v>
      </c>
      <c r="K17" s="164">
        <v>0</v>
      </c>
      <c r="L17" s="164">
        <f t="shared" si="0"/>
        <v>0</v>
      </c>
      <c r="O17" s="132">
        <v>0</v>
      </c>
    </row>
    <row r="18" spans="1:15" ht="15" outlineLevel="2">
      <c r="A18" s="170" t="s">
        <v>1406</v>
      </c>
      <c r="B18" s="171" t="s">
        <v>1535</v>
      </c>
      <c r="C18" s="170" t="s">
        <v>1671</v>
      </c>
      <c r="D18" s="168">
        <v>44319</v>
      </c>
      <c r="E18" s="168">
        <v>44498</v>
      </c>
      <c r="F18" s="164">
        <v>1</v>
      </c>
      <c r="G18" s="90">
        <v>125</v>
      </c>
      <c r="H18" s="90">
        <v>0</v>
      </c>
      <c r="I18" s="90">
        <v>0</v>
      </c>
      <c r="J18" s="164">
        <v>0</v>
      </c>
      <c r="K18" s="164">
        <v>0</v>
      </c>
      <c r="L18" s="164">
        <f t="shared" si="0"/>
        <v>0</v>
      </c>
      <c r="O18" s="132">
        <v>0</v>
      </c>
    </row>
    <row r="19" spans="1:15" ht="15" outlineLevel="2">
      <c r="A19" s="170" t="s">
        <v>1406</v>
      </c>
      <c r="B19" s="171" t="s">
        <v>1536</v>
      </c>
      <c r="C19" s="170" t="s">
        <v>1674</v>
      </c>
      <c r="D19" s="168">
        <v>44319</v>
      </c>
      <c r="E19" s="168">
        <v>44498</v>
      </c>
      <c r="F19" s="164">
        <v>1</v>
      </c>
      <c r="G19" s="90">
        <v>125</v>
      </c>
      <c r="H19" s="90">
        <v>0</v>
      </c>
      <c r="I19" s="90">
        <v>0</v>
      </c>
      <c r="J19" s="164">
        <v>0</v>
      </c>
      <c r="K19" s="164">
        <v>0</v>
      </c>
      <c r="L19" s="164">
        <f t="shared" si="0"/>
        <v>0</v>
      </c>
      <c r="O19" s="132">
        <v>0</v>
      </c>
    </row>
    <row r="20" spans="1:15" ht="15" outlineLevel="2">
      <c r="A20" s="170" t="s">
        <v>1406</v>
      </c>
      <c r="B20" s="171" t="s">
        <v>1678</v>
      </c>
      <c r="C20" s="170" t="s">
        <v>1675</v>
      </c>
      <c r="D20" s="168">
        <v>44378</v>
      </c>
      <c r="E20" s="168">
        <v>44498</v>
      </c>
      <c r="F20" s="164">
        <v>1</v>
      </c>
      <c r="G20" s="90">
        <v>84</v>
      </c>
      <c r="H20" s="90">
        <v>0</v>
      </c>
      <c r="I20" s="90">
        <v>0</v>
      </c>
      <c r="J20" s="164">
        <v>0</v>
      </c>
      <c r="K20" s="164">
        <v>0</v>
      </c>
      <c r="L20" s="164">
        <f t="shared" si="0"/>
        <v>0</v>
      </c>
      <c r="O20" s="132">
        <v>0</v>
      </c>
    </row>
    <row r="21" spans="1:15" ht="15" outlineLevel="2">
      <c r="A21" s="170" t="s">
        <v>1406</v>
      </c>
      <c r="B21" s="171" t="s">
        <v>1679</v>
      </c>
      <c r="C21" s="170" t="s">
        <v>1677</v>
      </c>
      <c r="D21" s="168">
        <v>44424</v>
      </c>
      <c r="E21" s="168">
        <v>44498</v>
      </c>
      <c r="F21" s="164">
        <v>1</v>
      </c>
      <c r="G21" s="90">
        <v>52</v>
      </c>
      <c r="H21" s="90">
        <v>0</v>
      </c>
      <c r="I21" s="90">
        <v>0</v>
      </c>
      <c r="J21" s="164">
        <v>0</v>
      </c>
      <c r="K21" s="164">
        <v>0</v>
      </c>
      <c r="L21" s="164">
        <f t="shared" si="0"/>
        <v>0</v>
      </c>
      <c r="O21" s="132">
        <v>0</v>
      </c>
    </row>
    <row r="22" spans="1:15" ht="15" outlineLevel="2">
      <c r="A22" s="170" t="s">
        <v>1406</v>
      </c>
      <c r="B22" s="171" t="s">
        <v>1680</v>
      </c>
      <c r="C22" s="170" t="s">
        <v>1672</v>
      </c>
      <c r="D22" s="168">
        <v>44410</v>
      </c>
      <c r="E22" s="168">
        <v>44498</v>
      </c>
      <c r="F22" s="164">
        <v>1</v>
      </c>
      <c r="G22" s="90">
        <v>62</v>
      </c>
      <c r="H22" s="90">
        <v>0</v>
      </c>
      <c r="I22" s="90">
        <v>0</v>
      </c>
      <c r="J22" s="164">
        <v>0</v>
      </c>
      <c r="K22" s="164">
        <v>0</v>
      </c>
      <c r="L22" s="164">
        <f t="shared" si="0"/>
        <v>0</v>
      </c>
      <c r="O22" s="132">
        <v>0</v>
      </c>
    </row>
    <row r="23" spans="1:15" ht="15" outlineLevel="2">
      <c r="A23" s="170" t="s">
        <v>1406</v>
      </c>
      <c r="B23" s="171" t="s">
        <v>1300</v>
      </c>
      <c r="C23" s="170" t="s">
        <v>1301</v>
      </c>
      <c r="D23" s="168">
        <v>44501</v>
      </c>
      <c r="E23" s="168">
        <v>44554</v>
      </c>
      <c r="F23" s="164">
        <v>1</v>
      </c>
      <c r="G23" s="90">
        <v>40</v>
      </c>
      <c r="H23" s="90">
        <v>0</v>
      </c>
      <c r="I23" s="90">
        <v>0</v>
      </c>
      <c r="J23" s="164">
        <v>0</v>
      </c>
      <c r="K23" s="164">
        <v>0</v>
      </c>
      <c r="L23" s="164">
        <f t="shared" si="0"/>
        <v>0</v>
      </c>
      <c r="O23" s="132">
        <v>0</v>
      </c>
    </row>
    <row r="24" spans="1:15" ht="15" outlineLevel="2">
      <c r="A24" s="170" t="s">
        <v>1406</v>
      </c>
      <c r="B24" s="171" t="s">
        <v>1302</v>
      </c>
      <c r="C24" s="170" t="s">
        <v>1303</v>
      </c>
      <c r="D24" s="168">
        <v>44480</v>
      </c>
      <c r="E24" s="168">
        <v>44498</v>
      </c>
      <c r="F24" s="164">
        <v>1</v>
      </c>
      <c r="G24" s="90">
        <v>15</v>
      </c>
      <c r="H24" s="90">
        <v>0</v>
      </c>
      <c r="I24" s="90">
        <v>0</v>
      </c>
      <c r="J24" s="164">
        <v>0</v>
      </c>
      <c r="K24" s="164">
        <v>0</v>
      </c>
      <c r="L24" s="164">
        <f t="shared" si="0"/>
        <v>0</v>
      </c>
      <c r="O24" s="132">
        <v>0</v>
      </c>
    </row>
    <row r="25" spans="1:15" ht="15" outlineLevel="2">
      <c r="A25" s="170" t="s">
        <v>1406</v>
      </c>
      <c r="B25" s="171" t="s">
        <v>1307</v>
      </c>
      <c r="C25" s="170" t="s">
        <v>1308</v>
      </c>
      <c r="D25" s="168">
        <v>44531</v>
      </c>
      <c r="E25" s="168">
        <v>44554</v>
      </c>
      <c r="F25" s="164">
        <v>1</v>
      </c>
      <c r="G25" s="90">
        <v>18</v>
      </c>
      <c r="H25" s="90">
        <v>0</v>
      </c>
      <c r="I25" s="90">
        <v>0</v>
      </c>
      <c r="J25" s="164">
        <v>0</v>
      </c>
      <c r="K25" s="164">
        <v>0</v>
      </c>
      <c r="L25" s="164">
        <f t="shared" si="0"/>
        <v>0</v>
      </c>
      <c r="O25" s="132">
        <v>0</v>
      </c>
    </row>
    <row r="26" spans="1:15" ht="15" outlineLevel="2">
      <c r="A26" s="170" t="s">
        <v>1406</v>
      </c>
      <c r="B26" s="171" t="s">
        <v>1311</v>
      </c>
      <c r="C26" s="170" t="s">
        <v>1312</v>
      </c>
      <c r="D26" s="168">
        <v>44557</v>
      </c>
      <c r="E26" s="168">
        <v>44562</v>
      </c>
      <c r="F26" s="164">
        <v>1</v>
      </c>
      <c r="G26" s="90">
        <v>5</v>
      </c>
      <c r="H26" s="90">
        <v>0</v>
      </c>
      <c r="I26" s="90">
        <v>0</v>
      </c>
      <c r="J26" s="164">
        <v>0</v>
      </c>
      <c r="K26" s="164">
        <v>0</v>
      </c>
      <c r="L26" s="164">
        <f t="shared" si="0"/>
        <v>0</v>
      </c>
      <c r="O26" s="132">
        <v>0</v>
      </c>
    </row>
    <row r="27" spans="1:15" ht="15" outlineLevel="2">
      <c r="A27" s="170" t="s">
        <v>1406</v>
      </c>
      <c r="B27" s="171" t="s">
        <v>1313</v>
      </c>
      <c r="C27" s="170" t="s">
        <v>1314</v>
      </c>
      <c r="D27" s="168">
        <v>44557</v>
      </c>
      <c r="E27" s="168">
        <v>44562</v>
      </c>
      <c r="F27" s="164">
        <v>1</v>
      </c>
      <c r="G27" s="90">
        <v>5</v>
      </c>
      <c r="H27" s="90">
        <v>0</v>
      </c>
      <c r="I27" s="90">
        <v>0</v>
      </c>
      <c r="J27" s="164">
        <v>0</v>
      </c>
      <c r="K27" s="164">
        <v>0</v>
      </c>
      <c r="L27" s="164">
        <f t="shared" si="0"/>
        <v>0</v>
      </c>
      <c r="O27" s="132">
        <v>0</v>
      </c>
    </row>
    <row r="28" spans="1:15" ht="15" outlineLevel="2">
      <c r="A28" s="170" t="s">
        <v>1406</v>
      </c>
      <c r="B28" s="171" t="s">
        <v>1315</v>
      </c>
      <c r="C28" s="170" t="s">
        <v>1681</v>
      </c>
      <c r="D28" s="168">
        <v>44563</v>
      </c>
      <c r="E28" s="168">
        <v>44563</v>
      </c>
      <c r="F28" s="164">
        <v>1</v>
      </c>
      <c r="G28" s="90">
        <v>0</v>
      </c>
      <c r="H28" s="90">
        <v>0</v>
      </c>
      <c r="I28" s="90">
        <v>0</v>
      </c>
      <c r="J28" s="164">
        <v>0</v>
      </c>
      <c r="K28" s="164">
        <v>0</v>
      </c>
      <c r="L28" s="164">
        <f t="shared" si="0"/>
        <v>0</v>
      </c>
      <c r="O28" s="132">
        <v>0</v>
      </c>
    </row>
    <row r="29" spans="1:15" ht="15" outlineLevel="2">
      <c r="A29" s="170" t="s">
        <v>1406</v>
      </c>
      <c r="B29" s="171" t="s">
        <v>1316</v>
      </c>
      <c r="C29" s="170" t="s">
        <v>1317</v>
      </c>
      <c r="D29" s="168">
        <v>44564</v>
      </c>
      <c r="E29" s="168">
        <v>44564</v>
      </c>
      <c r="F29" s="164">
        <v>0</v>
      </c>
      <c r="G29" s="90">
        <v>0</v>
      </c>
      <c r="H29" s="90">
        <v>0</v>
      </c>
      <c r="I29" s="90">
        <v>0</v>
      </c>
      <c r="J29" s="164">
        <v>0</v>
      </c>
      <c r="K29" s="164">
        <v>0</v>
      </c>
      <c r="L29" s="164">
        <f t="shared" si="0"/>
        <v>0</v>
      </c>
      <c r="O29" s="132">
        <v>0</v>
      </c>
    </row>
    <row r="30" spans="1:15" ht="15" outlineLevel="2">
      <c r="A30" s="170" t="s">
        <v>1406</v>
      </c>
      <c r="B30" s="171" t="s">
        <v>1526</v>
      </c>
      <c r="C30" s="170" t="s">
        <v>1527</v>
      </c>
      <c r="D30" s="168">
        <v>44564</v>
      </c>
      <c r="E30" s="168">
        <v>44651</v>
      </c>
      <c r="F30" s="164">
        <v>1</v>
      </c>
      <c r="G30" s="90">
        <v>60</v>
      </c>
      <c r="H30" s="90">
        <v>0</v>
      </c>
      <c r="I30" s="90">
        <v>0</v>
      </c>
      <c r="J30" s="164">
        <v>0</v>
      </c>
      <c r="K30" s="164">
        <v>0</v>
      </c>
      <c r="L30" s="164">
        <f t="shared" si="0"/>
        <v>0</v>
      </c>
      <c r="O30" s="132">
        <v>0</v>
      </c>
    </row>
    <row r="31" spans="1:15" ht="15" outlineLevel="2">
      <c r="A31" s="170" t="s">
        <v>1406</v>
      </c>
      <c r="B31" s="171" t="s">
        <v>1689</v>
      </c>
      <c r="C31" s="170" t="s">
        <v>1682</v>
      </c>
      <c r="D31" s="168">
        <v>44230</v>
      </c>
      <c r="E31" s="168">
        <v>44230</v>
      </c>
      <c r="F31" s="164">
        <v>1</v>
      </c>
      <c r="G31" s="90">
        <v>1</v>
      </c>
      <c r="H31" s="90">
        <v>0</v>
      </c>
      <c r="I31" s="90">
        <v>0</v>
      </c>
      <c r="J31" s="164">
        <v>0</v>
      </c>
      <c r="K31" s="164">
        <v>0</v>
      </c>
      <c r="L31" s="164">
        <f t="shared" si="0"/>
        <v>0</v>
      </c>
      <c r="O31" s="132">
        <v>0</v>
      </c>
    </row>
    <row r="32" spans="1:15" ht="15" outlineLevel="2">
      <c r="A32" s="170" t="s">
        <v>1406</v>
      </c>
      <c r="B32" s="171" t="s">
        <v>1692</v>
      </c>
      <c r="C32" s="170" t="s">
        <v>1253</v>
      </c>
      <c r="D32" s="168">
        <v>44378</v>
      </c>
      <c r="E32" s="168">
        <v>44530</v>
      </c>
      <c r="F32" s="164">
        <v>1</v>
      </c>
      <c r="G32" s="90">
        <v>106</v>
      </c>
      <c r="H32" s="90">
        <v>0</v>
      </c>
      <c r="I32" s="90">
        <v>0</v>
      </c>
      <c r="J32" s="164">
        <v>0</v>
      </c>
      <c r="K32" s="164">
        <v>0</v>
      </c>
      <c r="L32" s="164">
        <f t="shared" si="0"/>
        <v>0</v>
      </c>
      <c r="O32" s="132">
        <v>0</v>
      </c>
    </row>
    <row r="33" spans="1:15" ht="15" outlineLevel="2">
      <c r="A33" s="170" t="s">
        <v>1406</v>
      </c>
      <c r="B33" s="171" t="s">
        <v>1695</v>
      </c>
      <c r="C33" s="170" t="s">
        <v>1253</v>
      </c>
      <c r="D33" s="168">
        <v>44378</v>
      </c>
      <c r="E33" s="168">
        <v>44530</v>
      </c>
      <c r="F33" s="164">
        <v>1</v>
      </c>
      <c r="G33" s="90">
        <v>106</v>
      </c>
      <c r="H33" s="90">
        <v>0</v>
      </c>
      <c r="I33" s="90">
        <v>0</v>
      </c>
      <c r="J33" s="164">
        <v>0</v>
      </c>
      <c r="K33" s="164">
        <v>0</v>
      </c>
      <c r="L33" s="164">
        <f t="shared" si="0"/>
        <v>0</v>
      </c>
      <c r="O33" s="132">
        <v>0</v>
      </c>
    </row>
    <row r="34" spans="1:15" ht="15" outlineLevel="2">
      <c r="A34" s="170" t="s">
        <v>1406</v>
      </c>
      <c r="B34" s="171" t="s">
        <v>1697</v>
      </c>
      <c r="C34" s="170" t="s">
        <v>1685</v>
      </c>
      <c r="D34" s="168">
        <v>44257</v>
      </c>
      <c r="E34" s="168">
        <v>44344</v>
      </c>
      <c r="F34" s="164">
        <v>1</v>
      </c>
      <c r="G34" s="90">
        <v>62</v>
      </c>
      <c r="H34" s="90">
        <v>0</v>
      </c>
      <c r="I34" s="90">
        <v>0</v>
      </c>
      <c r="J34" s="164">
        <v>0</v>
      </c>
      <c r="K34" s="164">
        <v>0</v>
      </c>
      <c r="L34" s="164">
        <f t="shared" si="0"/>
        <v>0</v>
      </c>
      <c r="O34" s="132">
        <v>0</v>
      </c>
    </row>
    <row r="35" spans="1:15" ht="15" outlineLevel="2">
      <c r="A35" s="170" t="s">
        <v>1406</v>
      </c>
      <c r="B35" s="171" t="s">
        <v>1698</v>
      </c>
      <c r="C35" s="170" t="s">
        <v>1686</v>
      </c>
      <c r="D35" s="168">
        <v>44347</v>
      </c>
      <c r="E35" s="168">
        <v>44498</v>
      </c>
      <c r="F35" s="164">
        <v>1</v>
      </c>
      <c r="G35" s="90">
        <v>107</v>
      </c>
      <c r="H35" s="90">
        <v>0</v>
      </c>
      <c r="I35" s="90">
        <v>0</v>
      </c>
      <c r="J35" s="164">
        <v>0</v>
      </c>
      <c r="K35" s="164">
        <v>0</v>
      </c>
      <c r="L35" s="164">
        <f t="shared" si="0"/>
        <v>0</v>
      </c>
      <c r="O35" s="132">
        <v>0</v>
      </c>
    </row>
    <row r="36" spans="1:15" ht="15" outlineLevel="2">
      <c r="A36" s="170" t="s">
        <v>1406</v>
      </c>
      <c r="B36" s="171" t="s">
        <v>1701</v>
      </c>
      <c r="C36" s="170" t="s">
        <v>1683</v>
      </c>
      <c r="D36" s="168">
        <v>44221</v>
      </c>
      <c r="E36" s="168">
        <v>44651</v>
      </c>
      <c r="F36" s="164">
        <v>1</v>
      </c>
      <c r="G36" s="90">
        <v>297</v>
      </c>
      <c r="H36" s="90">
        <v>0</v>
      </c>
      <c r="I36" s="90">
        <v>0</v>
      </c>
      <c r="J36" s="164">
        <v>0</v>
      </c>
      <c r="K36" s="164">
        <v>0</v>
      </c>
      <c r="L36" s="164">
        <f t="shared" si="0"/>
        <v>0</v>
      </c>
      <c r="O36" s="132">
        <v>0</v>
      </c>
    </row>
    <row r="37" spans="1:15" ht="15" outlineLevel="2">
      <c r="A37" s="170" t="s">
        <v>1406</v>
      </c>
      <c r="B37" s="171" t="s">
        <v>1702</v>
      </c>
      <c r="C37" s="170" t="s">
        <v>1253</v>
      </c>
      <c r="D37" s="168">
        <v>44378</v>
      </c>
      <c r="E37" s="168">
        <v>44530</v>
      </c>
      <c r="F37" s="164">
        <v>1</v>
      </c>
      <c r="G37" s="90">
        <v>106</v>
      </c>
      <c r="H37" s="90">
        <v>0</v>
      </c>
      <c r="I37" s="90">
        <v>0</v>
      </c>
      <c r="J37" s="164">
        <v>0</v>
      </c>
      <c r="K37" s="164">
        <v>0</v>
      </c>
      <c r="L37" s="164">
        <f t="shared" si="0"/>
        <v>0</v>
      </c>
      <c r="O37" s="132">
        <v>0</v>
      </c>
    </row>
    <row r="38" spans="1:15" ht="15" outlineLevel="2">
      <c r="A38" s="170" t="s">
        <v>1406</v>
      </c>
      <c r="B38" s="171" t="s">
        <v>1703</v>
      </c>
      <c r="C38" s="170" t="s">
        <v>1253</v>
      </c>
      <c r="D38" s="168">
        <v>44473</v>
      </c>
      <c r="E38" s="168">
        <v>44561</v>
      </c>
      <c r="F38" s="164">
        <v>1</v>
      </c>
      <c r="G38" s="90">
        <v>65</v>
      </c>
      <c r="H38" s="90">
        <v>0</v>
      </c>
      <c r="I38" s="90">
        <v>0</v>
      </c>
      <c r="J38" s="164">
        <v>0</v>
      </c>
      <c r="K38" s="164">
        <v>0</v>
      </c>
      <c r="L38" s="164">
        <f t="shared" si="0"/>
        <v>0</v>
      </c>
      <c r="O38" s="132">
        <v>0</v>
      </c>
    </row>
    <row r="39" spans="1:15" ht="15" outlineLevel="2">
      <c r="A39" s="170" t="s">
        <v>1406</v>
      </c>
      <c r="B39" s="171" t="s">
        <v>1705</v>
      </c>
      <c r="C39" s="170" t="s">
        <v>1683</v>
      </c>
      <c r="D39" s="168">
        <v>44531</v>
      </c>
      <c r="E39" s="168">
        <v>44620</v>
      </c>
      <c r="F39" s="164">
        <v>1</v>
      </c>
      <c r="G39" s="90">
        <v>61</v>
      </c>
      <c r="H39" s="90">
        <v>0</v>
      </c>
      <c r="I39" s="90">
        <v>0</v>
      </c>
      <c r="J39" s="164">
        <v>0</v>
      </c>
      <c r="K39" s="164">
        <v>0</v>
      </c>
      <c r="L39" s="164">
        <f t="shared" ref="L39:L70" si="1">K39-J39</f>
        <v>0</v>
      </c>
      <c r="O39" s="132">
        <v>0</v>
      </c>
    </row>
    <row r="40" spans="1:15" ht="15" outlineLevel="2">
      <c r="A40" s="170" t="s">
        <v>1406</v>
      </c>
      <c r="B40" s="171" t="s">
        <v>1706</v>
      </c>
      <c r="C40" s="170" t="s">
        <v>1253</v>
      </c>
      <c r="D40" s="168">
        <v>44531</v>
      </c>
      <c r="E40" s="168">
        <v>44620</v>
      </c>
      <c r="F40" s="164">
        <v>1</v>
      </c>
      <c r="G40" s="90">
        <v>61</v>
      </c>
      <c r="H40" s="90">
        <v>0</v>
      </c>
      <c r="I40" s="90">
        <v>0</v>
      </c>
      <c r="J40" s="164">
        <v>0</v>
      </c>
      <c r="K40" s="164">
        <v>0</v>
      </c>
      <c r="L40" s="164">
        <f t="shared" si="1"/>
        <v>0</v>
      </c>
      <c r="O40" s="132">
        <v>0</v>
      </c>
    </row>
    <row r="41" spans="1:15" ht="15" outlineLevel="2">
      <c r="A41" s="170" t="s">
        <v>1406</v>
      </c>
      <c r="B41" s="171" t="s">
        <v>1707</v>
      </c>
      <c r="C41" s="170" t="s">
        <v>1682</v>
      </c>
      <c r="D41" s="168">
        <v>44230</v>
      </c>
      <c r="E41" s="168">
        <v>44230</v>
      </c>
      <c r="F41" s="164">
        <v>1</v>
      </c>
      <c r="G41" s="90">
        <v>1</v>
      </c>
      <c r="H41" s="90">
        <v>0</v>
      </c>
      <c r="I41" s="90">
        <v>0</v>
      </c>
      <c r="J41" s="164">
        <v>0</v>
      </c>
      <c r="K41" s="164">
        <v>0</v>
      </c>
      <c r="L41" s="164">
        <f t="shared" si="1"/>
        <v>0</v>
      </c>
      <c r="O41" s="132">
        <v>0</v>
      </c>
    </row>
    <row r="42" spans="1:15" ht="15" outlineLevel="2">
      <c r="A42" s="170" t="s">
        <v>1406</v>
      </c>
      <c r="B42" s="171" t="s">
        <v>1708</v>
      </c>
      <c r="C42" s="170" t="s">
        <v>1688</v>
      </c>
      <c r="D42" s="168">
        <v>44501</v>
      </c>
      <c r="E42" s="168">
        <v>44561</v>
      </c>
      <c r="F42" s="164">
        <v>1</v>
      </c>
      <c r="G42" s="90">
        <v>45</v>
      </c>
      <c r="H42" s="90">
        <v>0</v>
      </c>
      <c r="I42" s="90">
        <v>0</v>
      </c>
      <c r="J42" s="164">
        <v>0</v>
      </c>
      <c r="K42" s="164">
        <v>0</v>
      </c>
      <c r="L42" s="164">
        <f t="shared" si="1"/>
        <v>0</v>
      </c>
      <c r="O42" s="132">
        <v>0</v>
      </c>
    </row>
    <row r="43" spans="1:15" ht="15" outlineLevel="2">
      <c r="A43" s="170" t="s">
        <v>1406</v>
      </c>
      <c r="B43" s="171" t="s">
        <v>1560</v>
      </c>
      <c r="C43" s="170" t="s">
        <v>1548</v>
      </c>
      <c r="D43" s="168">
        <v>44431</v>
      </c>
      <c r="E43" s="168">
        <v>44449</v>
      </c>
      <c r="F43" s="164">
        <v>1</v>
      </c>
      <c r="G43" s="90">
        <v>15</v>
      </c>
      <c r="H43" s="90">
        <v>0</v>
      </c>
      <c r="I43" s="90">
        <v>0</v>
      </c>
      <c r="J43" s="164">
        <v>0</v>
      </c>
      <c r="K43" s="164">
        <v>0</v>
      </c>
      <c r="L43" s="164">
        <f t="shared" si="1"/>
        <v>0</v>
      </c>
      <c r="O43" s="132">
        <v>0</v>
      </c>
    </row>
    <row r="44" spans="1:15" ht="15" outlineLevel="2">
      <c r="A44" s="170" t="s">
        <v>1406</v>
      </c>
      <c r="B44" s="171" t="s">
        <v>1569</v>
      </c>
      <c r="C44" s="170" t="s">
        <v>1556</v>
      </c>
      <c r="D44" s="168">
        <v>44480</v>
      </c>
      <c r="E44" s="168">
        <v>44498</v>
      </c>
      <c r="F44" s="164">
        <v>1</v>
      </c>
      <c r="G44" s="90">
        <v>15</v>
      </c>
      <c r="H44" s="90">
        <v>0</v>
      </c>
      <c r="I44" s="90">
        <v>0</v>
      </c>
      <c r="J44" s="164">
        <v>0</v>
      </c>
      <c r="K44" s="164">
        <v>0</v>
      </c>
      <c r="L44" s="164">
        <f t="shared" si="1"/>
        <v>0</v>
      </c>
      <c r="O44" s="132">
        <v>0</v>
      </c>
    </row>
    <row r="45" spans="1:15" ht="15" outlineLevel="2">
      <c r="A45" s="170" t="s">
        <v>1406</v>
      </c>
      <c r="B45" s="171" t="s">
        <v>1570</v>
      </c>
      <c r="C45" s="170" t="s">
        <v>1557</v>
      </c>
      <c r="D45" s="168">
        <v>44501</v>
      </c>
      <c r="E45" s="168">
        <v>44540</v>
      </c>
      <c r="F45" s="164">
        <v>1</v>
      </c>
      <c r="G45" s="90">
        <v>30</v>
      </c>
      <c r="H45" s="90">
        <v>0</v>
      </c>
      <c r="I45" s="90">
        <v>0</v>
      </c>
      <c r="J45" s="164">
        <v>0</v>
      </c>
      <c r="K45" s="164">
        <v>0</v>
      </c>
      <c r="L45" s="164">
        <f t="shared" si="1"/>
        <v>0</v>
      </c>
      <c r="O45" s="132">
        <v>0</v>
      </c>
    </row>
    <row r="46" spans="1:15" ht="15" outlineLevel="2">
      <c r="A46" s="170" t="s">
        <v>1406</v>
      </c>
      <c r="B46" s="171" t="s">
        <v>1664</v>
      </c>
      <c r="C46" s="170" t="s">
        <v>1558</v>
      </c>
      <c r="D46" s="168">
        <v>44627</v>
      </c>
      <c r="E46" s="168">
        <v>44631</v>
      </c>
      <c r="F46" s="164">
        <v>1</v>
      </c>
      <c r="G46" s="90">
        <v>5</v>
      </c>
      <c r="H46" s="90">
        <v>0</v>
      </c>
      <c r="I46" s="90">
        <v>0</v>
      </c>
      <c r="J46" s="164">
        <v>0</v>
      </c>
      <c r="K46" s="164">
        <v>0</v>
      </c>
      <c r="L46" s="164">
        <f t="shared" si="1"/>
        <v>0</v>
      </c>
      <c r="O46" s="132">
        <v>0</v>
      </c>
    </row>
    <row r="47" spans="1:15" ht="15" outlineLevel="2">
      <c r="A47" s="170" t="s">
        <v>1406</v>
      </c>
      <c r="B47" s="171" t="s">
        <v>1561</v>
      </c>
      <c r="C47" s="170" t="s">
        <v>1549</v>
      </c>
      <c r="D47" s="168">
        <v>44452</v>
      </c>
      <c r="E47" s="168">
        <v>44456</v>
      </c>
      <c r="F47" s="164">
        <v>1</v>
      </c>
      <c r="G47" s="90">
        <v>5</v>
      </c>
      <c r="H47" s="90">
        <v>0</v>
      </c>
      <c r="I47" s="90">
        <v>0</v>
      </c>
      <c r="J47" s="164">
        <v>0</v>
      </c>
      <c r="K47" s="164">
        <v>0</v>
      </c>
      <c r="L47" s="164">
        <f t="shared" si="1"/>
        <v>0</v>
      </c>
      <c r="O47" s="132">
        <v>0</v>
      </c>
    </row>
    <row r="48" spans="1:15" ht="15" outlineLevel="2">
      <c r="A48" s="170" t="s">
        <v>1406</v>
      </c>
      <c r="B48" s="171" t="s">
        <v>1563</v>
      </c>
      <c r="C48" s="170" t="s">
        <v>1550</v>
      </c>
      <c r="D48" s="168">
        <v>44449</v>
      </c>
      <c r="E48" s="168">
        <v>44449</v>
      </c>
      <c r="F48" s="164">
        <v>0</v>
      </c>
      <c r="G48" s="90">
        <v>0</v>
      </c>
      <c r="H48" s="90">
        <v>0</v>
      </c>
      <c r="I48" s="90">
        <v>0</v>
      </c>
      <c r="J48" s="164">
        <v>0</v>
      </c>
      <c r="K48" s="164">
        <v>0</v>
      </c>
      <c r="L48" s="164">
        <f t="shared" si="1"/>
        <v>0</v>
      </c>
      <c r="O48" s="132">
        <v>0</v>
      </c>
    </row>
    <row r="49" spans="1:15" ht="15" outlineLevel="2">
      <c r="A49" s="170" t="s">
        <v>1406</v>
      </c>
      <c r="B49" s="171" t="s">
        <v>1564</v>
      </c>
      <c r="C49" s="170" t="s">
        <v>1551</v>
      </c>
      <c r="D49" s="168">
        <v>44466</v>
      </c>
      <c r="E49" s="168">
        <v>44470</v>
      </c>
      <c r="F49" s="164">
        <v>1</v>
      </c>
      <c r="G49" s="90">
        <v>5</v>
      </c>
      <c r="H49" s="90">
        <v>0</v>
      </c>
      <c r="I49" s="90">
        <v>0</v>
      </c>
      <c r="J49" s="164">
        <v>0</v>
      </c>
      <c r="K49" s="164">
        <v>0</v>
      </c>
      <c r="L49" s="164">
        <f t="shared" si="1"/>
        <v>0</v>
      </c>
      <c r="O49" s="132">
        <v>0</v>
      </c>
    </row>
    <row r="50" spans="1:15" ht="15" outlineLevel="2">
      <c r="A50" s="170" t="s">
        <v>1406</v>
      </c>
      <c r="B50" s="171" t="s">
        <v>1565</v>
      </c>
      <c r="C50" s="170" t="s">
        <v>1552</v>
      </c>
      <c r="D50" s="168">
        <v>44466</v>
      </c>
      <c r="E50" s="168">
        <v>44470</v>
      </c>
      <c r="F50" s="164">
        <v>1</v>
      </c>
      <c r="G50" s="90">
        <v>5</v>
      </c>
      <c r="H50" s="90">
        <v>0</v>
      </c>
      <c r="I50" s="90">
        <v>0</v>
      </c>
      <c r="J50" s="164">
        <v>0</v>
      </c>
      <c r="K50" s="164">
        <v>0</v>
      </c>
      <c r="L50" s="164">
        <f t="shared" si="1"/>
        <v>0</v>
      </c>
      <c r="O50" s="132">
        <v>0</v>
      </c>
    </row>
    <row r="51" spans="1:15" ht="15" outlineLevel="2">
      <c r="A51" s="170" t="s">
        <v>1406</v>
      </c>
      <c r="B51" s="171" t="s">
        <v>1566</v>
      </c>
      <c r="C51" s="170" t="s">
        <v>1553</v>
      </c>
      <c r="D51" s="168">
        <v>44473</v>
      </c>
      <c r="E51" s="168">
        <v>44477</v>
      </c>
      <c r="F51" s="164">
        <v>1</v>
      </c>
      <c r="G51" s="90">
        <v>5</v>
      </c>
      <c r="H51" s="90">
        <v>0</v>
      </c>
      <c r="I51" s="90">
        <v>0</v>
      </c>
      <c r="J51" s="164">
        <v>0</v>
      </c>
      <c r="K51" s="164">
        <v>0</v>
      </c>
      <c r="L51" s="164">
        <f t="shared" si="1"/>
        <v>0</v>
      </c>
      <c r="O51" s="132">
        <v>0</v>
      </c>
    </row>
    <row r="52" spans="1:15" ht="15" outlineLevel="2">
      <c r="A52" s="170" t="s">
        <v>1406</v>
      </c>
      <c r="B52" s="171" t="s">
        <v>1567</v>
      </c>
      <c r="C52" s="170" t="s">
        <v>1554</v>
      </c>
      <c r="D52" s="168">
        <v>44473</v>
      </c>
      <c r="E52" s="168">
        <v>44477</v>
      </c>
      <c r="F52" s="164">
        <v>1</v>
      </c>
      <c r="G52" s="90">
        <v>5</v>
      </c>
      <c r="H52" s="90">
        <v>0</v>
      </c>
      <c r="I52" s="90">
        <v>0</v>
      </c>
      <c r="J52" s="164">
        <v>0</v>
      </c>
      <c r="K52" s="164">
        <v>0</v>
      </c>
      <c r="L52" s="164">
        <f t="shared" si="1"/>
        <v>0</v>
      </c>
      <c r="O52" s="132">
        <v>0</v>
      </c>
    </row>
    <row r="53" spans="1:15" ht="15" outlineLevel="2">
      <c r="A53" s="170" t="s">
        <v>1406</v>
      </c>
      <c r="B53" s="171" t="s">
        <v>1568</v>
      </c>
      <c r="C53" s="170" t="s">
        <v>1555</v>
      </c>
      <c r="D53" s="168">
        <v>44480</v>
      </c>
      <c r="E53" s="168">
        <v>44484</v>
      </c>
      <c r="F53" s="164">
        <v>1</v>
      </c>
      <c r="G53" s="90">
        <v>5</v>
      </c>
      <c r="H53" s="90">
        <v>0</v>
      </c>
      <c r="I53" s="90">
        <v>0</v>
      </c>
      <c r="J53" s="164">
        <v>0</v>
      </c>
      <c r="K53" s="164">
        <v>0</v>
      </c>
      <c r="L53" s="164">
        <f t="shared" si="1"/>
        <v>0</v>
      </c>
      <c r="O53" s="132">
        <v>0</v>
      </c>
    </row>
    <row r="54" spans="1:15" ht="15" outlineLevel="2">
      <c r="A54" s="170" t="s">
        <v>1406</v>
      </c>
      <c r="B54" s="171" t="s">
        <v>1644</v>
      </c>
      <c r="C54" s="170" t="s">
        <v>1710</v>
      </c>
      <c r="D54" s="168">
        <v>44228</v>
      </c>
      <c r="E54" s="168">
        <v>44228</v>
      </c>
      <c r="F54" s="164">
        <v>1</v>
      </c>
      <c r="G54" s="90">
        <v>1</v>
      </c>
      <c r="H54" s="90">
        <v>0</v>
      </c>
      <c r="I54" s="90">
        <v>0</v>
      </c>
      <c r="J54" s="164">
        <v>0</v>
      </c>
      <c r="K54" s="164">
        <v>0</v>
      </c>
      <c r="L54" s="164">
        <f t="shared" si="1"/>
        <v>0</v>
      </c>
      <c r="O54" s="132">
        <v>0</v>
      </c>
    </row>
    <row r="55" spans="1:15" ht="15" outlineLevel="2">
      <c r="A55" s="170" t="s">
        <v>1406</v>
      </c>
      <c r="B55" s="171" t="s">
        <v>1653</v>
      </c>
      <c r="C55" s="170" t="s">
        <v>1639</v>
      </c>
      <c r="D55" s="168">
        <v>44480</v>
      </c>
      <c r="E55" s="168">
        <v>44498</v>
      </c>
      <c r="F55" s="164">
        <v>1</v>
      </c>
      <c r="G55" s="90">
        <v>15</v>
      </c>
      <c r="H55" s="90">
        <v>0</v>
      </c>
      <c r="I55" s="90">
        <v>0</v>
      </c>
      <c r="J55" s="164">
        <v>0</v>
      </c>
      <c r="K55" s="164">
        <v>0</v>
      </c>
      <c r="L55" s="164">
        <f t="shared" si="1"/>
        <v>0</v>
      </c>
      <c r="O55" s="132">
        <v>0</v>
      </c>
    </row>
    <row r="56" spans="1:15" ht="15" outlineLevel="2">
      <c r="A56" s="170" t="s">
        <v>1406</v>
      </c>
      <c r="B56" s="171" t="s">
        <v>1711</v>
      </c>
      <c r="C56" s="170" t="s">
        <v>1557</v>
      </c>
      <c r="D56" s="168">
        <v>44501</v>
      </c>
      <c r="E56" s="168">
        <v>44561</v>
      </c>
      <c r="F56" s="164">
        <v>1</v>
      </c>
      <c r="G56" s="90">
        <v>45</v>
      </c>
      <c r="H56" s="90">
        <v>0</v>
      </c>
      <c r="I56" s="90">
        <v>0</v>
      </c>
      <c r="J56" s="164">
        <v>0</v>
      </c>
      <c r="K56" s="164">
        <v>0</v>
      </c>
      <c r="L56" s="164">
        <f t="shared" si="1"/>
        <v>0</v>
      </c>
      <c r="O56" s="132">
        <v>0</v>
      </c>
    </row>
    <row r="57" spans="1:15" ht="15" outlineLevel="2">
      <c r="A57" s="170" t="s">
        <v>1406</v>
      </c>
      <c r="B57" s="171" t="s">
        <v>1645</v>
      </c>
      <c r="C57" s="170" t="s">
        <v>1635</v>
      </c>
      <c r="D57" s="168">
        <v>44424</v>
      </c>
      <c r="E57" s="168">
        <v>44435</v>
      </c>
      <c r="F57" s="164">
        <v>1</v>
      </c>
      <c r="G57" s="90">
        <v>10</v>
      </c>
      <c r="H57" s="90">
        <v>0</v>
      </c>
      <c r="I57" s="90">
        <v>0</v>
      </c>
      <c r="J57" s="164">
        <v>0</v>
      </c>
      <c r="K57" s="164">
        <v>0</v>
      </c>
      <c r="L57" s="164">
        <f t="shared" si="1"/>
        <v>0</v>
      </c>
      <c r="O57" s="132">
        <v>0</v>
      </c>
    </row>
    <row r="58" spans="1:15" ht="15" outlineLevel="2">
      <c r="A58" s="170" t="s">
        <v>1406</v>
      </c>
      <c r="B58" s="171" t="s">
        <v>1646</v>
      </c>
      <c r="C58" s="170" t="s">
        <v>1636</v>
      </c>
      <c r="D58" s="168">
        <v>44438</v>
      </c>
      <c r="E58" s="168">
        <v>44442</v>
      </c>
      <c r="F58" s="164">
        <v>1</v>
      </c>
      <c r="G58" s="90">
        <v>5</v>
      </c>
      <c r="H58" s="90">
        <v>0</v>
      </c>
      <c r="I58" s="90">
        <v>0</v>
      </c>
      <c r="J58" s="164">
        <v>0</v>
      </c>
      <c r="K58" s="164">
        <v>0</v>
      </c>
      <c r="L58" s="164">
        <f t="shared" si="1"/>
        <v>0</v>
      </c>
      <c r="O58" s="132">
        <v>0</v>
      </c>
    </row>
    <row r="59" spans="1:15" ht="15" outlineLevel="2">
      <c r="A59" s="170" t="s">
        <v>1406</v>
      </c>
      <c r="B59" s="171" t="s">
        <v>1647</v>
      </c>
      <c r="C59" s="170" t="s">
        <v>1637</v>
      </c>
      <c r="D59" s="168">
        <v>44445</v>
      </c>
      <c r="E59" s="168">
        <v>44456</v>
      </c>
      <c r="F59" s="164">
        <v>1</v>
      </c>
      <c r="G59" s="90">
        <v>10</v>
      </c>
      <c r="H59" s="90">
        <v>0</v>
      </c>
      <c r="I59" s="90">
        <v>0</v>
      </c>
      <c r="J59" s="164">
        <v>0</v>
      </c>
      <c r="K59" s="164">
        <v>0</v>
      </c>
      <c r="L59" s="164">
        <f t="shared" si="1"/>
        <v>0</v>
      </c>
      <c r="O59" s="132">
        <v>0</v>
      </c>
    </row>
    <row r="60" spans="1:15" ht="15" outlineLevel="2">
      <c r="A60" s="170" t="s">
        <v>1406</v>
      </c>
      <c r="B60" s="171" t="s">
        <v>1648</v>
      </c>
      <c r="C60" s="170" t="s">
        <v>1642</v>
      </c>
      <c r="D60" s="168">
        <v>44462</v>
      </c>
      <c r="E60" s="168">
        <v>44470</v>
      </c>
      <c r="F60" s="164">
        <v>1</v>
      </c>
      <c r="G60" s="90">
        <v>7</v>
      </c>
      <c r="H60" s="90">
        <v>0</v>
      </c>
      <c r="I60" s="90">
        <v>0</v>
      </c>
      <c r="J60" s="164">
        <v>0</v>
      </c>
      <c r="K60" s="164">
        <v>0</v>
      </c>
      <c r="L60" s="164">
        <f t="shared" si="1"/>
        <v>0</v>
      </c>
      <c r="O60" s="132">
        <v>0</v>
      </c>
    </row>
    <row r="61" spans="1:15" ht="15" outlineLevel="2">
      <c r="A61" s="170" t="s">
        <v>1406</v>
      </c>
      <c r="B61" s="171" t="s">
        <v>1649</v>
      </c>
      <c r="C61" s="170" t="s">
        <v>1643</v>
      </c>
      <c r="D61" s="168">
        <v>44468</v>
      </c>
      <c r="E61" s="168">
        <v>44477</v>
      </c>
      <c r="F61" s="164">
        <v>1</v>
      </c>
      <c r="G61" s="90">
        <v>8</v>
      </c>
      <c r="H61" s="90">
        <v>0</v>
      </c>
      <c r="I61" s="90">
        <v>0</v>
      </c>
      <c r="J61" s="164">
        <v>0</v>
      </c>
      <c r="K61" s="164">
        <v>0</v>
      </c>
      <c r="L61" s="164">
        <f t="shared" si="1"/>
        <v>0</v>
      </c>
      <c r="O61" s="132">
        <v>0</v>
      </c>
    </row>
    <row r="62" spans="1:15" ht="15" outlineLevel="2">
      <c r="A62" s="170" t="s">
        <v>1406</v>
      </c>
      <c r="B62" s="171" t="s">
        <v>1650</v>
      </c>
      <c r="C62" s="170" t="s">
        <v>1640</v>
      </c>
      <c r="D62" s="168">
        <v>44462</v>
      </c>
      <c r="E62" s="168">
        <v>44470</v>
      </c>
      <c r="F62" s="164">
        <v>1</v>
      </c>
      <c r="G62" s="90">
        <v>7</v>
      </c>
      <c r="H62" s="90">
        <v>0</v>
      </c>
      <c r="I62" s="90">
        <v>0</v>
      </c>
      <c r="J62" s="164">
        <v>0</v>
      </c>
      <c r="K62" s="164">
        <v>0</v>
      </c>
      <c r="L62" s="164">
        <f t="shared" si="1"/>
        <v>0</v>
      </c>
      <c r="O62" s="132">
        <v>0</v>
      </c>
    </row>
    <row r="63" spans="1:15" ht="15" outlineLevel="2">
      <c r="A63" s="170" t="s">
        <v>1406</v>
      </c>
      <c r="B63" s="171" t="s">
        <v>1651</v>
      </c>
      <c r="C63" s="170" t="s">
        <v>1641</v>
      </c>
      <c r="D63" s="168">
        <v>44468</v>
      </c>
      <c r="E63" s="168">
        <v>44477</v>
      </c>
      <c r="F63" s="164">
        <v>1</v>
      </c>
      <c r="G63" s="90">
        <v>8</v>
      </c>
      <c r="H63" s="90">
        <v>0</v>
      </c>
      <c r="I63" s="90">
        <v>0</v>
      </c>
      <c r="J63" s="164">
        <v>0</v>
      </c>
      <c r="K63" s="164">
        <v>0</v>
      </c>
      <c r="L63" s="164">
        <f t="shared" si="1"/>
        <v>0</v>
      </c>
      <c r="O63" s="132">
        <v>0</v>
      </c>
    </row>
    <row r="64" spans="1:15" ht="15" outlineLevel="2">
      <c r="A64" s="170" t="s">
        <v>1406</v>
      </c>
      <c r="B64" s="171" t="s">
        <v>1652</v>
      </c>
      <c r="C64" s="170" t="s">
        <v>1638</v>
      </c>
      <c r="D64" s="168">
        <v>44480</v>
      </c>
      <c r="E64" s="168">
        <v>44491</v>
      </c>
      <c r="F64" s="164">
        <v>1</v>
      </c>
      <c r="G64" s="90">
        <v>10</v>
      </c>
      <c r="H64" s="90">
        <v>0</v>
      </c>
      <c r="I64" s="90">
        <v>0</v>
      </c>
      <c r="J64" s="164">
        <v>0</v>
      </c>
      <c r="K64" s="164">
        <v>0</v>
      </c>
      <c r="L64" s="164">
        <f t="shared" si="1"/>
        <v>0</v>
      </c>
      <c r="O64" s="132">
        <v>0</v>
      </c>
    </row>
    <row r="65" spans="1:15" ht="15" outlineLevel="2">
      <c r="A65" s="170" t="s">
        <v>1406</v>
      </c>
      <c r="B65" s="171" t="s">
        <v>1591</v>
      </c>
      <c r="C65" s="170" t="s">
        <v>1574</v>
      </c>
      <c r="D65" s="168">
        <v>44410</v>
      </c>
      <c r="E65" s="168">
        <v>44416</v>
      </c>
      <c r="F65" s="164">
        <v>1</v>
      </c>
      <c r="G65" s="90">
        <v>5</v>
      </c>
      <c r="H65" s="90">
        <v>0</v>
      </c>
      <c r="I65" s="90">
        <v>0</v>
      </c>
      <c r="J65" s="164">
        <v>0</v>
      </c>
      <c r="K65" s="164">
        <v>0</v>
      </c>
      <c r="L65" s="164">
        <f t="shared" si="1"/>
        <v>0</v>
      </c>
      <c r="O65" s="132">
        <v>0</v>
      </c>
    </row>
    <row r="66" spans="1:15" ht="15" outlineLevel="2">
      <c r="A66" s="170" t="s">
        <v>1406</v>
      </c>
      <c r="B66" s="171" t="s">
        <v>1592</v>
      </c>
      <c r="C66" s="170" t="s">
        <v>1575</v>
      </c>
      <c r="D66" s="168">
        <v>44417</v>
      </c>
      <c r="E66" s="168">
        <v>44422</v>
      </c>
      <c r="F66" s="164">
        <v>1</v>
      </c>
      <c r="G66" s="90">
        <v>5</v>
      </c>
      <c r="H66" s="90">
        <v>0</v>
      </c>
      <c r="I66" s="90">
        <v>0</v>
      </c>
      <c r="J66" s="164">
        <v>0</v>
      </c>
      <c r="K66" s="164">
        <v>0</v>
      </c>
      <c r="L66" s="164">
        <f t="shared" si="1"/>
        <v>0</v>
      </c>
      <c r="O66" s="132">
        <v>0</v>
      </c>
    </row>
    <row r="67" spans="1:15" ht="15" outlineLevel="2">
      <c r="A67" s="170" t="s">
        <v>1406</v>
      </c>
      <c r="B67" s="171" t="s">
        <v>1595</v>
      </c>
      <c r="C67" s="170" t="s">
        <v>1578</v>
      </c>
      <c r="D67" s="168">
        <v>44424</v>
      </c>
      <c r="E67" s="168">
        <v>44426</v>
      </c>
      <c r="F67" s="164">
        <v>1</v>
      </c>
      <c r="G67" s="90">
        <v>3</v>
      </c>
      <c r="H67" s="90">
        <v>0</v>
      </c>
      <c r="I67" s="90">
        <v>0</v>
      </c>
      <c r="J67" s="164">
        <v>0</v>
      </c>
      <c r="K67" s="164">
        <v>0</v>
      </c>
      <c r="L67" s="164">
        <f t="shared" si="1"/>
        <v>0</v>
      </c>
      <c r="O67" s="132">
        <v>0</v>
      </c>
    </row>
    <row r="68" spans="1:15" ht="15" outlineLevel="2">
      <c r="A68" s="170" t="s">
        <v>1406</v>
      </c>
      <c r="B68" s="171" t="s">
        <v>1596</v>
      </c>
      <c r="C68" s="170" t="s">
        <v>1579</v>
      </c>
      <c r="D68" s="168">
        <v>44425</v>
      </c>
      <c r="E68" s="168">
        <v>44427</v>
      </c>
      <c r="F68" s="164">
        <v>1</v>
      </c>
      <c r="G68" s="90">
        <v>3</v>
      </c>
      <c r="H68" s="90">
        <v>0</v>
      </c>
      <c r="I68" s="90">
        <v>0</v>
      </c>
      <c r="J68" s="164">
        <v>0</v>
      </c>
      <c r="K68" s="164">
        <v>0</v>
      </c>
      <c r="L68" s="164">
        <f t="shared" si="1"/>
        <v>0</v>
      </c>
      <c r="O68" s="132">
        <v>0</v>
      </c>
    </row>
    <row r="69" spans="1:15" ht="15" outlineLevel="2">
      <c r="A69" s="170" t="s">
        <v>1406</v>
      </c>
      <c r="B69" s="171" t="s">
        <v>1597</v>
      </c>
      <c r="C69" s="170" t="s">
        <v>1580</v>
      </c>
      <c r="D69" s="168">
        <v>44427</v>
      </c>
      <c r="E69" s="168">
        <v>44428</v>
      </c>
      <c r="F69" s="164">
        <v>1</v>
      </c>
      <c r="G69" s="90">
        <v>2</v>
      </c>
      <c r="H69" s="90">
        <v>0</v>
      </c>
      <c r="I69" s="90">
        <v>0</v>
      </c>
      <c r="J69" s="164">
        <v>0</v>
      </c>
      <c r="K69" s="164">
        <v>0</v>
      </c>
      <c r="L69" s="164">
        <f t="shared" si="1"/>
        <v>0</v>
      </c>
      <c r="O69" s="132">
        <v>0</v>
      </c>
    </row>
    <row r="70" spans="1:15" ht="15" outlineLevel="2">
      <c r="A70" s="170" t="s">
        <v>1406</v>
      </c>
      <c r="B70" s="171" t="s">
        <v>1598</v>
      </c>
      <c r="C70" s="170" t="s">
        <v>1581</v>
      </c>
      <c r="D70" s="168">
        <v>44428</v>
      </c>
      <c r="E70" s="168">
        <v>44428</v>
      </c>
      <c r="F70" s="164">
        <v>1</v>
      </c>
      <c r="G70" s="90">
        <v>1</v>
      </c>
      <c r="H70" s="90">
        <v>0</v>
      </c>
      <c r="I70" s="90">
        <v>0</v>
      </c>
      <c r="J70" s="164">
        <v>0</v>
      </c>
      <c r="K70" s="164">
        <v>0</v>
      </c>
      <c r="L70" s="164">
        <f t="shared" si="1"/>
        <v>0</v>
      </c>
      <c r="O70" s="132">
        <v>0</v>
      </c>
    </row>
    <row r="71" spans="1:15" ht="15" outlineLevel="2">
      <c r="A71" s="170" t="s">
        <v>1406</v>
      </c>
      <c r="B71" s="171" t="s">
        <v>1599</v>
      </c>
      <c r="C71" s="170" t="s">
        <v>1582</v>
      </c>
      <c r="D71" s="168">
        <v>44426</v>
      </c>
      <c r="E71" s="168">
        <v>44427</v>
      </c>
      <c r="F71" s="164">
        <v>1</v>
      </c>
      <c r="G71" s="90">
        <v>2</v>
      </c>
      <c r="H71" s="90">
        <v>0</v>
      </c>
      <c r="I71" s="90">
        <v>0</v>
      </c>
      <c r="J71" s="164">
        <v>0</v>
      </c>
      <c r="K71" s="164">
        <v>0</v>
      </c>
      <c r="L71" s="164">
        <f t="shared" ref="L71:L102" si="2">K71-J71</f>
        <v>0</v>
      </c>
      <c r="O71" s="132">
        <v>0</v>
      </c>
    </row>
    <row r="72" spans="1:15" ht="15" outlineLevel="2">
      <c r="A72" s="170" t="s">
        <v>1406</v>
      </c>
      <c r="B72" s="171" t="s">
        <v>1600</v>
      </c>
      <c r="C72" s="170" t="s">
        <v>1583</v>
      </c>
      <c r="D72" s="168">
        <v>44429</v>
      </c>
      <c r="E72" s="168">
        <v>44430</v>
      </c>
      <c r="F72" s="164">
        <v>1</v>
      </c>
      <c r="G72" s="90">
        <v>0</v>
      </c>
      <c r="H72" s="90">
        <v>0</v>
      </c>
      <c r="I72" s="90">
        <v>0</v>
      </c>
      <c r="J72" s="164">
        <v>0</v>
      </c>
      <c r="K72" s="164">
        <v>0</v>
      </c>
      <c r="L72" s="164">
        <f t="shared" si="2"/>
        <v>0</v>
      </c>
      <c r="O72" s="132">
        <v>0</v>
      </c>
    </row>
    <row r="73" spans="1:15" ht="15" outlineLevel="2">
      <c r="A73" s="170" t="s">
        <v>1406</v>
      </c>
      <c r="B73" s="171" t="s">
        <v>1601</v>
      </c>
      <c r="C73" s="170" t="s">
        <v>1584</v>
      </c>
      <c r="D73" s="168">
        <v>44429</v>
      </c>
      <c r="E73" s="168">
        <v>44430</v>
      </c>
      <c r="F73" s="164">
        <v>1</v>
      </c>
      <c r="G73" s="90">
        <v>0</v>
      </c>
      <c r="H73" s="90">
        <v>0</v>
      </c>
      <c r="I73" s="90">
        <v>0</v>
      </c>
      <c r="J73" s="164">
        <v>0</v>
      </c>
      <c r="K73" s="164">
        <v>0</v>
      </c>
      <c r="L73" s="164">
        <f t="shared" si="2"/>
        <v>0</v>
      </c>
      <c r="O73" s="132">
        <v>0</v>
      </c>
    </row>
    <row r="74" spans="1:15" ht="15" outlineLevel="2">
      <c r="A74" s="170" t="s">
        <v>1406</v>
      </c>
      <c r="B74" s="171" t="s">
        <v>1604</v>
      </c>
      <c r="C74" s="170" t="s">
        <v>1578</v>
      </c>
      <c r="D74" s="168">
        <v>44431</v>
      </c>
      <c r="E74" s="168">
        <v>44431</v>
      </c>
      <c r="F74" s="164">
        <v>1</v>
      </c>
      <c r="G74" s="90">
        <v>1</v>
      </c>
      <c r="H74" s="90">
        <v>0</v>
      </c>
      <c r="I74" s="90">
        <v>0</v>
      </c>
      <c r="J74" s="164">
        <v>0</v>
      </c>
      <c r="K74" s="164">
        <v>0</v>
      </c>
      <c r="L74" s="164">
        <f t="shared" si="2"/>
        <v>0</v>
      </c>
      <c r="O74" s="132">
        <v>0</v>
      </c>
    </row>
    <row r="75" spans="1:15" ht="15" outlineLevel="2">
      <c r="A75" s="170" t="s">
        <v>1406</v>
      </c>
      <c r="B75" s="171" t="s">
        <v>1605</v>
      </c>
      <c r="C75" s="170" t="s">
        <v>1579</v>
      </c>
      <c r="D75" s="168">
        <v>44432</v>
      </c>
      <c r="E75" s="168">
        <v>44432</v>
      </c>
      <c r="F75" s="164">
        <v>1</v>
      </c>
      <c r="G75" s="90">
        <v>1</v>
      </c>
      <c r="H75" s="90">
        <v>0</v>
      </c>
      <c r="I75" s="90">
        <v>0</v>
      </c>
      <c r="J75" s="164">
        <v>0</v>
      </c>
      <c r="K75" s="164">
        <v>0</v>
      </c>
      <c r="L75" s="164">
        <f t="shared" si="2"/>
        <v>0</v>
      </c>
      <c r="O75" s="132">
        <v>0</v>
      </c>
    </row>
    <row r="76" spans="1:15" ht="15" outlineLevel="2">
      <c r="A76" s="170" t="s">
        <v>1406</v>
      </c>
      <c r="B76" s="171" t="s">
        <v>1606</v>
      </c>
      <c r="C76" s="170" t="s">
        <v>1580</v>
      </c>
      <c r="D76" s="168">
        <v>44432</v>
      </c>
      <c r="E76" s="168">
        <v>44432</v>
      </c>
      <c r="F76" s="164">
        <v>1</v>
      </c>
      <c r="G76" s="90">
        <v>1</v>
      </c>
      <c r="H76" s="90">
        <v>0</v>
      </c>
      <c r="I76" s="90">
        <v>0</v>
      </c>
      <c r="J76" s="164">
        <v>0</v>
      </c>
      <c r="K76" s="164">
        <v>0</v>
      </c>
      <c r="L76" s="164">
        <f t="shared" si="2"/>
        <v>0</v>
      </c>
      <c r="O76" s="132">
        <v>0</v>
      </c>
    </row>
    <row r="77" spans="1:15" ht="15" outlineLevel="2">
      <c r="A77" s="170" t="s">
        <v>1406</v>
      </c>
      <c r="B77" s="171" t="s">
        <v>1607</v>
      </c>
      <c r="C77" s="170" t="s">
        <v>1581</v>
      </c>
      <c r="D77" s="168">
        <v>44432</v>
      </c>
      <c r="E77" s="168">
        <v>44432</v>
      </c>
      <c r="F77" s="164">
        <v>1</v>
      </c>
      <c r="G77" s="90">
        <v>1</v>
      </c>
      <c r="H77" s="90">
        <v>0</v>
      </c>
      <c r="I77" s="90">
        <v>0</v>
      </c>
      <c r="J77" s="164">
        <v>0</v>
      </c>
      <c r="K77" s="164">
        <v>0</v>
      </c>
      <c r="L77" s="164">
        <f t="shared" si="2"/>
        <v>0</v>
      </c>
      <c r="O77" s="132">
        <v>0</v>
      </c>
    </row>
    <row r="78" spans="1:15" ht="15" outlineLevel="2">
      <c r="A78" s="170" t="s">
        <v>1406</v>
      </c>
      <c r="B78" s="171" t="s">
        <v>1608</v>
      </c>
      <c r="C78" s="170" t="s">
        <v>1582</v>
      </c>
      <c r="D78" s="168">
        <v>44432</v>
      </c>
      <c r="E78" s="168">
        <v>44432</v>
      </c>
      <c r="F78" s="164">
        <v>1</v>
      </c>
      <c r="G78" s="90">
        <v>1</v>
      </c>
      <c r="H78" s="90">
        <v>0</v>
      </c>
      <c r="I78" s="90">
        <v>0</v>
      </c>
      <c r="J78" s="164">
        <v>0</v>
      </c>
      <c r="K78" s="164">
        <v>0</v>
      </c>
      <c r="L78" s="164">
        <f t="shared" si="2"/>
        <v>0</v>
      </c>
      <c r="O78" s="132">
        <v>0</v>
      </c>
    </row>
    <row r="79" spans="1:15" ht="15" outlineLevel="2">
      <c r="A79" s="170" t="s">
        <v>1406</v>
      </c>
      <c r="B79" s="171" t="s">
        <v>1609</v>
      </c>
      <c r="C79" s="170" t="s">
        <v>1583</v>
      </c>
      <c r="D79" s="168">
        <v>44433</v>
      </c>
      <c r="E79" s="168">
        <v>44433</v>
      </c>
      <c r="F79" s="164">
        <v>1</v>
      </c>
      <c r="G79" s="90">
        <v>1</v>
      </c>
      <c r="H79" s="90">
        <v>0</v>
      </c>
      <c r="I79" s="90">
        <v>0</v>
      </c>
      <c r="J79" s="164">
        <v>0</v>
      </c>
      <c r="K79" s="164">
        <v>0</v>
      </c>
      <c r="L79" s="164">
        <f t="shared" si="2"/>
        <v>0</v>
      </c>
      <c r="O79" s="132">
        <v>0</v>
      </c>
    </row>
    <row r="80" spans="1:15" ht="15" outlineLevel="2">
      <c r="A80" s="170" t="s">
        <v>1406</v>
      </c>
      <c r="B80" s="171" t="s">
        <v>1610</v>
      </c>
      <c r="C80" s="170" t="s">
        <v>1584</v>
      </c>
      <c r="D80" s="168">
        <v>44433</v>
      </c>
      <c r="E80" s="168">
        <v>44433</v>
      </c>
      <c r="F80" s="164">
        <v>1</v>
      </c>
      <c r="G80" s="90">
        <v>1</v>
      </c>
      <c r="H80" s="90">
        <v>0</v>
      </c>
      <c r="I80" s="90">
        <v>0</v>
      </c>
      <c r="J80" s="164">
        <v>0</v>
      </c>
      <c r="K80" s="164">
        <v>0</v>
      </c>
      <c r="L80" s="164">
        <f t="shared" si="2"/>
        <v>0</v>
      </c>
      <c r="O80" s="132">
        <v>0</v>
      </c>
    </row>
    <row r="81" spans="1:15" ht="15" outlineLevel="2">
      <c r="A81" s="170" t="s">
        <v>1406</v>
      </c>
      <c r="B81" s="171" t="s">
        <v>1613</v>
      </c>
      <c r="C81" s="170" t="s">
        <v>1588</v>
      </c>
      <c r="D81" s="168">
        <v>44435</v>
      </c>
      <c r="E81" s="168">
        <v>44435</v>
      </c>
      <c r="F81" s="164">
        <v>1</v>
      </c>
      <c r="G81" s="90">
        <v>1</v>
      </c>
      <c r="H81" s="90">
        <v>0</v>
      </c>
      <c r="I81" s="90">
        <v>0</v>
      </c>
      <c r="J81" s="164">
        <v>0</v>
      </c>
      <c r="K81" s="164">
        <v>0</v>
      </c>
      <c r="L81" s="164">
        <f t="shared" si="2"/>
        <v>0</v>
      </c>
      <c r="O81" s="132">
        <v>0</v>
      </c>
    </row>
    <row r="82" spans="1:15" ht="15" outlineLevel="2">
      <c r="A82" s="170" t="s">
        <v>1406</v>
      </c>
      <c r="B82" s="171" t="s">
        <v>1614</v>
      </c>
      <c r="C82" s="170" t="s">
        <v>1589</v>
      </c>
      <c r="D82" s="168">
        <v>44435</v>
      </c>
      <c r="E82" s="168">
        <v>44435</v>
      </c>
      <c r="F82" s="164">
        <v>1</v>
      </c>
      <c r="G82" s="90">
        <v>1</v>
      </c>
      <c r="H82" s="90">
        <v>0</v>
      </c>
      <c r="I82" s="90">
        <v>0</v>
      </c>
      <c r="J82" s="164">
        <v>0</v>
      </c>
      <c r="K82" s="164">
        <v>0</v>
      </c>
      <c r="L82" s="164">
        <f t="shared" si="2"/>
        <v>0</v>
      </c>
      <c r="O82" s="132">
        <v>0</v>
      </c>
    </row>
    <row r="83" spans="1:15" ht="15" outlineLevel="2">
      <c r="A83" s="170" t="s">
        <v>1406</v>
      </c>
      <c r="B83" s="171" t="s">
        <v>1616</v>
      </c>
      <c r="C83" s="170" t="s">
        <v>1578</v>
      </c>
      <c r="D83" s="168">
        <v>44434</v>
      </c>
      <c r="E83" s="168">
        <v>44434</v>
      </c>
      <c r="F83" s="164">
        <v>1</v>
      </c>
      <c r="G83" s="90">
        <v>1</v>
      </c>
      <c r="H83" s="90">
        <v>0</v>
      </c>
      <c r="I83" s="90">
        <v>0</v>
      </c>
      <c r="J83" s="164">
        <v>0</v>
      </c>
      <c r="K83" s="164">
        <v>0</v>
      </c>
      <c r="L83" s="164">
        <f t="shared" si="2"/>
        <v>0</v>
      </c>
      <c r="O83" s="132">
        <v>0</v>
      </c>
    </row>
    <row r="84" spans="1:15" ht="15" outlineLevel="2">
      <c r="A84" s="170" t="s">
        <v>1406</v>
      </c>
      <c r="B84" s="171" t="s">
        <v>1617</v>
      </c>
      <c r="C84" s="170" t="s">
        <v>1579</v>
      </c>
      <c r="D84" s="168">
        <v>44434</v>
      </c>
      <c r="E84" s="168">
        <v>44434</v>
      </c>
      <c r="F84" s="164">
        <v>1</v>
      </c>
      <c r="G84" s="90">
        <v>1</v>
      </c>
      <c r="H84" s="90">
        <v>0</v>
      </c>
      <c r="I84" s="90">
        <v>0</v>
      </c>
      <c r="J84" s="164">
        <v>0</v>
      </c>
      <c r="K84" s="164">
        <v>0</v>
      </c>
      <c r="L84" s="164">
        <f t="shared" si="2"/>
        <v>0</v>
      </c>
      <c r="O84" s="132">
        <v>0</v>
      </c>
    </row>
    <row r="85" spans="1:15" ht="15" outlineLevel="2">
      <c r="A85" s="170" t="s">
        <v>1406</v>
      </c>
      <c r="B85" s="171" t="s">
        <v>1618</v>
      </c>
      <c r="C85" s="170" t="s">
        <v>1580</v>
      </c>
      <c r="D85" s="168">
        <v>44434</v>
      </c>
      <c r="E85" s="168">
        <v>44434</v>
      </c>
      <c r="F85" s="164">
        <v>1</v>
      </c>
      <c r="G85" s="90">
        <v>1</v>
      </c>
      <c r="H85" s="90">
        <v>0</v>
      </c>
      <c r="I85" s="90">
        <v>0</v>
      </c>
      <c r="J85" s="164">
        <v>0</v>
      </c>
      <c r="K85" s="164">
        <v>0</v>
      </c>
      <c r="L85" s="164">
        <f t="shared" si="2"/>
        <v>0</v>
      </c>
      <c r="O85" s="132">
        <v>0</v>
      </c>
    </row>
    <row r="86" spans="1:15" ht="15" outlineLevel="2">
      <c r="A86" s="170" t="s">
        <v>1406</v>
      </c>
      <c r="B86" s="171" t="s">
        <v>1619</v>
      </c>
      <c r="C86" s="170" t="s">
        <v>1581</v>
      </c>
      <c r="D86" s="168">
        <v>44434</v>
      </c>
      <c r="E86" s="168">
        <v>44434</v>
      </c>
      <c r="F86" s="164">
        <v>1</v>
      </c>
      <c r="G86" s="90">
        <v>1</v>
      </c>
      <c r="H86" s="90">
        <v>0</v>
      </c>
      <c r="I86" s="90">
        <v>0</v>
      </c>
      <c r="J86" s="164">
        <v>0</v>
      </c>
      <c r="K86" s="164">
        <v>0</v>
      </c>
      <c r="L86" s="164">
        <f t="shared" si="2"/>
        <v>0</v>
      </c>
      <c r="O86" s="132">
        <v>0</v>
      </c>
    </row>
    <row r="87" spans="1:15" ht="15" outlineLevel="2">
      <c r="A87" s="170" t="s">
        <v>1406</v>
      </c>
      <c r="B87" s="171" t="s">
        <v>1620</v>
      </c>
      <c r="C87" s="170" t="s">
        <v>1582</v>
      </c>
      <c r="D87" s="168">
        <v>44434</v>
      </c>
      <c r="E87" s="168">
        <v>44434</v>
      </c>
      <c r="F87" s="164">
        <v>1</v>
      </c>
      <c r="G87" s="90">
        <v>1</v>
      </c>
      <c r="H87" s="90">
        <v>0</v>
      </c>
      <c r="I87" s="90">
        <v>0</v>
      </c>
      <c r="J87" s="164">
        <v>0</v>
      </c>
      <c r="K87" s="164">
        <v>0</v>
      </c>
      <c r="L87" s="164">
        <f t="shared" si="2"/>
        <v>0</v>
      </c>
      <c r="O87" s="132">
        <v>0</v>
      </c>
    </row>
    <row r="88" spans="1:15" ht="15" outlineLevel="2">
      <c r="A88" s="170" t="s">
        <v>1406</v>
      </c>
      <c r="B88" s="171" t="s">
        <v>1621</v>
      </c>
      <c r="C88" s="170" t="s">
        <v>1583</v>
      </c>
      <c r="D88" s="168">
        <v>44434</v>
      </c>
      <c r="E88" s="168">
        <v>44434</v>
      </c>
      <c r="F88" s="164">
        <v>1</v>
      </c>
      <c r="G88" s="90">
        <v>1</v>
      </c>
      <c r="H88" s="90">
        <v>0</v>
      </c>
      <c r="I88" s="90">
        <v>0</v>
      </c>
      <c r="J88" s="164">
        <v>0</v>
      </c>
      <c r="K88" s="164">
        <v>0</v>
      </c>
      <c r="L88" s="164">
        <f t="shared" si="2"/>
        <v>0</v>
      </c>
      <c r="O88" s="132">
        <v>0</v>
      </c>
    </row>
    <row r="89" spans="1:15" ht="15" outlineLevel="2">
      <c r="A89" s="170" t="s">
        <v>1406</v>
      </c>
      <c r="B89" s="171" t="s">
        <v>1622</v>
      </c>
      <c r="C89" s="170" t="s">
        <v>1584</v>
      </c>
      <c r="D89" s="168">
        <v>44436</v>
      </c>
      <c r="E89" s="168">
        <v>44436</v>
      </c>
      <c r="F89" s="164">
        <v>1</v>
      </c>
      <c r="G89" s="90">
        <v>0</v>
      </c>
      <c r="H89" s="90">
        <v>0</v>
      </c>
      <c r="I89" s="90">
        <v>0</v>
      </c>
      <c r="J89" s="164">
        <v>0</v>
      </c>
      <c r="K89" s="164">
        <v>0</v>
      </c>
      <c r="L89" s="164">
        <f t="shared" si="2"/>
        <v>0</v>
      </c>
      <c r="O89" s="132">
        <v>0</v>
      </c>
    </row>
    <row r="90" spans="1:15" ht="15" outlineLevel="2">
      <c r="A90" s="170" t="s">
        <v>1406</v>
      </c>
      <c r="B90" s="171" t="s">
        <v>1625</v>
      </c>
      <c r="C90" s="170" t="s">
        <v>1578</v>
      </c>
      <c r="D90" s="168">
        <v>44438</v>
      </c>
      <c r="E90" s="168">
        <v>44439</v>
      </c>
      <c r="F90" s="164">
        <v>1</v>
      </c>
      <c r="G90" s="90">
        <v>2</v>
      </c>
      <c r="H90" s="90">
        <v>0</v>
      </c>
      <c r="I90" s="90">
        <v>0</v>
      </c>
      <c r="J90" s="164">
        <v>0</v>
      </c>
      <c r="K90" s="164">
        <v>0</v>
      </c>
      <c r="L90" s="164">
        <f t="shared" si="2"/>
        <v>0</v>
      </c>
      <c r="O90" s="132">
        <v>0</v>
      </c>
    </row>
    <row r="91" spans="1:15" ht="15" outlineLevel="2">
      <c r="A91" s="170" t="s">
        <v>1406</v>
      </c>
      <c r="B91" s="171" t="s">
        <v>1626</v>
      </c>
      <c r="C91" s="170" t="s">
        <v>1579</v>
      </c>
      <c r="D91" s="168">
        <v>44439</v>
      </c>
      <c r="E91" s="168">
        <v>44440</v>
      </c>
      <c r="F91" s="164">
        <v>1</v>
      </c>
      <c r="G91" s="90">
        <v>2</v>
      </c>
      <c r="H91" s="90">
        <v>0</v>
      </c>
      <c r="I91" s="90">
        <v>0</v>
      </c>
      <c r="J91" s="164">
        <v>0</v>
      </c>
      <c r="K91" s="164">
        <v>0</v>
      </c>
      <c r="L91" s="164">
        <f t="shared" si="2"/>
        <v>0</v>
      </c>
      <c r="O91" s="132">
        <v>0</v>
      </c>
    </row>
    <row r="92" spans="1:15" ht="15" outlineLevel="2">
      <c r="A92" s="170" t="s">
        <v>1406</v>
      </c>
      <c r="B92" s="171" t="s">
        <v>1627</v>
      </c>
      <c r="C92" s="170" t="s">
        <v>1580</v>
      </c>
      <c r="D92" s="168">
        <v>44439</v>
      </c>
      <c r="E92" s="168">
        <v>44440</v>
      </c>
      <c r="F92" s="164">
        <v>1</v>
      </c>
      <c r="G92" s="90">
        <v>2</v>
      </c>
      <c r="H92" s="90">
        <v>0</v>
      </c>
      <c r="I92" s="90">
        <v>0</v>
      </c>
      <c r="J92" s="164">
        <v>0</v>
      </c>
      <c r="K92" s="164">
        <v>0</v>
      </c>
      <c r="L92" s="164">
        <f t="shared" si="2"/>
        <v>0</v>
      </c>
      <c r="O92" s="132">
        <v>0</v>
      </c>
    </row>
    <row r="93" spans="1:15" ht="15" outlineLevel="2">
      <c r="A93" s="170" t="s">
        <v>1406</v>
      </c>
      <c r="B93" s="171" t="s">
        <v>1628</v>
      </c>
      <c r="C93" s="170" t="s">
        <v>1581</v>
      </c>
      <c r="D93" s="168">
        <v>44441</v>
      </c>
      <c r="E93" s="168">
        <v>44441</v>
      </c>
      <c r="F93" s="164">
        <v>1</v>
      </c>
      <c r="G93" s="90">
        <v>1</v>
      </c>
      <c r="H93" s="90">
        <v>0</v>
      </c>
      <c r="I93" s="90">
        <v>0</v>
      </c>
      <c r="J93" s="164">
        <v>0</v>
      </c>
      <c r="K93" s="164">
        <v>0</v>
      </c>
      <c r="L93" s="164">
        <f t="shared" si="2"/>
        <v>0</v>
      </c>
      <c r="O93" s="132">
        <v>0</v>
      </c>
    </row>
    <row r="94" spans="1:15" ht="15" outlineLevel="2">
      <c r="A94" s="170" t="s">
        <v>1406</v>
      </c>
      <c r="B94" s="171" t="s">
        <v>1629</v>
      </c>
      <c r="C94" s="170" t="s">
        <v>1582</v>
      </c>
      <c r="D94" s="168">
        <v>44441</v>
      </c>
      <c r="E94" s="168">
        <v>44441</v>
      </c>
      <c r="F94" s="164">
        <v>1</v>
      </c>
      <c r="G94" s="90">
        <v>1</v>
      </c>
      <c r="H94" s="90">
        <v>0</v>
      </c>
      <c r="I94" s="90">
        <v>0</v>
      </c>
      <c r="J94" s="164">
        <v>0</v>
      </c>
      <c r="K94" s="164">
        <v>0</v>
      </c>
      <c r="L94" s="164">
        <f t="shared" si="2"/>
        <v>0</v>
      </c>
      <c r="O94" s="132">
        <v>0</v>
      </c>
    </row>
    <row r="95" spans="1:15" ht="15" outlineLevel="2">
      <c r="A95" s="170" t="s">
        <v>1406</v>
      </c>
      <c r="B95" s="171" t="s">
        <v>1630</v>
      </c>
      <c r="C95" s="170" t="s">
        <v>1583</v>
      </c>
      <c r="D95" s="168">
        <v>44442</v>
      </c>
      <c r="E95" s="168">
        <v>44442</v>
      </c>
      <c r="F95" s="164">
        <v>1</v>
      </c>
      <c r="G95" s="90">
        <v>1</v>
      </c>
      <c r="H95" s="90">
        <v>0</v>
      </c>
      <c r="I95" s="90">
        <v>0</v>
      </c>
      <c r="J95" s="164">
        <v>0</v>
      </c>
      <c r="K95" s="164">
        <v>0</v>
      </c>
      <c r="L95" s="164">
        <f t="shared" si="2"/>
        <v>0</v>
      </c>
      <c r="O95" s="132">
        <v>0</v>
      </c>
    </row>
    <row r="96" spans="1:15" ht="15" outlineLevel="2">
      <c r="A96" s="170" t="s">
        <v>1406</v>
      </c>
      <c r="B96" s="171" t="s">
        <v>1631</v>
      </c>
      <c r="C96" s="170" t="s">
        <v>1584</v>
      </c>
      <c r="D96" s="168">
        <v>44443</v>
      </c>
      <c r="E96" s="168">
        <v>44443</v>
      </c>
      <c r="F96" s="164">
        <v>1</v>
      </c>
      <c r="G96" s="90">
        <v>0</v>
      </c>
      <c r="H96" s="90">
        <v>0</v>
      </c>
      <c r="I96" s="90">
        <v>0</v>
      </c>
      <c r="J96" s="164">
        <v>0</v>
      </c>
      <c r="K96" s="164">
        <v>0</v>
      </c>
      <c r="L96" s="164">
        <f t="shared" si="2"/>
        <v>0</v>
      </c>
      <c r="O96" s="132">
        <v>0</v>
      </c>
    </row>
    <row r="97" spans="1:15" ht="15" outlineLevel="2">
      <c r="A97" s="170" t="s">
        <v>1406</v>
      </c>
      <c r="B97" s="171" t="s">
        <v>1544</v>
      </c>
      <c r="C97" s="170" t="s">
        <v>1545</v>
      </c>
      <c r="D97" s="168">
        <v>44424</v>
      </c>
      <c r="E97" s="168">
        <v>44428</v>
      </c>
      <c r="F97" s="164">
        <v>1</v>
      </c>
      <c r="G97" s="90">
        <v>5</v>
      </c>
      <c r="H97" s="90">
        <v>0</v>
      </c>
      <c r="I97" s="90">
        <v>0</v>
      </c>
      <c r="J97" s="164">
        <v>0</v>
      </c>
      <c r="K97" s="164">
        <v>0</v>
      </c>
      <c r="L97" s="164">
        <f t="shared" si="2"/>
        <v>0</v>
      </c>
      <c r="O97" s="132">
        <v>0</v>
      </c>
    </row>
    <row r="98" spans="1:15" ht="15" outlineLevel="2">
      <c r="A98" s="170" t="s">
        <v>1406</v>
      </c>
      <c r="B98" s="171" t="s">
        <v>1546</v>
      </c>
      <c r="C98" s="170" t="s">
        <v>1547</v>
      </c>
      <c r="D98" s="168">
        <v>44431</v>
      </c>
      <c r="E98" s="168">
        <v>44435</v>
      </c>
      <c r="F98" s="164">
        <v>1</v>
      </c>
      <c r="G98" s="90">
        <v>5</v>
      </c>
      <c r="H98" s="90">
        <v>0</v>
      </c>
      <c r="I98" s="90">
        <v>0</v>
      </c>
      <c r="J98" s="164">
        <v>0</v>
      </c>
      <c r="K98" s="164">
        <v>0</v>
      </c>
      <c r="L98" s="164">
        <f t="shared" si="2"/>
        <v>0</v>
      </c>
      <c r="O98" s="132">
        <v>0</v>
      </c>
    </row>
    <row r="99" spans="1:15" ht="15" outlineLevel="1">
      <c r="A99" s="172" t="s">
        <v>1728</v>
      </c>
      <c r="B99" s="173"/>
      <c r="C99" s="174"/>
      <c r="D99" s="175"/>
      <c r="E99" s="175"/>
      <c r="F99" s="176"/>
      <c r="G99" s="177">
        <f>SUBTOTAL(9,G7:G98)</f>
        <v>2284</v>
      </c>
      <c r="H99" s="177">
        <f>SUBTOTAL(9,H7:H98)</f>
        <v>0</v>
      </c>
      <c r="I99" s="177">
        <f>SUBTOTAL(9,I7:I98)</f>
        <v>0</v>
      </c>
      <c r="J99" s="176">
        <f>H99/G99</f>
        <v>0</v>
      </c>
      <c r="K99" s="176">
        <f>I99/G99</f>
        <v>0</v>
      </c>
      <c r="L99" s="176">
        <f t="shared" si="2"/>
        <v>0</v>
      </c>
      <c r="M99" s="178"/>
      <c r="N99" s="178"/>
      <c r="O99" s="178">
        <f>SUBTOTAL(9,O7:O98)</f>
        <v>0</v>
      </c>
    </row>
    <row r="100" spans="1:15" ht="15" outlineLevel="2">
      <c r="A100" s="170" t="s">
        <v>1720</v>
      </c>
      <c r="B100" s="171" t="s">
        <v>1694</v>
      </c>
      <c r="C100" s="170" t="s">
        <v>1683</v>
      </c>
      <c r="D100" s="168">
        <v>44287</v>
      </c>
      <c r="E100" s="168">
        <v>44561</v>
      </c>
      <c r="F100" s="164">
        <v>0.5</v>
      </c>
      <c r="G100" s="90">
        <v>96</v>
      </c>
      <c r="H100" s="90">
        <v>0</v>
      </c>
      <c r="I100" s="90">
        <v>0</v>
      </c>
      <c r="J100" s="164">
        <v>0</v>
      </c>
      <c r="K100" s="164">
        <v>0</v>
      </c>
      <c r="L100" s="164">
        <f t="shared" si="2"/>
        <v>0</v>
      </c>
      <c r="O100" s="132">
        <v>0</v>
      </c>
    </row>
    <row r="101" spans="1:15" ht="15" outlineLevel="1">
      <c r="A101" s="172" t="s">
        <v>1729</v>
      </c>
      <c r="B101" s="173"/>
      <c r="C101" s="174"/>
      <c r="D101" s="175"/>
      <c r="E101" s="175"/>
      <c r="F101" s="176"/>
      <c r="G101" s="177">
        <f>SUBTOTAL(9,G100:G100)</f>
        <v>96</v>
      </c>
      <c r="H101" s="177">
        <f>SUBTOTAL(9,H100:H100)</f>
        <v>0</v>
      </c>
      <c r="I101" s="177">
        <f>SUBTOTAL(9,I100:I100)</f>
        <v>0</v>
      </c>
      <c r="J101" s="176">
        <f>H101/G101</f>
        <v>0</v>
      </c>
      <c r="K101" s="176">
        <f>I101/G101</f>
        <v>0</v>
      </c>
      <c r="L101" s="176">
        <f t="shared" si="2"/>
        <v>0</v>
      </c>
      <c r="M101" s="178"/>
      <c r="N101" s="178"/>
      <c r="O101" s="178">
        <f>SUBTOTAL(9,O100:O100)</f>
        <v>0</v>
      </c>
    </row>
    <row r="102" spans="1:15" ht="15" outlineLevel="2">
      <c r="A102" s="170" t="s">
        <v>1716</v>
      </c>
      <c r="B102" s="171" t="s">
        <v>1717</v>
      </c>
      <c r="C102" s="170" t="s">
        <v>1715</v>
      </c>
      <c r="D102" s="168">
        <v>44235</v>
      </c>
      <c r="E102" s="168">
        <v>44253</v>
      </c>
      <c r="F102" s="164">
        <v>1</v>
      </c>
      <c r="G102" s="90">
        <v>13</v>
      </c>
      <c r="H102" s="90">
        <v>0</v>
      </c>
      <c r="I102" s="90">
        <v>0</v>
      </c>
      <c r="J102" s="164">
        <v>0</v>
      </c>
      <c r="K102" s="164">
        <v>0</v>
      </c>
      <c r="L102" s="164">
        <f t="shared" si="2"/>
        <v>0</v>
      </c>
      <c r="O102" s="132">
        <v>0</v>
      </c>
    </row>
    <row r="103" spans="1:15" ht="15" outlineLevel="1">
      <c r="A103" s="172" t="s">
        <v>1730</v>
      </c>
      <c r="B103" s="173"/>
      <c r="C103" s="174"/>
      <c r="D103" s="175"/>
      <c r="E103" s="175"/>
      <c r="F103" s="176"/>
      <c r="G103" s="177">
        <f>SUBTOTAL(9,G102:G102)</f>
        <v>13</v>
      </c>
      <c r="H103" s="177">
        <f>SUBTOTAL(9,H102:H102)</f>
        <v>0</v>
      </c>
      <c r="I103" s="177">
        <f>SUBTOTAL(9,I102:I102)</f>
        <v>0</v>
      </c>
      <c r="J103" s="176">
        <f>H103/G103</f>
        <v>0</v>
      </c>
      <c r="K103" s="176">
        <f>I103/G103</f>
        <v>0</v>
      </c>
      <c r="L103" s="176">
        <f t="shared" ref="L103:L134" si="3">K103-J103</f>
        <v>0</v>
      </c>
      <c r="M103" s="178"/>
      <c r="N103" s="178"/>
      <c r="O103" s="178">
        <f>SUBTOTAL(9,O102:O102)</f>
        <v>0</v>
      </c>
    </row>
    <row r="104" spans="1:15" ht="15" outlineLevel="2">
      <c r="A104" s="170" t="s">
        <v>1719</v>
      </c>
      <c r="B104" s="171" t="s">
        <v>1663</v>
      </c>
      <c r="C104" s="170" t="s">
        <v>1499</v>
      </c>
      <c r="D104" s="168">
        <v>44232</v>
      </c>
      <c r="E104" s="168">
        <v>44232</v>
      </c>
      <c r="F104" s="164">
        <v>0.2</v>
      </c>
      <c r="G104" s="90">
        <v>0.2</v>
      </c>
      <c r="H104" s="90">
        <v>0</v>
      </c>
      <c r="I104" s="90">
        <v>0</v>
      </c>
      <c r="J104" s="164">
        <v>0</v>
      </c>
      <c r="K104" s="164">
        <v>0</v>
      </c>
      <c r="L104" s="164">
        <f t="shared" si="3"/>
        <v>0</v>
      </c>
      <c r="O104" s="132">
        <v>0</v>
      </c>
    </row>
    <row r="105" spans="1:15" ht="15" outlineLevel="1">
      <c r="A105" s="172" t="s">
        <v>1731</v>
      </c>
      <c r="B105" s="173"/>
      <c r="C105" s="174"/>
      <c r="D105" s="175"/>
      <c r="E105" s="175"/>
      <c r="F105" s="176"/>
      <c r="G105" s="177">
        <f>SUBTOTAL(9,G104:G104)</f>
        <v>0.2</v>
      </c>
      <c r="H105" s="177">
        <f>SUBTOTAL(9,H104:H104)</f>
        <v>0</v>
      </c>
      <c r="I105" s="177">
        <f>SUBTOTAL(9,I104:I104)</f>
        <v>0</v>
      </c>
      <c r="J105" s="176">
        <f>H105/G105</f>
        <v>0</v>
      </c>
      <c r="K105" s="176">
        <f>I105/G105</f>
        <v>0</v>
      </c>
      <c r="L105" s="176">
        <f t="shared" si="3"/>
        <v>0</v>
      </c>
      <c r="M105" s="178"/>
      <c r="N105" s="178"/>
      <c r="O105" s="178">
        <f>SUBTOTAL(9,O104:O104)</f>
        <v>0</v>
      </c>
    </row>
    <row r="106" spans="1:15" ht="15" outlineLevel="2">
      <c r="A106" s="170" t="s">
        <v>1503</v>
      </c>
      <c r="B106" s="171" t="s">
        <v>1096</v>
      </c>
      <c r="C106" s="170" t="s">
        <v>1272</v>
      </c>
      <c r="D106" s="168">
        <v>44200</v>
      </c>
      <c r="E106" s="168">
        <v>44200</v>
      </c>
      <c r="F106" s="164">
        <v>1</v>
      </c>
      <c r="G106" s="90">
        <v>1</v>
      </c>
      <c r="H106" s="90">
        <v>1</v>
      </c>
      <c r="I106" s="90">
        <v>1</v>
      </c>
      <c r="J106" s="164">
        <v>1</v>
      </c>
      <c r="K106" s="164">
        <v>1</v>
      </c>
      <c r="L106" s="164">
        <f t="shared" si="3"/>
        <v>0</v>
      </c>
      <c r="M106" s="168">
        <v>44200</v>
      </c>
      <c r="N106" s="168">
        <v>44200</v>
      </c>
      <c r="O106" s="132">
        <v>1</v>
      </c>
    </row>
    <row r="107" spans="1:15" ht="15" outlineLevel="2">
      <c r="A107" s="170" t="s">
        <v>1503</v>
      </c>
      <c r="B107" s="171" t="s">
        <v>1274</v>
      </c>
      <c r="C107" s="170" t="s">
        <v>1275</v>
      </c>
      <c r="D107" s="168">
        <v>44200</v>
      </c>
      <c r="E107" s="168">
        <v>44211</v>
      </c>
      <c r="F107" s="164">
        <v>1</v>
      </c>
      <c r="G107" s="90">
        <v>10</v>
      </c>
      <c r="H107" s="90">
        <v>9</v>
      </c>
      <c r="I107" s="90">
        <v>7</v>
      </c>
      <c r="J107" s="164">
        <v>0.9</v>
      </c>
      <c r="K107" s="164">
        <v>0.7</v>
      </c>
      <c r="L107" s="180">
        <f t="shared" si="3"/>
        <v>-0.20000000000000007</v>
      </c>
      <c r="M107" s="168">
        <v>44200</v>
      </c>
      <c r="O107" s="132">
        <v>7</v>
      </c>
    </row>
    <row r="108" spans="1:15" ht="15" outlineLevel="2">
      <c r="A108" s="170" t="s">
        <v>1503</v>
      </c>
      <c r="B108" s="171" t="s">
        <v>1276</v>
      </c>
      <c r="C108" s="170" t="s">
        <v>1277</v>
      </c>
      <c r="D108" s="168">
        <v>44224</v>
      </c>
      <c r="E108" s="168">
        <v>44224</v>
      </c>
      <c r="F108" s="164">
        <v>0</v>
      </c>
      <c r="G108" s="90">
        <v>0</v>
      </c>
      <c r="H108" s="90">
        <v>0</v>
      </c>
      <c r="I108" s="90">
        <v>0</v>
      </c>
      <c r="J108" s="164">
        <v>0</v>
      </c>
      <c r="K108" s="164">
        <v>0</v>
      </c>
      <c r="L108" s="164">
        <f t="shared" si="3"/>
        <v>0</v>
      </c>
      <c r="O108" s="132">
        <v>0</v>
      </c>
    </row>
    <row r="109" spans="1:15" ht="15" outlineLevel="2">
      <c r="A109" s="170" t="s">
        <v>1503</v>
      </c>
      <c r="B109" s="171" t="s">
        <v>1099</v>
      </c>
      <c r="C109" s="170" t="s">
        <v>1670</v>
      </c>
      <c r="D109" s="168">
        <v>44428</v>
      </c>
      <c r="E109" s="168">
        <v>44428</v>
      </c>
      <c r="F109" s="164">
        <v>0</v>
      </c>
      <c r="G109" s="90">
        <v>0</v>
      </c>
      <c r="H109" s="90">
        <v>0</v>
      </c>
      <c r="I109" s="90">
        <v>0</v>
      </c>
      <c r="J109" s="164">
        <v>0</v>
      </c>
      <c r="K109" s="164">
        <v>0</v>
      </c>
      <c r="L109" s="164">
        <f t="shared" si="3"/>
        <v>0</v>
      </c>
      <c r="O109" s="132">
        <v>0</v>
      </c>
    </row>
    <row r="110" spans="1:15" ht="15" outlineLevel="2">
      <c r="A110" s="170" t="s">
        <v>1503</v>
      </c>
      <c r="B110" s="171" t="s">
        <v>1101</v>
      </c>
      <c r="C110" s="170" t="s">
        <v>1435</v>
      </c>
      <c r="D110" s="168">
        <v>44582</v>
      </c>
      <c r="E110" s="168">
        <v>44582</v>
      </c>
      <c r="F110" s="164">
        <v>1</v>
      </c>
      <c r="G110" s="90">
        <v>1</v>
      </c>
      <c r="H110" s="90">
        <v>0</v>
      </c>
      <c r="I110" s="90">
        <v>0</v>
      </c>
      <c r="J110" s="164">
        <v>0</v>
      </c>
      <c r="K110" s="164">
        <v>0</v>
      </c>
      <c r="L110" s="164">
        <f t="shared" si="3"/>
        <v>0</v>
      </c>
      <c r="O110" s="132">
        <v>0</v>
      </c>
    </row>
    <row r="111" spans="1:15" ht="15" outlineLevel="2">
      <c r="A111" s="170" t="s">
        <v>1503</v>
      </c>
      <c r="B111" s="171" t="s">
        <v>1105</v>
      </c>
      <c r="C111" s="170" t="s">
        <v>1436</v>
      </c>
      <c r="D111" s="168">
        <v>44585</v>
      </c>
      <c r="E111" s="168">
        <v>44589</v>
      </c>
      <c r="F111" s="164">
        <v>0</v>
      </c>
      <c r="G111" s="90">
        <v>0</v>
      </c>
      <c r="H111" s="90">
        <v>0</v>
      </c>
      <c r="I111" s="90">
        <v>0</v>
      </c>
      <c r="J111" s="164">
        <v>0</v>
      </c>
      <c r="K111" s="164">
        <v>0</v>
      </c>
      <c r="L111" s="164">
        <f t="shared" si="3"/>
        <v>0</v>
      </c>
      <c r="O111" s="132">
        <v>0</v>
      </c>
    </row>
    <row r="112" spans="1:15" ht="15" outlineLevel="2">
      <c r="A112" s="170" t="s">
        <v>1503</v>
      </c>
      <c r="B112" s="171" t="s">
        <v>1489</v>
      </c>
      <c r="C112" s="170" t="s">
        <v>1493</v>
      </c>
      <c r="D112" s="168">
        <v>44229</v>
      </c>
      <c r="E112" s="168">
        <v>44229</v>
      </c>
      <c r="F112" s="164">
        <v>1</v>
      </c>
      <c r="G112" s="90">
        <v>1</v>
      </c>
      <c r="H112" s="90">
        <v>0</v>
      </c>
      <c r="I112" s="90">
        <v>0</v>
      </c>
      <c r="J112" s="164">
        <v>0</v>
      </c>
      <c r="K112" s="164">
        <v>0</v>
      </c>
      <c r="L112" s="164">
        <f t="shared" si="3"/>
        <v>0</v>
      </c>
      <c r="O112" s="132">
        <v>0</v>
      </c>
    </row>
    <row r="113" spans="1:15" ht="15" outlineLevel="1">
      <c r="A113" s="172" t="s">
        <v>1732</v>
      </c>
      <c r="B113" s="173"/>
      <c r="C113" s="174"/>
      <c r="D113" s="175"/>
      <c r="E113" s="175"/>
      <c r="F113" s="176"/>
      <c r="G113" s="177">
        <f>SUBTOTAL(9,G106:G112)</f>
        <v>13</v>
      </c>
      <c r="H113" s="177">
        <f>SUBTOTAL(9,H106:H112)</f>
        <v>10</v>
      </c>
      <c r="I113" s="177">
        <f>SUBTOTAL(9,I106:I112)</f>
        <v>8</v>
      </c>
      <c r="J113" s="176">
        <f>H113/G113</f>
        <v>0.76923076923076927</v>
      </c>
      <c r="K113" s="176">
        <f>I113/G113</f>
        <v>0.61538461538461542</v>
      </c>
      <c r="L113" s="181">
        <f t="shared" si="3"/>
        <v>-0.15384615384615385</v>
      </c>
      <c r="M113" s="178"/>
      <c r="N113" s="178"/>
      <c r="O113" s="178">
        <f>SUBTOTAL(9,O106:O112)</f>
        <v>8</v>
      </c>
    </row>
    <row r="114" spans="1:15" ht="15" outlineLevel="2">
      <c r="A114" s="170" t="s">
        <v>1501</v>
      </c>
      <c r="B114" s="171" t="s">
        <v>1659</v>
      </c>
      <c r="C114" s="170" t="s">
        <v>1495</v>
      </c>
      <c r="D114" s="168">
        <v>44225</v>
      </c>
      <c r="E114" s="168">
        <v>44225</v>
      </c>
      <c r="F114" s="164">
        <v>1</v>
      </c>
      <c r="G114" s="90">
        <v>1</v>
      </c>
      <c r="H114" s="90">
        <v>0</v>
      </c>
      <c r="I114" s="90">
        <v>0</v>
      </c>
      <c r="J114" s="164">
        <v>0</v>
      </c>
      <c r="K114" s="164">
        <v>0</v>
      </c>
      <c r="L114" s="164">
        <f t="shared" si="3"/>
        <v>0</v>
      </c>
      <c r="O114" s="132">
        <v>0</v>
      </c>
    </row>
    <row r="115" spans="1:15" ht="15" outlineLevel="2">
      <c r="A115" s="170" t="s">
        <v>1501</v>
      </c>
      <c r="B115" s="171" t="s">
        <v>1485</v>
      </c>
      <c r="C115" s="170" t="s">
        <v>1667</v>
      </c>
      <c r="D115" s="168">
        <v>44215</v>
      </c>
      <c r="E115" s="168">
        <v>44224</v>
      </c>
      <c r="F115" s="164">
        <v>1</v>
      </c>
      <c r="G115" s="90">
        <v>8</v>
      </c>
      <c r="H115" s="90">
        <v>0</v>
      </c>
      <c r="I115" s="90">
        <v>0</v>
      </c>
      <c r="J115" s="164">
        <v>0</v>
      </c>
      <c r="K115" s="164">
        <v>0</v>
      </c>
      <c r="L115" s="164">
        <f t="shared" si="3"/>
        <v>0</v>
      </c>
      <c r="O115" s="132">
        <v>0</v>
      </c>
    </row>
    <row r="116" spans="1:15" ht="15" outlineLevel="2">
      <c r="A116" s="170" t="s">
        <v>1501</v>
      </c>
      <c r="B116" s="171" t="s">
        <v>1486</v>
      </c>
      <c r="C116" s="170" t="s">
        <v>1668</v>
      </c>
      <c r="D116" s="168">
        <v>44224</v>
      </c>
      <c r="E116" s="168">
        <v>44224</v>
      </c>
      <c r="F116" s="164">
        <v>1</v>
      </c>
      <c r="G116" s="90">
        <v>1</v>
      </c>
      <c r="H116" s="90">
        <v>0</v>
      </c>
      <c r="I116" s="90">
        <v>0</v>
      </c>
      <c r="J116" s="164">
        <v>0</v>
      </c>
      <c r="K116" s="164">
        <v>0</v>
      </c>
      <c r="L116" s="164">
        <f t="shared" si="3"/>
        <v>0</v>
      </c>
      <c r="O116" s="132">
        <v>0</v>
      </c>
    </row>
    <row r="117" spans="1:15" ht="15" outlineLevel="1">
      <c r="A117" s="172" t="s">
        <v>1733</v>
      </c>
      <c r="B117" s="173"/>
      <c r="C117" s="174"/>
      <c r="D117" s="175"/>
      <c r="E117" s="175"/>
      <c r="F117" s="176"/>
      <c r="G117" s="177">
        <f>SUBTOTAL(9,G114:G116)</f>
        <v>10</v>
      </c>
      <c r="H117" s="177">
        <f>SUBTOTAL(9,H114:H116)</f>
        <v>0</v>
      </c>
      <c r="I117" s="177">
        <f>SUBTOTAL(9,I114:I116)</f>
        <v>0</v>
      </c>
      <c r="J117" s="176">
        <f>H117/G117</f>
        <v>0</v>
      </c>
      <c r="K117" s="176">
        <f>I117/G117</f>
        <v>0</v>
      </c>
      <c r="L117" s="176">
        <f t="shared" si="3"/>
        <v>0</v>
      </c>
      <c r="M117" s="178"/>
      <c r="N117" s="178"/>
      <c r="O117" s="178">
        <f>SUBTOTAL(9,O114:O116)</f>
        <v>0</v>
      </c>
    </row>
    <row r="118" spans="1:15" ht="15" outlineLevel="2">
      <c r="A118" s="170" t="s">
        <v>1504</v>
      </c>
      <c r="B118" s="171" t="s">
        <v>1660</v>
      </c>
      <c r="C118" s="170" t="s">
        <v>1496</v>
      </c>
      <c r="D118" s="168">
        <v>44222</v>
      </c>
      <c r="E118" s="168">
        <v>44222</v>
      </c>
      <c r="F118" s="164">
        <v>1</v>
      </c>
      <c r="G118" s="90">
        <v>1</v>
      </c>
      <c r="H118" s="90">
        <v>0</v>
      </c>
      <c r="I118" s="90">
        <v>0</v>
      </c>
      <c r="J118" s="164">
        <v>0</v>
      </c>
      <c r="K118" s="164">
        <v>0</v>
      </c>
      <c r="L118" s="164">
        <f t="shared" si="3"/>
        <v>0</v>
      </c>
      <c r="O118" s="132">
        <v>0</v>
      </c>
    </row>
    <row r="119" spans="1:15" ht="15" outlineLevel="2">
      <c r="A119" s="170" t="s">
        <v>1504</v>
      </c>
      <c r="B119" s="171" t="s">
        <v>1661</v>
      </c>
      <c r="C119" s="170" t="s">
        <v>1497</v>
      </c>
      <c r="D119" s="168">
        <v>44230</v>
      </c>
      <c r="E119" s="168">
        <v>44231</v>
      </c>
      <c r="F119" s="164">
        <v>1</v>
      </c>
      <c r="G119" s="90">
        <v>2</v>
      </c>
      <c r="H119" s="90">
        <v>0</v>
      </c>
      <c r="I119" s="90">
        <v>0</v>
      </c>
      <c r="J119" s="164">
        <v>0</v>
      </c>
      <c r="K119" s="164">
        <v>0</v>
      </c>
      <c r="L119" s="164">
        <f t="shared" si="3"/>
        <v>0</v>
      </c>
      <c r="O119" s="132">
        <v>0</v>
      </c>
    </row>
    <row r="120" spans="1:15" ht="15" outlineLevel="2">
      <c r="A120" s="170" t="s">
        <v>1504</v>
      </c>
      <c r="B120" s="171" t="s">
        <v>1662</v>
      </c>
      <c r="C120" s="170" t="s">
        <v>1498</v>
      </c>
      <c r="D120" s="168">
        <v>44232</v>
      </c>
      <c r="E120" s="168">
        <v>44232</v>
      </c>
      <c r="F120" s="164">
        <v>1</v>
      </c>
      <c r="G120" s="90">
        <v>1</v>
      </c>
      <c r="H120" s="90">
        <v>0</v>
      </c>
      <c r="I120" s="90">
        <v>0</v>
      </c>
      <c r="J120" s="164">
        <v>0</v>
      </c>
      <c r="K120" s="164">
        <v>0</v>
      </c>
      <c r="L120" s="164">
        <f t="shared" si="3"/>
        <v>0</v>
      </c>
      <c r="O120" s="132">
        <v>0</v>
      </c>
    </row>
    <row r="121" spans="1:15" ht="15" outlineLevel="2">
      <c r="A121" s="170" t="s">
        <v>1504</v>
      </c>
      <c r="B121" s="171" t="s">
        <v>1663</v>
      </c>
      <c r="C121" s="170" t="s">
        <v>1499</v>
      </c>
      <c r="D121" s="168">
        <v>44232</v>
      </c>
      <c r="E121" s="168">
        <v>44232</v>
      </c>
      <c r="F121" s="164">
        <v>0.8</v>
      </c>
      <c r="G121" s="90">
        <v>0.8</v>
      </c>
      <c r="H121" s="90">
        <v>0</v>
      </c>
      <c r="I121" s="90">
        <v>0</v>
      </c>
      <c r="J121" s="164">
        <v>0</v>
      </c>
      <c r="K121" s="164">
        <v>0</v>
      </c>
      <c r="L121" s="164">
        <f t="shared" si="3"/>
        <v>0</v>
      </c>
      <c r="O121" s="132">
        <v>0</v>
      </c>
    </row>
    <row r="122" spans="1:15" ht="15" outlineLevel="1">
      <c r="A122" s="172" t="s">
        <v>1734</v>
      </c>
      <c r="B122" s="173"/>
      <c r="C122" s="174"/>
      <c r="D122" s="175"/>
      <c r="E122" s="175"/>
      <c r="F122" s="176"/>
      <c r="G122" s="177">
        <f>SUBTOTAL(9,G118:G121)</f>
        <v>4.8</v>
      </c>
      <c r="H122" s="177">
        <f>SUBTOTAL(9,H118:H121)</f>
        <v>0</v>
      </c>
      <c r="I122" s="177">
        <f>SUBTOTAL(9,I118:I121)</f>
        <v>0</v>
      </c>
      <c r="J122" s="176">
        <f>H122/G122</f>
        <v>0</v>
      </c>
      <c r="K122" s="176">
        <f>I122/G122</f>
        <v>0</v>
      </c>
      <c r="L122" s="176">
        <f t="shared" si="3"/>
        <v>0</v>
      </c>
      <c r="M122" s="178"/>
      <c r="N122" s="178"/>
      <c r="O122" s="178">
        <f>SUBTOTAL(9,O118:O121)</f>
        <v>0</v>
      </c>
    </row>
    <row r="123" spans="1:15" ht="15" outlineLevel="2">
      <c r="A123" s="170" t="s">
        <v>1712</v>
      </c>
      <c r="B123" s="171" t="s">
        <v>1562</v>
      </c>
      <c r="C123" s="170" t="s">
        <v>1654</v>
      </c>
      <c r="D123" s="168">
        <v>44410</v>
      </c>
      <c r="E123" s="168">
        <v>44414</v>
      </c>
      <c r="F123" s="164">
        <v>1</v>
      </c>
      <c r="G123" s="90">
        <v>5</v>
      </c>
      <c r="H123" s="90">
        <v>0</v>
      </c>
      <c r="I123" s="90">
        <v>0</v>
      </c>
      <c r="J123" s="164">
        <v>0</v>
      </c>
      <c r="K123" s="164">
        <v>0</v>
      </c>
      <c r="L123" s="164">
        <f t="shared" si="3"/>
        <v>0</v>
      </c>
      <c r="O123" s="132">
        <v>0</v>
      </c>
    </row>
    <row r="124" spans="1:15" ht="15" outlineLevel="1">
      <c r="A124" s="172" t="s">
        <v>1735</v>
      </c>
      <c r="B124" s="173"/>
      <c r="C124" s="174"/>
      <c r="D124" s="175"/>
      <c r="E124" s="175"/>
      <c r="F124" s="176"/>
      <c r="G124" s="177">
        <f>SUBTOTAL(9,G123:G123)</f>
        <v>5</v>
      </c>
      <c r="H124" s="177">
        <f>SUBTOTAL(9,H123:H123)</f>
        <v>0</v>
      </c>
      <c r="I124" s="177">
        <f>SUBTOTAL(9,I123:I123)</f>
        <v>0</v>
      </c>
      <c r="J124" s="176">
        <f>H124/G124</f>
        <v>0</v>
      </c>
      <c r="K124" s="176">
        <f>I124/G124</f>
        <v>0</v>
      </c>
      <c r="L124" s="176">
        <f t="shared" si="3"/>
        <v>0</v>
      </c>
      <c r="M124" s="178"/>
      <c r="N124" s="178"/>
      <c r="O124" s="178">
        <f>SUBTOTAL(9,O123:O123)</f>
        <v>0</v>
      </c>
    </row>
    <row r="125" spans="1:15" ht="15" outlineLevel="2">
      <c r="A125" s="170" t="s">
        <v>1500</v>
      </c>
      <c r="B125" s="171" t="s">
        <v>1096</v>
      </c>
      <c r="C125" s="170" t="s">
        <v>1272</v>
      </c>
      <c r="D125" s="168">
        <v>44200</v>
      </c>
      <c r="E125" s="168">
        <v>44200</v>
      </c>
      <c r="F125" s="164">
        <v>1</v>
      </c>
      <c r="G125" s="90">
        <v>1</v>
      </c>
      <c r="H125" s="90">
        <v>1</v>
      </c>
      <c r="I125" s="90">
        <v>1</v>
      </c>
      <c r="J125" s="164">
        <v>1</v>
      </c>
      <c r="K125" s="164">
        <v>1</v>
      </c>
      <c r="L125" s="164">
        <f t="shared" si="3"/>
        <v>0</v>
      </c>
      <c r="M125" s="168">
        <v>44200</v>
      </c>
      <c r="N125" s="168">
        <v>44200</v>
      </c>
      <c r="O125" s="132">
        <v>1</v>
      </c>
    </row>
    <row r="126" spans="1:15" ht="15" outlineLevel="2">
      <c r="A126" s="170" t="s">
        <v>1500</v>
      </c>
      <c r="B126" s="171" t="s">
        <v>1274</v>
      </c>
      <c r="C126" s="170" t="s">
        <v>1275</v>
      </c>
      <c r="D126" s="168">
        <v>44200</v>
      </c>
      <c r="E126" s="168">
        <v>44211</v>
      </c>
      <c r="F126" s="164">
        <v>1</v>
      </c>
      <c r="G126" s="90">
        <v>10</v>
      </c>
      <c r="H126" s="90">
        <v>9</v>
      </c>
      <c r="I126" s="90">
        <v>7</v>
      </c>
      <c r="J126" s="164">
        <v>0.9</v>
      </c>
      <c r="K126" s="164">
        <v>0.7</v>
      </c>
      <c r="L126" s="180">
        <f t="shared" si="3"/>
        <v>-0.20000000000000007</v>
      </c>
      <c r="M126" s="168">
        <v>44200</v>
      </c>
      <c r="O126" s="132">
        <v>7</v>
      </c>
    </row>
    <row r="127" spans="1:15" ht="15" outlineLevel="2">
      <c r="A127" s="170" t="s">
        <v>1500</v>
      </c>
      <c r="B127" s="171" t="s">
        <v>1487</v>
      </c>
      <c r="C127" s="170" t="s">
        <v>1479</v>
      </c>
      <c r="D127" s="168">
        <v>44215</v>
      </c>
      <c r="E127" s="168">
        <v>44224</v>
      </c>
      <c r="F127" s="164">
        <v>1</v>
      </c>
      <c r="G127" s="90">
        <v>8</v>
      </c>
      <c r="H127" s="90">
        <v>0</v>
      </c>
      <c r="I127" s="90">
        <v>0</v>
      </c>
      <c r="J127" s="164">
        <v>0</v>
      </c>
      <c r="K127" s="164">
        <v>0</v>
      </c>
      <c r="L127" s="164">
        <f t="shared" si="3"/>
        <v>0</v>
      </c>
      <c r="O127" s="132">
        <v>0</v>
      </c>
    </row>
    <row r="128" spans="1:15" ht="15" outlineLevel="2">
      <c r="A128" s="170" t="s">
        <v>1500</v>
      </c>
      <c r="B128" s="171" t="s">
        <v>1483</v>
      </c>
      <c r="C128" s="170" t="s">
        <v>1665</v>
      </c>
      <c r="D128" s="168">
        <v>44215</v>
      </c>
      <c r="E128" s="168">
        <v>44218</v>
      </c>
      <c r="F128" s="164">
        <v>1</v>
      </c>
      <c r="G128" s="90">
        <v>4</v>
      </c>
      <c r="H128" s="90">
        <v>0</v>
      </c>
      <c r="I128" s="90">
        <v>0</v>
      </c>
      <c r="J128" s="164">
        <v>0</v>
      </c>
      <c r="K128" s="164">
        <v>0</v>
      </c>
      <c r="L128" s="164">
        <f t="shared" si="3"/>
        <v>0</v>
      </c>
      <c r="O128" s="132">
        <v>0</v>
      </c>
    </row>
    <row r="129" spans="1:15" ht="15" outlineLevel="2">
      <c r="A129" s="170" t="s">
        <v>1500</v>
      </c>
      <c r="B129" s="171" t="s">
        <v>1484</v>
      </c>
      <c r="C129" s="170" t="s">
        <v>1666</v>
      </c>
      <c r="D129" s="168">
        <v>44218</v>
      </c>
      <c r="E129" s="168">
        <v>44218</v>
      </c>
      <c r="F129" s="164">
        <v>1</v>
      </c>
      <c r="G129" s="90">
        <v>1</v>
      </c>
      <c r="H129" s="90">
        <v>0</v>
      </c>
      <c r="I129" s="90">
        <v>0</v>
      </c>
      <c r="J129" s="164">
        <v>0</v>
      </c>
      <c r="K129" s="164">
        <v>0</v>
      </c>
      <c r="L129" s="164">
        <f t="shared" si="3"/>
        <v>0</v>
      </c>
      <c r="O129" s="132">
        <v>0</v>
      </c>
    </row>
    <row r="130" spans="1:15" ht="15" outlineLevel="1">
      <c r="A130" s="172" t="s">
        <v>1736</v>
      </c>
      <c r="B130" s="173"/>
      <c r="C130" s="174"/>
      <c r="D130" s="175"/>
      <c r="E130" s="175"/>
      <c r="F130" s="176"/>
      <c r="G130" s="177">
        <f>SUBTOTAL(9,G125:G129)</f>
        <v>24</v>
      </c>
      <c r="H130" s="177">
        <f>SUBTOTAL(9,H125:H129)</f>
        <v>10</v>
      </c>
      <c r="I130" s="177">
        <f>SUBTOTAL(9,I125:I129)</f>
        <v>8</v>
      </c>
      <c r="J130" s="176">
        <f>H130/G130</f>
        <v>0.41666666666666669</v>
      </c>
      <c r="K130" s="176">
        <f>I130/G130</f>
        <v>0.33333333333333331</v>
      </c>
      <c r="L130" s="181">
        <f t="shared" si="3"/>
        <v>-8.333333333333337E-2</v>
      </c>
      <c r="M130" s="178"/>
      <c r="N130" s="178"/>
      <c r="O130" s="178">
        <f>SUBTOTAL(9,O125:O129)</f>
        <v>8</v>
      </c>
    </row>
    <row r="131" spans="1:15" ht="15" outlineLevel="2">
      <c r="A131" s="170" t="s">
        <v>1709</v>
      </c>
      <c r="B131" s="171" t="s">
        <v>1691</v>
      </c>
      <c r="C131" s="170" t="s">
        <v>1683</v>
      </c>
      <c r="D131" s="168">
        <v>44221</v>
      </c>
      <c r="E131" s="168">
        <v>44651</v>
      </c>
      <c r="F131" s="164">
        <v>0.2</v>
      </c>
      <c r="G131" s="90">
        <v>59.400000000000006</v>
      </c>
      <c r="H131" s="90">
        <v>0</v>
      </c>
      <c r="I131" s="90">
        <v>0</v>
      </c>
      <c r="J131" s="164">
        <v>0</v>
      </c>
      <c r="K131" s="164">
        <v>0</v>
      </c>
      <c r="L131" s="164">
        <f t="shared" si="3"/>
        <v>0</v>
      </c>
      <c r="O131" s="132">
        <v>0</v>
      </c>
    </row>
    <row r="132" spans="1:15" ht="15" outlineLevel="2">
      <c r="A132" s="170" t="s">
        <v>1709</v>
      </c>
      <c r="B132" s="171" t="s">
        <v>1699</v>
      </c>
      <c r="C132" s="170" t="s">
        <v>1687</v>
      </c>
      <c r="D132" s="168">
        <v>44501</v>
      </c>
      <c r="E132" s="168">
        <v>44589</v>
      </c>
      <c r="F132" s="164">
        <v>0.2</v>
      </c>
      <c r="G132" s="90">
        <v>13</v>
      </c>
      <c r="H132" s="90">
        <v>0</v>
      </c>
      <c r="I132" s="90">
        <v>0</v>
      </c>
      <c r="J132" s="164">
        <v>0</v>
      </c>
      <c r="K132" s="164">
        <v>0</v>
      </c>
      <c r="L132" s="164">
        <f t="shared" si="3"/>
        <v>0</v>
      </c>
      <c r="O132" s="132">
        <v>0</v>
      </c>
    </row>
    <row r="133" spans="1:15" ht="15" outlineLevel="1">
      <c r="A133" s="172" t="s">
        <v>1737</v>
      </c>
      <c r="B133" s="173"/>
      <c r="C133" s="174"/>
      <c r="D133" s="175"/>
      <c r="E133" s="175"/>
      <c r="F133" s="176"/>
      <c r="G133" s="177">
        <f>SUBTOTAL(9,G131:G132)</f>
        <v>72.400000000000006</v>
      </c>
      <c r="H133" s="177">
        <f>SUBTOTAL(9,H131:H132)</f>
        <v>0</v>
      </c>
      <c r="I133" s="177">
        <f>SUBTOTAL(9,I131:I132)</f>
        <v>0</v>
      </c>
      <c r="J133" s="176">
        <f>H133/G133</f>
        <v>0</v>
      </c>
      <c r="K133" s="176">
        <f>I133/G133</f>
        <v>0</v>
      </c>
      <c r="L133" s="176">
        <f t="shared" si="3"/>
        <v>0</v>
      </c>
      <c r="M133" s="178"/>
      <c r="N133" s="178"/>
      <c r="O133" s="178">
        <f>SUBTOTAL(9,O131:O132)</f>
        <v>0</v>
      </c>
    </row>
    <row r="134" spans="1:15" ht="15" outlineLevel="2">
      <c r="A134" s="170" t="s">
        <v>1502</v>
      </c>
      <c r="B134" s="171" t="s">
        <v>1488</v>
      </c>
      <c r="C134" s="170" t="s">
        <v>1669</v>
      </c>
      <c r="D134" s="168">
        <v>44228</v>
      </c>
      <c r="E134" s="168">
        <v>44228</v>
      </c>
      <c r="F134" s="164">
        <v>1</v>
      </c>
      <c r="G134" s="90">
        <v>1</v>
      </c>
      <c r="H134" s="90">
        <v>0</v>
      </c>
      <c r="I134" s="90">
        <v>0</v>
      </c>
      <c r="J134" s="164">
        <v>0</v>
      </c>
      <c r="K134" s="164">
        <v>0</v>
      </c>
      <c r="L134" s="164">
        <f t="shared" si="3"/>
        <v>0</v>
      </c>
      <c r="O134" s="132">
        <v>0</v>
      </c>
    </row>
    <row r="135" spans="1:15" ht="15" outlineLevel="2">
      <c r="A135" s="170" t="s">
        <v>1502</v>
      </c>
      <c r="B135" s="171" t="s">
        <v>1490</v>
      </c>
      <c r="C135" s="170" t="s">
        <v>1492</v>
      </c>
      <c r="D135" s="168">
        <v>44215</v>
      </c>
      <c r="E135" s="168">
        <v>44228</v>
      </c>
      <c r="F135" s="164">
        <v>1</v>
      </c>
      <c r="G135" s="90">
        <v>10</v>
      </c>
      <c r="H135" s="90">
        <v>0</v>
      </c>
      <c r="I135" s="90">
        <v>0</v>
      </c>
      <c r="J135" s="164">
        <v>0</v>
      </c>
      <c r="K135" s="164">
        <v>0</v>
      </c>
      <c r="L135" s="164">
        <f t="shared" ref="L135:L137" si="4">K135-J135</f>
        <v>0</v>
      </c>
      <c r="O135" s="132">
        <v>0</v>
      </c>
    </row>
    <row r="136" spans="1:15" ht="15" outlineLevel="2">
      <c r="A136" s="170" t="s">
        <v>1502</v>
      </c>
      <c r="B136" s="171" t="s">
        <v>1491</v>
      </c>
      <c r="C136" s="170" t="s">
        <v>1494</v>
      </c>
      <c r="D136" s="168">
        <v>44215</v>
      </c>
      <c r="E136" s="168">
        <v>44225</v>
      </c>
      <c r="F136" s="164">
        <v>1</v>
      </c>
      <c r="G136" s="90">
        <v>9</v>
      </c>
      <c r="H136" s="90">
        <v>0</v>
      </c>
      <c r="I136" s="90">
        <v>0</v>
      </c>
      <c r="J136" s="164">
        <v>0</v>
      </c>
      <c r="K136" s="164">
        <v>0</v>
      </c>
      <c r="L136" s="164">
        <f t="shared" si="4"/>
        <v>0</v>
      </c>
      <c r="O136" s="132">
        <v>0</v>
      </c>
    </row>
    <row r="137" spans="1:15" ht="15" outlineLevel="1">
      <c r="A137" s="172" t="s">
        <v>1738</v>
      </c>
      <c r="B137" s="173"/>
      <c r="C137" s="174"/>
      <c r="D137" s="175"/>
      <c r="E137" s="175"/>
      <c r="F137" s="176"/>
      <c r="G137" s="177">
        <f>SUBTOTAL(9,G134:G136)</f>
        <v>20</v>
      </c>
      <c r="H137" s="177">
        <f>SUBTOTAL(9,H134:H136)</f>
        <v>0</v>
      </c>
      <c r="I137" s="177">
        <f>SUBTOTAL(9,I134:I136)</f>
        <v>0</v>
      </c>
      <c r="J137" s="176">
        <f>H137/G137</f>
        <v>0</v>
      </c>
      <c r="K137" s="176">
        <f>I137/G137</f>
        <v>0</v>
      </c>
      <c r="L137" s="176">
        <f t="shared" si="4"/>
        <v>0</v>
      </c>
      <c r="M137" s="178"/>
      <c r="N137" s="178"/>
      <c r="O137" s="178">
        <f>SUBTOTAL(9,O134:O136)</f>
        <v>0</v>
      </c>
    </row>
    <row r="138" spans="1:15" outlineLevel="1">
      <c r="J138" s="164"/>
      <c r="K138" s="164"/>
      <c r="L138" s="164"/>
    </row>
    <row r="139" spans="1:15" outlineLevel="1">
      <c r="A139" s="179" t="s">
        <v>1739</v>
      </c>
      <c r="B139" s="178"/>
      <c r="C139" s="178"/>
      <c r="D139" s="178"/>
      <c r="E139" s="178"/>
      <c r="F139" s="176"/>
      <c r="G139" s="177">
        <f>SUBTOTAL(9,G7:G138)</f>
        <v>2542.4</v>
      </c>
      <c r="H139" s="177">
        <f>SUBTOTAL(9,H7:H138)</f>
        <v>20</v>
      </c>
      <c r="I139" s="177">
        <f>SUBTOTAL(9,I7:I138)</f>
        <v>16</v>
      </c>
      <c r="J139" s="176">
        <f>H139/G139</f>
        <v>7.866582756450597E-3</v>
      </c>
      <c r="K139" s="176">
        <f>I139/G139</f>
        <v>6.2932662051604776E-3</v>
      </c>
      <c r="L139" s="181">
        <f>K139-J139</f>
        <v>-1.5733165512901194E-3</v>
      </c>
      <c r="M139" s="178"/>
      <c r="N139" s="178"/>
      <c r="O139" s="178">
        <f>SUBTOTAL(9,O7:O138)</f>
        <v>16</v>
      </c>
    </row>
  </sheetData>
  <sortState xmlns:xlrd2="http://schemas.microsoft.com/office/spreadsheetml/2017/richdata2" ref="A7:O138">
    <sortCondition ref="A7:A49"/>
    <sortCondition ref="B7:B49"/>
  </sortState>
  <dataConsolidate/>
  <phoneticPr fontId="2" type="noConversion"/>
  <hyperlinks>
    <hyperlink ref="B106" location="Schedule!$D$7" display="1.1.1" xr:uid="{9B1DCC5B-653C-49B6-B694-4386C874BB1E}"/>
    <hyperlink ref="B125" location="Schedule!$D$7" display="1.1.1" xr:uid="{F8EDF52C-AC45-475D-A173-53AB12ABB900}"/>
    <hyperlink ref="B107" location="Schedule!$D$9" display="1.1.2.1" xr:uid="{68556F67-D705-4A2F-B6CB-9DF3E0A4B402}"/>
    <hyperlink ref="B126" location="Schedule!$D$9" display="1.1.2.1" xr:uid="{75A03404-A9FC-4E41-A938-01A1A503EA0A}"/>
    <hyperlink ref="B108" location="Schedule!$D$10" display="1.1.2.2" xr:uid="{E990A971-435F-4E1C-831B-C788595CBD36}"/>
    <hyperlink ref="B109" location="Schedule!$D$12" display="1.2.1" xr:uid="{64EA73EB-1C78-4062-B306-032D8AA8CEE1}"/>
    <hyperlink ref="B110" location="Schedule!$D$14" display="1.3.1" xr:uid="{66E5B67A-0E9C-469E-8241-9C41B2AE4E3D}"/>
    <hyperlink ref="B111" location="Schedule!$D$15" display="1.3.2" xr:uid="{295C2EED-ACC1-411F-BDEC-30FD756114F6}"/>
    <hyperlink ref="B7" location="Schedule!$D$19" display="2.1.1" xr:uid="{2807A210-B7BB-4BB8-92AF-74920B37F99A}"/>
    <hyperlink ref="B8" location="Schedule!$D$21" display="2.1.2.1" xr:uid="{4111F0CF-4C67-488B-BD28-E316572329F4}"/>
    <hyperlink ref="B9" location="Schedule!$D$22" display="2.1.2.2" xr:uid="{7444A6CD-A49E-4E40-A03A-3E16BB887E88}"/>
    <hyperlink ref="B10" location="Schedule!$D$23" display="2.1.2.3" xr:uid="{B9A2F4D6-1F68-4EDD-913C-04D3A021CEC4}"/>
    <hyperlink ref="B11" location="Schedule!$D$24" display="2.1.2.4" xr:uid="{8C8E0CC3-1B7A-4C70-94E4-2E955CBBDB7B}"/>
    <hyperlink ref="B12" location="Schedule!$D$25" display="2.1.2.5" xr:uid="{58B782BA-D631-46C6-B5D1-8EC07A303086}"/>
    <hyperlink ref="B128" location="Schedule!$D$26" display="2.1.2.6" xr:uid="{316268CE-FA2D-4EAE-8CA5-51712D13C1F5}"/>
    <hyperlink ref="B129" location="Schedule!$D$27" display="2.1.2.7" xr:uid="{55D2B570-C759-481B-B5F4-F259F84CDE9F}"/>
    <hyperlink ref="B115" location="Schedule!$D$28" display="2.1.2.8" xr:uid="{870C8EB4-BCA4-40A0-B307-8FF07517C29D}"/>
    <hyperlink ref="B116" location="Schedule!$D$29" display="2.1.2.9" xr:uid="{22D0C101-7438-4D23-99D2-F4DE0311CB0E}"/>
    <hyperlink ref="B127" location="Schedule!$D$30" display="2.1.2.10" xr:uid="{5CC1E808-5F31-413D-8DB9-B3344DCE5412}"/>
    <hyperlink ref="B134" location="Schedule!$D$31" display="2.1.2.11" xr:uid="{BE5702A7-1761-48BA-B0A9-39610A98EF5A}"/>
    <hyperlink ref="B112" location="Schedule!$D$32" display="2.1.2.12" xr:uid="{E824C473-63E9-45AD-8CA7-95A246F4F4A7}"/>
    <hyperlink ref="B135" location="Schedule!$D$33" display="2.1.2.13" xr:uid="{BBF40A83-E93F-409A-AFAD-F3346568AA75}"/>
    <hyperlink ref="B136" location="Schedule!$D$34" display="2.1.2.14" xr:uid="{DA6E4036-ABE8-4CEA-B6F3-7F025ECA19EB}"/>
    <hyperlink ref="B114" location="Schedule!$D$35" display="2.1.2.15" xr:uid="{D005E03E-1B23-436F-B216-18F04028A62E}"/>
    <hyperlink ref="B118" location="Schedule!$D$36" display="2.1.2.16" xr:uid="{8C867246-5FDE-44BD-A631-39C94E6032BB}"/>
    <hyperlink ref="B119" location="Schedule!$D$37" display="2.1.2.17" xr:uid="{B691D9B6-CD76-45AE-87B8-E0398CFC212C}"/>
    <hyperlink ref="B120" location="Schedule!$D$38" display="2.1.2.18" xr:uid="{19139D06-A76C-4406-81C0-4840957D70B6}"/>
    <hyperlink ref="B121" location="Schedule!$D$39" display="2.1.2.19" xr:uid="{8801DD5B-F8C0-4400-8E70-9922FE4E40D5}"/>
    <hyperlink ref="B104" location="Schedule!$D$39" display="2.1.2.19" xr:uid="{1A1B94FB-C3AF-4B2C-B7A0-2E540B05F5CC}"/>
    <hyperlink ref="B102" location="Schedule!$D$40" display="2.1.3" xr:uid="{2821BDB3-714E-437C-855F-8147AFC76EF5}"/>
    <hyperlink ref="B13" location="Schedule!$D$42" display="2.2.1" xr:uid="{FF603031-5AAA-4F8E-9456-9F46DCD23F93}"/>
    <hyperlink ref="B14" location="Schedule!$D$44" display="2.2.2.1" xr:uid="{77ED6E63-AA17-4A02-9354-4608676864D0}"/>
    <hyperlink ref="B15" location="Schedule!$D$45" display="2.2.2.2" xr:uid="{A214B029-DD73-4AB7-AA2E-0BF8B6340CDC}"/>
    <hyperlink ref="B16" location="Schedule!$D$49" display="2.3.1.1.1" xr:uid="{101CA1AA-B9C9-4CA4-8AA7-7177371C5CCB}"/>
    <hyperlink ref="B17" location="Schedule!$D$50" display="2.3.1.1.2" xr:uid="{ED53500A-9910-498C-9E1C-A5CCFDE03790}"/>
    <hyperlink ref="B18" location="Schedule!$D$51" display="2.3.1.1.3" xr:uid="{165437A3-4688-4736-82D4-9DBDF2DF7496}"/>
    <hyperlink ref="B19" location="Schedule!$D$52" display="2.3.1.1.4" xr:uid="{0FE01415-E378-4A37-86F2-1D94ABA5DCB4}"/>
    <hyperlink ref="B20" location="Schedule!$D$53" display="2.3.1.1.5" xr:uid="{167E8176-3098-4ABE-A033-F316F18BB756}"/>
    <hyperlink ref="B21" location="Schedule!$D$54" display="2.3.1.1.6" xr:uid="{75167FDB-A451-4829-B052-2C791A90AA54}"/>
    <hyperlink ref="B22" location="Schedule!$D$55" display="2.3.1.1.7" xr:uid="{E4A1F5D0-18CC-43A0-8CD0-CE37995C882F}"/>
    <hyperlink ref="B23" location="Schedule!$D$57" display="2.3.2.1" xr:uid="{BA99C79D-7378-4E20-8ED0-5170EA23749E}"/>
    <hyperlink ref="B24" location="Schedule!$D$58" display="2.3.2.2" xr:uid="{71078297-3472-42C2-B336-30A154512270}"/>
    <hyperlink ref="B25" location="Schedule!$D$61" display="2.4.1.1" xr:uid="{AE4738A6-5A27-495F-9FF6-B33308A3929A}"/>
    <hyperlink ref="B26" location="Schedule!$D$63" display="2.4.2.1" xr:uid="{2B4C4777-556D-4ABD-8BD4-D24A301C747C}"/>
    <hyperlink ref="B27" location="Schedule!$D$64" display="2.4.2.2" xr:uid="{BA2D2D44-B692-462B-BA62-5DB74B230501}"/>
    <hyperlink ref="B28" location="Schedule!$D$65" display="2.4.2.3" xr:uid="{C281D147-6BA8-4E10-9D78-759A2EDEAD16}"/>
    <hyperlink ref="B29" location="Schedule!$D$66" display="2.4.2.4" xr:uid="{EC27AAD4-5F23-47D8-A1A5-9CB3736DBB4D}"/>
    <hyperlink ref="B30" location="Schedule!$D$67" display="2.4.3" xr:uid="{5CE041DF-F0B0-47A7-8E0E-839860173760}"/>
    <hyperlink ref="B31" location="Schedule!$D$70" display="3.1" xr:uid="{7653826F-2789-4E58-BE66-D71C12BB07B8}"/>
    <hyperlink ref="B131" location="Schedule!$D$72" display="3.2.1" xr:uid="{80482267-630A-45AB-A8A4-3B2DFC52D5E5}"/>
    <hyperlink ref="B32" location="Schedule!$D$73" display="3.2.2" xr:uid="{CA829262-D421-4329-9F1B-036CEA6950D7}"/>
    <hyperlink ref="B100" location="Schedule!$D$75" display="3.3.1" xr:uid="{41784BC8-1CE0-43A3-BDA9-13719694EBD5}"/>
    <hyperlink ref="B33" location="Schedule!$D$76" display="3.3.2" xr:uid="{B3E3D7EA-682B-4ACC-A2FF-1345B5A57D2A}"/>
    <hyperlink ref="B34" location="Schedule!$D$78" display="3.4.1" xr:uid="{47407991-4379-4E4A-B0BE-2019A605CF59}"/>
    <hyperlink ref="B35" location="Schedule!$D$79" display="3.4.2" xr:uid="{2ACBF3CE-CA91-4CD3-AD69-84BBC5D66DCE}"/>
    <hyperlink ref="B132" location="Schedule!$D$80" display="3.4.3" xr:uid="{113665F8-CEEC-45C7-A84F-43039E4E073D}"/>
    <hyperlink ref="B36" location="Schedule!$D$82" display="3.5.1" xr:uid="{E1DDAE44-2017-4428-AA24-293E309E4870}"/>
    <hyperlink ref="B37" location="Schedule!$D$83" display="3.5.2" xr:uid="{07C6E9CD-B24E-42E3-AA55-591B3586C53A}"/>
    <hyperlink ref="B38" location="Schedule!$D$84" display="3.5.3" xr:uid="{977D8778-DF85-4B35-BF29-C56372DADD8D}"/>
    <hyperlink ref="B39" location="Schedule!$D$86" display="3.6.1" xr:uid="{B6B05277-E0FF-49B6-8061-FC2C757A19DC}"/>
    <hyperlink ref="B40" location="Schedule!$D$87" display="3.6.2" xr:uid="{A48912CB-5063-4A75-B132-5FEC35138530}"/>
    <hyperlink ref="B41" location="Schedule!$D$89" display="4.1" xr:uid="{C4311223-709A-4771-A014-08B01BF924B4}"/>
    <hyperlink ref="B42" location="Schedule!$D$90" display="4.2" xr:uid="{D50DC5EA-5032-4712-8696-8A80D17AD8F3}"/>
    <hyperlink ref="B43" location="Schedule!$D$94" display="5.1.1" xr:uid="{F63BC5E9-E4AD-4E98-B565-A38DCABCC9D0}"/>
    <hyperlink ref="B47" location="Schedule!$D$95" display="5.1.2" xr:uid="{D8C3E962-528A-45EA-B1DB-2A184B7A980F}"/>
    <hyperlink ref="B123" location="Schedule!$D$96" display="5.1.3" xr:uid="{8C5F18FA-29FD-4E6B-8806-08844AC29761}"/>
    <hyperlink ref="B48" location="Schedule!$D$97" display="5.1.4" xr:uid="{5BE6B9A8-A216-4C59-8AFA-5BA0939B5068}"/>
    <hyperlink ref="B49" location="Schedule!$D$98" display="5.1.5" xr:uid="{381F84E9-35D4-418A-9DCA-1A61FFDDB310}"/>
    <hyperlink ref="B50" location="Schedule!$D$99" display="5.1.6" xr:uid="{BA36D64D-8A13-431A-A218-8C6F9B2E89C6}"/>
    <hyperlink ref="B51" location="Schedule!$D$100" display="5.1.7" xr:uid="{DDE80E7E-A6F6-4CFF-AB2A-8934446C9D95}"/>
    <hyperlink ref="B52" location="Schedule!$D$101" display="5.1.8" xr:uid="{A436FAF0-4308-49D4-91FA-ACC6B4C84312}"/>
    <hyperlink ref="B53" location="Schedule!$D$102" display="5.1.9" xr:uid="{081FC247-04AC-4737-86A1-A9FEC36A6716}"/>
    <hyperlink ref="B44" location="Schedule!$D$103" display="5.1.10" xr:uid="{A9F8B891-2383-4803-AA24-FDC3B3E598F1}"/>
    <hyperlink ref="B45" location="Schedule!$D$104" display="5.1.11" xr:uid="{6FE5EA3C-9894-49CE-9238-DB3837E85955}"/>
    <hyperlink ref="B46" location="Schedule!$D$105" display="5.1.12" xr:uid="{9AB5FB62-8DBE-4F0D-B672-B9F191FB77DE}"/>
    <hyperlink ref="B54" location="Schedule!$D$107" display="5.2.1" xr:uid="{6F17C5F7-A0E4-4113-A33B-56635455844E}"/>
    <hyperlink ref="B57" location="Schedule!$D$108" display="5.2.2" xr:uid="{D30AA145-FB10-4352-903C-B03A670ECB69}"/>
    <hyperlink ref="B58" location="Schedule!$D$109" display="5.2.3" xr:uid="{FF0B799C-B3B0-4B11-A31D-39C259EACF4F}"/>
    <hyperlink ref="B59" location="Schedule!$D$110" display="5.2.4" xr:uid="{85409840-4FB4-4E5B-8C33-C5862F403B30}"/>
    <hyperlink ref="B60" location="Schedule!$D$111" display="5.2.5" xr:uid="{E47F9106-6C05-41C5-A3F0-8C0761C7709E}"/>
    <hyperlink ref="B61" location="Schedule!$D$112" display="5.2.6" xr:uid="{AF8FF02F-CC67-46A3-8FCD-D3EF26E7DDBB}"/>
    <hyperlink ref="B62" location="Schedule!$D$113" display="5.2.7" xr:uid="{D6E51096-B741-4696-A3A7-D92CD1C2C2BC}"/>
    <hyperlink ref="B63" location="Schedule!$D$114" display="5.2.8" xr:uid="{9B7CA185-3ED9-4F12-B516-42AE158531C1}"/>
    <hyperlink ref="B64" location="Schedule!$D$115" display="5.2.9" xr:uid="{92904BBF-B6D8-4BC8-93A0-D4373B0317F2}"/>
    <hyperlink ref="B55" location="Schedule!$D$116" display="5.2.10" xr:uid="{9C136CEB-8B1F-47A0-8E93-02C7977E9F5E}"/>
    <hyperlink ref="B56" location="Schedule!$D$117" display="5.2.11" xr:uid="{1E622985-DD33-4584-81FC-ED32088E9875}"/>
    <hyperlink ref="B65" location="Schedule!$D$119" display="5.3.1" xr:uid="{D4BEE8F8-5FA7-419D-946A-BED3B9748F3D}"/>
    <hyperlink ref="B66" location="Schedule!$D$120" display="5.3.2" xr:uid="{4CDA1360-FAAE-407B-A43A-12928483A1B5}"/>
    <hyperlink ref="B67" location="Schedule!$D$123" display="5.3.3.1.1" xr:uid="{4AE1759B-578C-4C55-B4C1-246D67B21156}"/>
    <hyperlink ref="B68" location="Schedule!$D$124" display="5.3.3.1.2" xr:uid="{895FD8DE-D0B1-4116-A014-06D0B8EFA52E}"/>
    <hyperlink ref="B69" location="Schedule!$D$125" display="5.3.3.1.3" xr:uid="{1F462660-E6C5-43D8-8611-C016FB8E25D1}"/>
    <hyperlink ref="B70" location="Schedule!$D$126" display="5.3.3.1.4" xr:uid="{E0A23A2D-501F-48A5-9C50-123C1AE82D38}"/>
    <hyperlink ref="B71" location="Schedule!$D$127" display="5.3.3.1.5" xr:uid="{F36A418E-7621-49CB-BC82-72D4A53208AD}"/>
    <hyperlink ref="B72" location="Schedule!$D$128" display="5.3.3.2" xr:uid="{5EFBDA69-DD16-456A-98A0-287095AFDCA9}"/>
    <hyperlink ref="B73" location="Schedule!$D$129" display="5.3.3.3" xr:uid="{B2E0E9D5-94BE-4CF9-81A8-A3ACC3B3C033}"/>
    <hyperlink ref="B74" location="Schedule!$D$132" display="5.3.4.1.1" xr:uid="{F2D9B506-50F8-4602-9AD8-079CA44BCD1F}"/>
    <hyperlink ref="B75" location="Schedule!$D$133" display="5.3.4.1.2" xr:uid="{6BB06C94-F682-4F96-8E16-3A44930DDF4B}"/>
    <hyperlink ref="B76" location="Schedule!$D$134" display="5.3.4.1.3" xr:uid="{C24D74C6-7D40-4663-AC1E-34F00BECB6C9}"/>
    <hyperlink ref="B77" location="Schedule!$D$135" display="5.3.4.1.4" xr:uid="{6014CE82-F2E5-4F4F-9367-DB91FBF9FFA8}"/>
    <hyperlink ref="B78" location="Schedule!$D$136" display="5.3.4.1.5" xr:uid="{AF7E04B2-4744-47C9-A952-7FDEC966D9D1}"/>
    <hyperlink ref="B79" location="Schedule!$D$137" display="5.3.4.2" xr:uid="{8BD62AC6-2133-4477-B91B-87798A6A229E}"/>
    <hyperlink ref="B80" location="Schedule!$D$138" display="5.3.4.3" xr:uid="{2FE6B617-7E05-4290-8246-8ADD259CB2B7}"/>
    <hyperlink ref="B81" location="Schedule!$D$141" display="5.3.5.1.1" xr:uid="{E0C45DA1-E975-46C8-88FE-E1ED909CA4A1}"/>
    <hyperlink ref="B82" location="Schedule!$D$142" display="5.3.5.1.2" xr:uid="{F8F81462-209F-420E-9CBC-37781BF103BF}"/>
    <hyperlink ref="B83" location="Schedule!$D$144" display="5.3.5.2.1" xr:uid="{F69AB360-48A4-4A1E-BE73-DD58F83B59F5}"/>
    <hyperlink ref="B84" location="Schedule!$D$145" display="5.3.5.2.2" xr:uid="{489D19D5-44C2-48BC-AC4E-BCC968BC8D90}"/>
    <hyperlink ref="B85" location="Schedule!$D$146" display="5.3.5.2.3" xr:uid="{644D8D27-D716-43D9-89BB-6B4C8567ADCD}"/>
    <hyperlink ref="B86" location="Schedule!$D$147" display="5.3.5.2.4" xr:uid="{94B317F3-40DE-49F2-BA57-3C0CE0F27E21}"/>
    <hyperlink ref="B87" location="Schedule!$D$148" display="5.3.5.2.5" xr:uid="{42D00A4F-0FBA-455E-AFF1-A528A73BAD28}"/>
    <hyperlink ref="B88" location="Schedule!$D$149" display="5.3.5.3" xr:uid="{C1B2A136-2D43-496A-BACC-BAFB05286A6A}"/>
    <hyperlink ref="B89" location="Schedule!$D$150" display="5.3.5.4" xr:uid="{68AAD995-5887-4002-9F78-950976A1B5AE}"/>
    <hyperlink ref="B90" location="Schedule!$D$153" display="5.3.6.1.1" xr:uid="{E46D4ECA-A311-4DD7-B3DB-A5B8F9196D20}"/>
    <hyperlink ref="B91" location="Schedule!$D$154" display="5.3.6.1.2" xr:uid="{29D53DD0-2E3D-4866-A88F-DBF48EFFDFB2}"/>
    <hyperlink ref="B92" location="Schedule!$D$155" display="5.3.6.1.3" xr:uid="{CB51AAF9-EE7E-48A5-91B6-C8973FB08D0B}"/>
    <hyperlink ref="B93" location="Schedule!$D$156" display="5.3.6.1.4" xr:uid="{EA7698F2-FB73-4D76-84E4-9D3DF89D093D}"/>
    <hyperlink ref="B94" location="Schedule!$D$157" display="5.3.6.1.5" xr:uid="{EFFAC59A-CF42-4B28-B403-E5AC01296E67}"/>
    <hyperlink ref="B95" location="Schedule!$D$158" display="5.3.6.2" xr:uid="{C13258C3-48A1-4BC2-8B70-EA9B60CDB8DB}"/>
    <hyperlink ref="B96" location="Schedule!$D$159" display="5.3.6.3" xr:uid="{2350B588-3907-4016-B257-8CF23EAA7E18}"/>
    <hyperlink ref="B97" location="Schedule!$D$161" display="5.4.1" xr:uid="{0B7EC219-56EE-41A5-AD0D-CF2133CA21F6}"/>
    <hyperlink ref="B98" location="Schedule!$D$162" display="5.4.2" xr:uid="{4BF1EA54-0AC9-4E93-8A21-8AE36E87C867}"/>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293"/>
  <sheetViews>
    <sheetView showGridLines="0" zoomScale="85" zoomScaleNormal="85" workbookViewId="0">
      <pane ySplit="1" topLeftCell="A2" activePane="bottomLeft" state="frozenSplit"/>
      <selection pane="bottomLeft" activeCell="A18" sqref="A18"/>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10" s="64" customFormat="1" ht="36.9" customHeight="1">
      <c r="A1" s="1" t="s">
        <v>1407</v>
      </c>
      <c r="B1" s="1"/>
      <c r="C1" s="1"/>
      <c r="D1" s="1"/>
      <c r="E1" s="1"/>
      <c r="F1" s="1"/>
      <c r="G1" s="1"/>
      <c r="H1" s="1"/>
    </row>
    <row r="2" spans="1:10" s="65" customFormat="1" ht="78.75" customHeight="1">
      <c r="A2" s="297" t="s">
        <v>1408</v>
      </c>
      <c r="B2" s="297"/>
      <c r="C2" s="297"/>
      <c r="D2" s="297"/>
      <c r="E2" s="297"/>
      <c r="F2" s="297"/>
      <c r="G2" s="297"/>
      <c r="H2" s="297"/>
    </row>
    <row r="3" spans="1:10" s="65" customFormat="1" ht="24.75" customHeight="1">
      <c r="A3" s="298" t="s">
        <v>1409</v>
      </c>
      <c r="B3" s="298"/>
      <c r="D3" s="298" t="s">
        <v>1410</v>
      </c>
      <c r="E3" s="298"/>
      <c r="G3" s="298" t="s">
        <v>1411</v>
      </c>
      <c r="H3" s="298"/>
    </row>
    <row r="4" spans="1:10" s="67" customFormat="1" ht="19.5" customHeight="1">
      <c r="A4" s="66" t="s">
        <v>1412</v>
      </c>
      <c r="B4" s="66" t="s">
        <v>1413</v>
      </c>
      <c r="D4" s="66" t="s">
        <v>1412</v>
      </c>
      <c r="E4" s="66" t="s">
        <v>1413</v>
      </c>
      <c r="G4" s="66" t="s">
        <v>1412</v>
      </c>
      <c r="H4" s="66" t="s">
        <v>1413</v>
      </c>
    </row>
    <row r="5" spans="1:10" s="93" customFormat="1" ht="17.399999999999999">
      <c r="A5" s="91" t="s">
        <v>1262</v>
      </c>
      <c r="B5" s="92">
        <v>44197</v>
      </c>
      <c r="C5" s="93" t="str">
        <f t="shared" ref="C5" si="0">IF(B5&gt;0,TEXT(B5,"(aaa)"),"")</f>
        <v>(금)</v>
      </c>
      <c r="D5" s="94"/>
      <c r="E5" s="95"/>
      <c r="F5" s="93" t="str">
        <f t="shared" ref="F5:F56" si="1">IF(E5&gt;0,TEXT(E5,"(aaa)"),"")</f>
        <v/>
      </c>
      <c r="G5" s="94"/>
      <c r="H5" s="95"/>
      <c r="I5" s="93" t="str">
        <f t="shared" ref="I5:I56" si="2">IF(H5&gt;0,TEXT(H5,"(aaa)"),"")</f>
        <v/>
      </c>
    </row>
    <row r="6" spans="1:10" s="93" customFormat="1" ht="17.399999999999999">
      <c r="A6" s="91" t="s">
        <v>1263</v>
      </c>
      <c r="B6" s="92">
        <v>44238</v>
      </c>
      <c r="C6" s="93" t="str">
        <f t="shared" ref="C6:C56" si="3">IF(B6&gt;0,TEXT(B6,"(aaa)"),"")</f>
        <v>(목)</v>
      </c>
      <c r="D6" s="94"/>
      <c r="E6" s="95"/>
      <c r="F6" s="93" t="str">
        <f t="shared" si="1"/>
        <v/>
      </c>
      <c r="G6" s="94"/>
      <c r="H6" s="95"/>
      <c r="I6" s="93" t="str">
        <f t="shared" si="2"/>
        <v/>
      </c>
    </row>
    <row r="7" spans="1:10" s="93" customFormat="1" ht="19.2">
      <c r="A7" s="91" t="s">
        <v>1264</v>
      </c>
      <c r="B7" s="92">
        <v>44239</v>
      </c>
      <c r="C7" s="93" t="str">
        <f t="shared" si="3"/>
        <v>(금)</v>
      </c>
      <c r="D7" s="94"/>
      <c r="E7" s="95"/>
      <c r="F7" s="93" t="str">
        <f t="shared" si="1"/>
        <v/>
      </c>
      <c r="G7" s="94"/>
      <c r="H7" s="95"/>
      <c r="I7" s="93" t="str">
        <f t="shared" si="2"/>
        <v/>
      </c>
      <c r="J7" s="96"/>
    </row>
    <row r="8" spans="1:10" s="93" customFormat="1" ht="19.2">
      <c r="A8" s="91" t="s">
        <v>1265</v>
      </c>
      <c r="B8" s="92">
        <v>44256</v>
      </c>
      <c r="C8" s="93" t="str">
        <f t="shared" si="3"/>
        <v>(월)</v>
      </c>
      <c r="D8" s="94"/>
      <c r="E8" s="95"/>
      <c r="F8" s="93" t="str">
        <f t="shared" si="1"/>
        <v/>
      </c>
      <c r="G8" s="94"/>
      <c r="H8" s="95"/>
      <c r="I8" s="93" t="str">
        <f t="shared" si="2"/>
        <v/>
      </c>
      <c r="J8" s="96"/>
    </row>
    <row r="9" spans="1:10" s="93" customFormat="1" ht="17.399999999999999">
      <c r="A9" s="91" t="s">
        <v>1266</v>
      </c>
      <c r="B9" s="92">
        <v>44321</v>
      </c>
      <c r="C9" s="93" t="str">
        <f t="shared" si="3"/>
        <v>(수)</v>
      </c>
      <c r="D9" s="94"/>
      <c r="E9" s="95"/>
      <c r="F9" s="93" t="str">
        <f t="shared" si="1"/>
        <v/>
      </c>
      <c r="G9" s="94"/>
      <c r="H9" s="95"/>
      <c r="I9" s="93" t="str">
        <f t="shared" si="2"/>
        <v/>
      </c>
    </row>
    <row r="10" spans="1:10" s="93" customFormat="1" ht="17.399999999999999">
      <c r="A10" s="91" t="s">
        <v>1267</v>
      </c>
      <c r="B10" s="92">
        <v>44335</v>
      </c>
      <c r="C10" s="93" t="str">
        <f t="shared" si="3"/>
        <v>(수)</v>
      </c>
      <c r="D10" s="94"/>
      <c r="E10" s="95"/>
      <c r="F10" s="93" t="str">
        <f t="shared" si="1"/>
        <v/>
      </c>
      <c r="G10" s="94"/>
      <c r="H10" s="95"/>
      <c r="I10" s="93" t="str">
        <f t="shared" si="2"/>
        <v/>
      </c>
    </row>
    <row r="11" spans="1:10" s="93" customFormat="1" ht="17.399999999999999">
      <c r="A11" s="91" t="s">
        <v>1268</v>
      </c>
      <c r="B11" s="92">
        <v>44459</v>
      </c>
      <c r="C11" s="93" t="str">
        <f t="shared" si="3"/>
        <v>(월)</v>
      </c>
      <c r="D11" s="94"/>
      <c r="E11" s="95"/>
      <c r="F11" s="93" t="str">
        <f t="shared" si="1"/>
        <v/>
      </c>
      <c r="G11" s="94"/>
      <c r="H11" s="95"/>
      <c r="I11" s="93" t="str">
        <f t="shared" si="2"/>
        <v/>
      </c>
    </row>
    <row r="12" spans="1:10" s="93" customFormat="1" ht="17.399999999999999">
      <c r="A12" s="91" t="s">
        <v>1269</v>
      </c>
      <c r="B12" s="92">
        <v>44460</v>
      </c>
      <c r="C12" s="93" t="str">
        <f t="shared" si="3"/>
        <v>(화)</v>
      </c>
      <c r="D12" s="94"/>
      <c r="E12" s="95"/>
      <c r="F12" s="93" t="str">
        <f t="shared" si="1"/>
        <v/>
      </c>
      <c r="G12" s="94"/>
      <c r="H12" s="95"/>
      <c r="I12" s="93" t="str">
        <f t="shared" si="2"/>
        <v/>
      </c>
    </row>
    <row r="13" spans="1:10" s="93" customFormat="1" ht="17.399999999999999">
      <c r="A13" s="91" t="s">
        <v>1268</v>
      </c>
      <c r="B13" s="92">
        <v>44461</v>
      </c>
      <c r="C13" s="93" t="str">
        <f t="shared" si="3"/>
        <v>(수)</v>
      </c>
      <c r="D13" s="94"/>
      <c r="E13" s="95"/>
      <c r="F13" s="93" t="str">
        <f t="shared" si="1"/>
        <v/>
      </c>
      <c r="G13" s="94"/>
      <c r="H13" s="95"/>
      <c r="I13" s="93" t="str">
        <f t="shared" si="2"/>
        <v/>
      </c>
    </row>
    <row r="14" spans="1:10" s="93" customFormat="1" ht="17.399999999999999">
      <c r="A14" s="91" t="s">
        <v>1509</v>
      </c>
      <c r="B14" s="92">
        <v>44593</v>
      </c>
      <c r="C14" s="93" t="str">
        <f t="shared" si="3"/>
        <v>(화)</v>
      </c>
      <c r="D14" s="94"/>
      <c r="E14" s="95"/>
      <c r="F14" s="93" t="str">
        <f t="shared" si="1"/>
        <v/>
      </c>
      <c r="G14" s="94"/>
      <c r="H14" s="95"/>
      <c r="I14" s="93" t="str">
        <f t="shared" si="2"/>
        <v/>
      </c>
    </row>
    <row r="15" spans="1:10" s="93" customFormat="1" ht="17.399999999999999">
      <c r="A15" s="91" t="s">
        <v>1510</v>
      </c>
      <c r="B15" s="92">
        <v>44594</v>
      </c>
      <c r="C15" s="93" t="str">
        <f t="shared" si="3"/>
        <v>(수)</v>
      </c>
      <c r="D15" s="94"/>
      <c r="E15" s="95"/>
      <c r="F15" s="93" t="str">
        <f t="shared" si="1"/>
        <v/>
      </c>
      <c r="G15" s="94"/>
      <c r="H15" s="95"/>
      <c r="I15" s="93" t="str">
        <f t="shared" si="2"/>
        <v/>
      </c>
    </row>
    <row r="16" spans="1:10" s="93" customFormat="1" ht="17.399999999999999">
      <c r="A16" s="91" t="s">
        <v>1509</v>
      </c>
      <c r="B16" s="92">
        <v>44595</v>
      </c>
      <c r="C16" s="93" t="str">
        <f t="shared" si="3"/>
        <v>(목)</v>
      </c>
      <c r="D16" s="94"/>
      <c r="E16" s="95"/>
      <c r="F16" s="93" t="str">
        <f t="shared" si="1"/>
        <v/>
      </c>
      <c r="G16" s="94"/>
      <c r="H16" s="95"/>
      <c r="I16" s="93" t="str">
        <f t="shared" si="2"/>
        <v/>
      </c>
    </row>
    <row r="17" spans="1:9" s="93" customFormat="1" ht="17.399999999999999">
      <c r="A17" s="91" t="s">
        <v>1511</v>
      </c>
      <c r="B17" s="92">
        <v>44621</v>
      </c>
      <c r="C17" s="93" t="str">
        <f t="shared" si="3"/>
        <v>(화)</v>
      </c>
      <c r="D17" s="94"/>
      <c r="E17" s="95"/>
      <c r="F17" s="93" t="str">
        <f t="shared" si="1"/>
        <v/>
      </c>
      <c r="G17" s="94"/>
      <c r="H17" s="95"/>
      <c r="I17" s="93" t="str">
        <f t="shared" si="2"/>
        <v/>
      </c>
    </row>
    <row r="18" spans="1:9" s="93" customFormat="1" ht="17.399999999999999">
      <c r="A18" s="91"/>
      <c r="B18" s="92"/>
      <c r="C18" s="93" t="str">
        <f t="shared" si="3"/>
        <v/>
      </c>
      <c r="D18" s="94"/>
      <c r="E18" s="95"/>
      <c r="F18" s="93" t="str">
        <f t="shared" si="1"/>
        <v/>
      </c>
      <c r="G18" s="94"/>
      <c r="H18" s="95"/>
      <c r="I18" s="93" t="str">
        <f t="shared" si="2"/>
        <v/>
      </c>
    </row>
    <row r="19" spans="1:9" s="93" customFormat="1" ht="17.399999999999999">
      <c r="A19" s="91"/>
      <c r="B19" s="92"/>
      <c r="C19" s="93" t="str">
        <f t="shared" si="3"/>
        <v/>
      </c>
      <c r="D19" s="94"/>
      <c r="E19" s="95"/>
      <c r="F19" s="93" t="str">
        <f t="shared" si="1"/>
        <v/>
      </c>
      <c r="G19" s="94"/>
      <c r="H19" s="95"/>
      <c r="I19" s="93" t="str">
        <f t="shared" si="2"/>
        <v/>
      </c>
    </row>
    <row r="20" spans="1:9" s="93" customFormat="1" ht="17.399999999999999">
      <c r="A20" s="91"/>
      <c r="B20" s="92"/>
      <c r="C20" s="93" t="str">
        <f t="shared" si="3"/>
        <v/>
      </c>
      <c r="D20" s="94"/>
      <c r="E20" s="95"/>
      <c r="F20" s="93" t="str">
        <f t="shared" si="1"/>
        <v/>
      </c>
      <c r="G20" s="94"/>
      <c r="H20" s="95"/>
      <c r="I20" s="93" t="str">
        <f t="shared" si="2"/>
        <v/>
      </c>
    </row>
    <row r="21" spans="1:9" s="93" customFormat="1" ht="17.399999999999999">
      <c r="A21" s="91"/>
      <c r="B21" s="92"/>
      <c r="C21" s="93" t="str">
        <f t="shared" si="3"/>
        <v/>
      </c>
      <c r="D21" s="94"/>
      <c r="E21" s="95"/>
      <c r="F21" s="93" t="str">
        <f t="shared" si="1"/>
        <v/>
      </c>
      <c r="G21" s="94"/>
      <c r="H21" s="95"/>
      <c r="I21" s="93" t="str">
        <f t="shared" si="2"/>
        <v/>
      </c>
    </row>
    <row r="22" spans="1:9" s="93" customFormat="1" ht="17.399999999999999">
      <c r="A22" s="91"/>
      <c r="B22" s="92"/>
      <c r="C22" s="93" t="str">
        <f t="shared" si="3"/>
        <v/>
      </c>
      <c r="D22" s="94"/>
      <c r="E22" s="95"/>
      <c r="F22" s="93" t="str">
        <f t="shared" si="1"/>
        <v/>
      </c>
      <c r="G22" s="94"/>
      <c r="H22" s="95"/>
      <c r="I22" s="93" t="str">
        <f t="shared" si="2"/>
        <v/>
      </c>
    </row>
    <row r="23" spans="1:9" s="93" customFormat="1" ht="17.399999999999999">
      <c r="A23" s="91"/>
      <c r="B23" s="92"/>
      <c r="C23" s="93" t="str">
        <f t="shared" si="3"/>
        <v/>
      </c>
      <c r="D23" s="94"/>
      <c r="E23" s="95"/>
      <c r="F23" s="93" t="str">
        <f t="shared" si="1"/>
        <v/>
      </c>
      <c r="G23" s="94"/>
      <c r="H23" s="95"/>
      <c r="I23" s="93" t="str">
        <f t="shared" si="2"/>
        <v/>
      </c>
    </row>
    <row r="24" spans="1:9" s="93" customFormat="1" ht="17.399999999999999">
      <c r="A24" s="91"/>
      <c r="B24" s="92"/>
      <c r="C24" s="93" t="str">
        <f t="shared" si="3"/>
        <v/>
      </c>
      <c r="D24" s="94"/>
      <c r="E24" s="95"/>
      <c r="F24" s="93" t="str">
        <f t="shared" si="1"/>
        <v/>
      </c>
      <c r="G24" s="94"/>
      <c r="H24" s="95"/>
      <c r="I24" s="93" t="str">
        <f t="shared" si="2"/>
        <v/>
      </c>
    </row>
    <row r="25" spans="1:9" s="93" customFormat="1" ht="17.399999999999999">
      <c r="A25" s="91"/>
      <c r="B25" s="92"/>
      <c r="C25" s="93" t="str">
        <f t="shared" si="3"/>
        <v/>
      </c>
      <c r="D25" s="94"/>
      <c r="E25" s="95"/>
      <c r="F25" s="93" t="str">
        <f t="shared" si="1"/>
        <v/>
      </c>
      <c r="G25" s="94"/>
      <c r="H25" s="95"/>
      <c r="I25" s="93" t="str">
        <f t="shared" si="2"/>
        <v/>
      </c>
    </row>
    <row r="26" spans="1:9" s="93" customFormat="1" ht="17.399999999999999">
      <c r="A26" s="91"/>
      <c r="B26" s="92"/>
      <c r="C26" s="93" t="str">
        <f t="shared" si="3"/>
        <v/>
      </c>
      <c r="D26" s="94"/>
      <c r="E26" s="95"/>
      <c r="F26" s="93" t="str">
        <f t="shared" si="1"/>
        <v/>
      </c>
      <c r="G26" s="94"/>
      <c r="H26" s="95"/>
      <c r="I26" s="93" t="str">
        <f t="shared" si="2"/>
        <v/>
      </c>
    </row>
    <row r="27" spans="1:9" s="93" customFormat="1" ht="17.399999999999999">
      <c r="A27" s="91"/>
      <c r="B27" s="92"/>
      <c r="C27" s="93" t="str">
        <f t="shared" si="3"/>
        <v/>
      </c>
      <c r="D27" s="94"/>
      <c r="E27" s="95"/>
      <c r="F27" s="93" t="str">
        <f t="shared" si="1"/>
        <v/>
      </c>
      <c r="G27" s="94"/>
      <c r="H27" s="95"/>
      <c r="I27" s="93" t="str">
        <f t="shared" si="2"/>
        <v/>
      </c>
    </row>
    <row r="28" spans="1:9" s="93" customFormat="1" ht="17.399999999999999">
      <c r="A28" s="91"/>
      <c r="B28" s="92"/>
      <c r="C28" s="93" t="str">
        <f t="shared" si="3"/>
        <v/>
      </c>
      <c r="D28" s="94"/>
      <c r="E28" s="95"/>
      <c r="F28" s="93" t="str">
        <f t="shared" si="1"/>
        <v/>
      </c>
      <c r="G28" s="94"/>
      <c r="H28" s="95"/>
      <c r="I28" s="93" t="str">
        <f t="shared" si="2"/>
        <v/>
      </c>
    </row>
    <row r="29" spans="1:9" s="93" customFormat="1" ht="17.399999999999999">
      <c r="A29" s="91"/>
      <c r="B29" s="92"/>
      <c r="C29" s="93" t="str">
        <f t="shared" si="3"/>
        <v/>
      </c>
      <c r="D29" s="94"/>
      <c r="E29" s="95"/>
      <c r="F29" s="93" t="str">
        <f t="shared" si="1"/>
        <v/>
      </c>
      <c r="G29" s="94"/>
      <c r="H29" s="95"/>
      <c r="I29" s="93" t="str">
        <f t="shared" si="2"/>
        <v/>
      </c>
    </row>
    <row r="30" spans="1:9" s="93" customFormat="1" ht="17.399999999999999">
      <c r="A30" s="91"/>
      <c r="B30" s="92"/>
      <c r="C30" s="93" t="str">
        <f t="shared" si="3"/>
        <v/>
      </c>
      <c r="D30" s="94"/>
      <c r="E30" s="95"/>
      <c r="F30" s="93" t="str">
        <f t="shared" si="1"/>
        <v/>
      </c>
      <c r="G30" s="94"/>
      <c r="H30" s="95"/>
      <c r="I30" s="93" t="str">
        <f t="shared" si="2"/>
        <v/>
      </c>
    </row>
    <row r="31" spans="1:9" s="93" customFormat="1" ht="17.399999999999999">
      <c r="A31" s="91"/>
      <c r="B31" s="92"/>
      <c r="C31" s="93" t="str">
        <f t="shared" si="3"/>
        <v/>
      </c>
      <c r="D31" s="94"/>
      <c r="E31" s="95"/>
      <c r="F31" s="93" t="str">
        <f t="shared" si="1"/>
        <v/>
      </c>
      <c r="G31" s="94"/>
      <c r="H31" s="95"/>
      <c r="I31" s="93" t="str">
        <f t="shared" si="2"/>
        <v/>
      </c>
    </row>
    <row r="32" spans="1:9" s="93" customFormat="1" ht="17.399999999999999">
      <c r="A32" s="91"/>
      <c r="B32" s="92"/>
      <c r="C32" s="93" t="str">
        <f t="shared" si="3"/>
        <v/>
      </c>
      <c r="D32" s="94"/>
      <c r="E32" s="95"/>
      <c r="F32" s="93" t="str">
        <f t="shared" si="1"/>
        <v/>
      </c>
      <c r="G32" s="94"/>
      <c r="H32" s="95"/>
      <c r="I32" s="93" t="str">
        <f t="shared" si="2"/>
        <v/>
      </c>
    </row>
    <row r="33" spans="1:9" s="93" customFormat="1" ht="17.399999999999999">
      <c r="A33" s="91"/>
      <c r="B33" s="92"/>
      <c r="C33" s="93" t="str">
        <f t="shared" si="3"/>
        <v/>
      </c>
      <c r="D33" s="94"/>
      <c r="E33" s="95"/>
      <c r="F33" s="93" t="str">
        <f t="shared" si="1"/>
        <v/>
      </c>
      <c r="G33" s="94"/>
      <c r="H33" s="95"/>
      <c r="I33" s="93" t="str">
        <f t="shared" si="2"/>
        <v/>
      </c>
    </row>
    <row r="34" spans="1:9" s="93" customFormat="1" ht="17.399999999999999">
      <c r="A34" s="91"/>
      <c r="B34" s="92"/>
      <c r="C34" s="93" t="str">
        <f t="shared" si="3"/>
        <v/>
      </c>
      <c r="D34" s="94"/>
      <c r="E34" s="95"/>
      <c r="F34" s="93" t="str">
        <f t="shared" si="1"/>
        <v/>
      </c>
      <c r="G34" s="94"/>
      <c r="H34" s="95"/>
      <c r="I34" s="93" t="str">
        <f t="shared" si="2"/>
        <v/>
      </c>
    </row>
    <row r="35" spans="1:9" s="93" customFormat="1" ht="17.399999999999999">
      <c r="A35" s="91"/>
      <c r="B35" s="92"/>
      <c r="C35" s="93" t="str">
        <f t="shared" si="3"/>
        <v/>
      </c>
      <c r="D35" s="94"/>
      <c r="E35" s="95"/>
      <c r="F35" s="93" t="str">
        <f t="shared" si="1"/>
        <v/>
      </c>
      <c r="G35" s="94"/>
      <c r="H35" s="95"/>
      <c r="I35" s="93" t="str">
        <f t="shared" si="2"/>
        <v/>
      </c>
    </row>
    <row r="36" spans="1:9" s="93" customFormat="1" ht="17.399999999999999">
      <c r="A36" s="91"/>
      <c r="B36" s="92"/>
      <c r="C36" s="93" t="str">
        <f t="shared" si="3"/>
        <v/>
      </c>
      <c r="D36" s="94"/>
      <c r="E36" s="95"/>
      <c r="F36" s="93" t="str">
        <f t="shared" si="1"/>
        <v/>
      </c>
      <c r="G36" s="94"/>
      <c r="H36" s="95"/>
      <c r="I36" s="93" t="str">
        <f t="shared" si="2"/>
        <v/>
      </c>
    </row>
    <row r="37" spans="1:9" s="93" customFormat="1" ht="17.399999999999999">
      <c r="A37" s="91"/>
      <c r="B37" s="92"/>
      <c r="C37" s="93" t="str">
        <f t="shared" si="3"/>
        <v/>
      </c>
      <c r="D37" s="94"/>
      <c r="E37" s="95"/>
      <c r="F37" s="93" t="str">
        <f t="shared" si="1"/>
        <v/>
      </c>
      <c r="G37" s="94"/>
      <c r="H37" s="95"/>
      <c r="I37" s="93" t="str">
        <f t="shared" si="2"/>
        <v/>
      </c>
    </row>
    <row r="38" spans="1:9" s="93" customFormat="1" ht="17.399999999999999">
      <c r="A38" s="91"/>
      <c r="B38" s="92"/>
      <c r="C38" s="93" t="str">
        <f t="shared" si="3"/>
        <v/>
      </c>
      <c r="D38" s="94"/>
      <c r="E38" s="95"/>
      <c r="F38" s="93" t="str">
        <f t="shared" si="1"/>
        <v/>
      </c>
      <c r="G38" s="94"/>
      <c r="H38" s="95"/>
      <c r="I38" s="93" t="str">
        <f t="shared" si="2"/>
        <v/>
      </c>
    </row>
    <row r="39" spans="1:9" s="93" customFormat="1" ht="17.399999999999999">
      <c r="A39" s="91"/>
      <c r="B39" s="92"/>
      <c r="C39" s="93" t="str">
        <f t="shared" si="3"/>
        <v/>
      </c>
      <c r="D39" s="94"/>
      <c r="E39" s="95"/>
      <c r="F39" s="93" t="str">
        <f t="shared" si="1"/>
        <v/>
      </c>
      <c r="G39" s="94"/>
      <c r="H39" s="95"/>
      <c r="I39" s="93" t="str">
        <f t="shared" si="2"/>
        <v/>
      </c>
    </row>
    <row r="40" spans="1:9" s="93" customFormat="1" ht="17.399999999999999">
      <c r="A40" s="91"/>
      <c r="B40" s="92"/>
      <c r="C40" s="93" t="str">
        <f t="shared" si="3"/>
        <v/>
      </c>
      <c r="D40" s="94"/>
      <c r="E40" s="95"/>
      <c r="F40" s="93" t="str">
        <f t="shared" si="1"/>
        <v/>
      </c>
      <c r="G40" s="94"/>
      <c r="H40" s="95"/>
      <c r="I40" s="93" t="str">
        <f t="shared" si="2"/>
        <v/>
      </c>
    </row>
    <row r="41" spans="1:9" s="93" customFormat="1" ht="17.399999999999999">
      <c r="A41" s="91"/>
      <c r="B41" s="92"/>
      <c r="C41" s="93" t="str">
        <f t="shared" si="3"/>
        <v/>
      </c>
      <c r="D41" s="94"/>
      <c r="E41" s="95"/>
      <c r="F41" s="93" t="str">
        <f t="shared" si="1"/>
        <v/>
      </c>
      <c r="G41" s="94"/>
      <c r="H41" s="95"/>
      <c r="I41" s="93" t="str">
        <f t="shared" si="2"/>
        <v/>
      </c>
    </row>
    <row r="42" spans="1:9" s="93" customFormat="1" ht="17.399999999999999">
      <c r="A42" s="91"/>
      <c r="B42" s="92"/>
      <c r="C42" s="93" t="str">
        <f t="shared" si="3"/>
        <v/>
      </c>
      <c r="D42" s="94"/>
      <c r="E42" s="95"/>
      <c r="F42" s="93" t="str">
        <f t="shared" si="1"/>
        <v/>
      </c>
      <c r="G42" s="94"/>
      <c r="H42" s="95"/>
      <c r="I42" s="93" t="str">
        <f t="shared" si="2"/>
        <v/>
      </c>
    </row>
    <row r="43" spans="1:9" s="93" customFormat="1" ht="17.399999999999999">
      <c r="A43" s="91"/>
      <c r="B43" s="92"/>
      <c r="C43" s="93" t="str">
        <f t="shared" si="3"/>
        <v/>
      </c>
      <c r="D43" s="94"/>
      <c r="E43" s="95"/>
      <c r="F43" s="93" t="str">
        <f t="shared" si="1"/>
        <v/>
      </c>
      <c r="G43" s="94"/>
      <c r="H43" s="95"/>
      <c r="I43" s="93" t="str">
        <f t="shared" si="2"/>
        <v/>
      </c>
    </row>
    <row r="44" spans="1:9" s="93" customFormat="1" ht="17.399999999999999">
      <c r="A44" s="91"/>
      <c r="B44" s="92"/>
      <c r="C44" s="93" t="str">
        <f t="shared" si="3"/>
        <v/>
      </c>
      <c r="D44" s="94"/>
      <c r="E44" s="95"/>
      <c r="F44" s="93" t="str">
        <f t="shared" si="1"/>
        <v/>
      </c>
      <c r="G44" s="94"/>
      <c r="H44" s="95"/>
      <c r="I44" s="93" t="str">
        <f t="shared" si="2"/>
        <v/>
      </c>
    </row>
    <row r="45" spans="1:9" s="93" customFormat="1" ht="17.399999999999999">
      <c r="A45" s="91"/>
      <c r="B45" s="92"/>
      <c r="C45" s="93" t="str">
        <f t="shared" si="3"/>
        <v/>
      </c>
      <c r="D45" s="94"/>
      <c r="E45" s="95"/>
      <c r="F45" s="93" t="str">
        <f t="shared" si="1"/>
        <v/>
      </c>
      <c r="G45" s="94"/>
      <c r="H45" s="95"/>
      <c r="I45" s="93" t="str">
        <f t="shared" si="2"/>
        <v/>
      </c>
    </row>
    <row r="46" spans="1:9" s="93" customFormat="1" ht="17.399999999999999">
      <c r="A46" s="91"/>
      <c r="B46" s="92"/>
      <c r="C46" s="93" t="str">
        <f t="shared" si="3"/>
        <v/>
      </c>
      <c r="D46" s="94"/>
      <c r="E46" s="95"/>
      <c r="F46" s="93" t="str">
        <f t="shared" si="1"/>
        <v/>
      </c>
      <c r="G46" s="94"/>
      <c r="H46" s="95"/>
      <c r="I46" s="93" t="str">
        <f t="shared" si="2"/>
        <v/>
      </c>
    </row>
    <row r="47" spans="1:9" s="93" customFormat="1" ht="17.399999999999999">
      <c r="A47" s="91"/>
      <c r="B47" s="92"/>
      <c r="C47" s="93" t="str">
        <f t="shared" si="3"/>
        <v/>
      </c>
      <c r="D47" s="94"/>
      <c r="E47" s="95"/>
      <c r="F47" s="93" t="str">
        <f t="shared" si="1"/>
        <v/>
      </c>
      <c r="G47" s="94"/>
      <c r="H47" s="95"/>
      <c r="I47" s="93" t="str">
        <f t="shared" si="2"/>
        <v/>
      </c>
    </row>
    <row r="48" spans="1:9" s="93" customFormat="1" ht="17.399999999999999">
      <c r="A48" s="91"/>
      <c r="B48" s="92"/>
      <c r="C48" s="93" t="str">
        <f t="shared" si="3"/>
        <v/>
      </c>
      <c r="D48" s="94"/>
      <c r="E48" s="95"/>
      <c r="F48" s="93" t="str">
        <f t="shared" si="1"/>
        <v/>
      </c>
      <c r="G48" s="94"/>
      <c r="H48" s="95"/>
      <c r="I48" s="93" t="str">
        <f t="shared" si="2"/>
        <v/>
      </c>
    </row>
    <row r="49" spans="1:9" s="93" customFormat="1" ht="17.399999999999999">
      <c r="A49" s="91"/>
      <c r="B49" s="92"/>
      <c r="C49" s="93" t="str">
        <f t="shared" si="3"/>
        <v/>
      </c>
      <c r="D49" s="94"/>
      <c r="E49" s="95"/>
      <c r="F49" s="93" t="str">
        <f t="shared" si="1"/>
        <v/>
      </c>
      <c r="G49" s="94"/>
      <c r="H49" s="95"/>
      <c r="I49" s="93" t="str">
        <f t="shared" si="2"/>
        <v/>
      </c>
    </row>
    <row r="50" spans="1:9" s="93" customFormat="1" ht="17.399999999999999">
      <c r="A50" s="91"/>
      <c r="B50" s="92"/>
      <c r="C50" s="93" t="str">
        <f t="shared" si="3"/>
        <v/>
      </c>
      <c r="D50" s="94"/>
      <c r="E50" s="95"/>
      <c r="F50" s="93" t="str">
        <f t="shared" si="1"/>
        <v/>
      </c>
      <c r="G50" s="94"/>
      <c r="H50" s="95"/>
      <c r="I50" s="93" t="str">
        <f t="shared" si="2"/>
        <v/>
      </c>
    </row>
    <row r="51" spans="1:9" s="93" customFormat="1" ht="17.399999999999999">
      <c r="A51" s="91"/>
      <c r="B51" s="92"/>
      <c r="C51" s="93" t="str">
        <f t="shared" si="3"/>
        <v/>
      </c>
      <c r="D51" s="94"/>
      <c r="E51" s="95"/>
      <c r="F51" s="93" t="str">
        <f t="shared" si="1"/>
        <v/>
      </c>
      <c r="G51" s="94"/>
      <c r="H51" s="95"/>
      <c r="I51" s="93" t="str">
        <f t="shared" si="2"/>
        <v/>
      </c>
    </row>
    <row r="52" spans="1:9" s="93" customFormat="1" ht="17.399999999999999">
      <c r="A52" s="91"/>
      <c r="B52" s="92"/>
      <c r="C52" s="93" t="str">
        <f t="shared" si="3"/>
        <v/>
      </c>
      <c r="D52" s="94"/>
      <c r="E52" s="95"/>
      <c r="F52" s="93" t="str">
        <f t="shared" si="1"/>
        <v/>
      </c>
      <c r="G52" s="94"/>
      <c r="H52" s="95"/>
      <c r="I52" s="93" t="str">
        <f t="shared" si="2"/>
        <v/>
      </c>
    </row>
    <row r="53" spans="1:9" s="93" customFormat="1" ht="17.399999999999999">
      <c r="A53" s="91"/>
      <c r="B53" s="92"/>
      <c r="C53" s="93" t="str">
        <f t="shared" si="3"/>
        <v/>
      </c>
      <c r="D53" s="94"/>
      <c r="E53" s="95"/>
      <c r="F53" s="93" t="str">
        <f t="shared" si="1"/>
        <v/>
      </c>
      <c r="G53" s="94"/>
      <c r="H53" s="95"/>
      <c r="I53" s="93" t="str">
        <f t="shared" si="2"/>
        <v/>
      </c>
    </row>
    <row r="54" spans="1:9" s="93" customFormat="1" ht="17.399999999999999">
      <c r="A54" s="91"/>
      <c r="B54" s="92"/>
      <c r="C54" s="93" t="str">
        <f t="shared" si="3"/>
        <v/>
      </c>
      <c r="D54" s="94"/>
      <c r="E54" s="95"/>
      <c r="F54" s="93" t="str">
        <f t="shared" si="1"/>
        <v/>
      </c>
      <c r="G54" s="94"/>
      <c r="H54" s="95"/>
      <c r="I54" s="93" t="str">
        <f t="shared" si="2"/>
        <v/>
      </c>
    </row>
    <row r="55" spans="1:9" s="93" customFormat="1" ht="17.399999999999999">
      <c r="A55" s="91"/>
      <c r="B55" s="92"/>
      <c r="C55" s="93" t="str">
        <f t="shared" si="3"/>
        <v/>
      </c>
      <c r="D55" s="94"/>
      <c r="E55" s="95"/>
      <c r="F55" s="93" t="str">
        <f t="shared" si="1"/>
        <v/>
      </c>
      <c r="G55" s="94"/>
      <c r="H55" s="95"/>
      <c r="I55" s="93" t="str">
        <f t="shared" si="2"/>
        <v/>
      </c>
    </row>
    <row r="56" spans="1:9" s="93" customFormat="1" ht="17.399999999999999">
      <c r="A56" s="91"/>
      <c r="B56" s="92"/>
      <c r="C56" s="93" t="str">
        <f t="shared" si="3"/>
        <v/>
      </c>
      <c r="D56" s="94"/>
      <c r="E56" s="95"/>
      <c r="F56" s="93" t="str">
        <f t="shared" si="1"/>
        <v/>
      </c>
      <c r="G56" s="94"/>
      <c r="H56" s="95"/>
      <c r="I56" s="93" t="str">
        <f t="shared" si="2"/>
        <v/>
      </c>
    </row>
    <row r="57" spans="1:9" s="93" customFormat="1" ht="17.399999999999999">
      <c r="A57" s="91"/>
      <c r="B57" s="92"/>
      <c r="C57" s="93" t="str">
        <f t="shared" ref="C57:C120" si="4">IF(B57&gt;0,TEXT(B57,"(aaa)"),"")</f>
        <v/>
      </c>
      <c r="D57" s="94"/>
      <c r="E57" s="95"/>
      <c r="F57" s="93" t="str">
        <f t="shared" ref="F57:F120" si="5">IF(E57&gt;0,TEXT(E57,"(aaa)"),"")</f>
        <v/>
      </c>
      <c r="G57" s="94"/>
      <c r="H57" s="95"/>
      <c r="I57" s="93" t="str">
        <f t="shared" ref="I57:I120" si="6">IF(H57&gt;0,TEXT(H57,"(aaa)"),"")</f>
        <v/>
      </c>
    </row>
    <row r="58" spans="1:9" s="93" customFormat="1" ht="17.399999999999999">
      <c r="A58" s="91"/>
      <c r="B58" s="92"/>
      <c r="C58" s="93" t="str">
        <f t="shared" si="4"/>
        <v/>
      </c>
      <c r="D58" s="94"/>
      <c r="E58" s="95"/>
      <c r="F58" s="93" t="str">
        <f t="shared" si="5"/>
        <v/>
      </c>
      <c r="G58" s="94"/>
      <c r="H58" s="95"/>
      <c r="I58" s="93" t="str">
        <f t="shared" si="6"/>
        <v/>
      </c>
    </row>
    <row r="59" spans="1:9" s="93" customFormat="1" ht="17.399999999999999">
      <c r="A59" s="91"/>
      <c r="B59" s="92"/>
      <c r="C59" s="93" t="str">
        <f t="shared" si="4"/>
        <v/>
      </c>
      <c r="D59" s="94"/>
      <c r="E59" s="95"/>
      <c r="F59" s="93" t="str">
        <f t="shared" si="5"/>
        <v/>
      </c>
      <c r="G59" s="94"/>
      <c r="H59" s="95"/>
      <c r="I59" s="93" t="str">
        <f t="shared" si="6"/>
        <v/>
      </c>
    </row>
    <row r="60" spans="1:9" s="93" customFormat="1" ht="17.399999999999999">
      <c r="A60" s="91"/>
      <c r="B60" s="92"/>
      <c r="C60" s="93" t="str">
        <f t="shared" si="4"/>
        <v/>
      </c>
      <c r="D60" s="94"/>
      <c r="E60" s="95"/>
      <c r="F60" s="93" t="str">
        <f t="shared" si="5"/>
        <v/>
      </c>
      <c r="G60" s="94"/>
      <c r="H60" s="95"/>
      <c r="I60" s="93" t="str">
        <f t="shared" si="6"/>
        <v/>
      </c>
    </row>
    <row r="61" spans="1:9" s="93" customFormat="1" ht="17.399999999999999">
      <c r="A61" s="91"/>
      <c r="B61" s="92"/>
      <c r="C61" s="93" t="str">
        <f t="shared" si="4"/>
        <v/>
      </c>
      <c r="D61" s="94"/>
      <c r="E61" s="95"/>
      <c r="F61" s="93" t="str">
        <f t="shared" si="5"/>
        <v/>
      </c>
      <c r="G61" s="94"/>
      <c r="H61" s="95"/>
      <c r="I61" s="93" t="str">
        <f t="shared" si="6"/>
        <v/>
      </c>
    </row>
    <row r="62" spans="1:9" s="93" customFormat="1" ht="17.399999999999999">
      <c r="A62" s="91"/>
      <c r="B62" s="92"/>
      <c r="C62" s="93" t="str">
        <f t="shared" si="4"/>
        <v/>
      </c>
      <c r="D62" s="94"/>
      <c r="E62" s="95"/>
      <c r="F62" s="93" t="str">
        <f t="shared" si="5"/>
        <v/>
      </c>
      <c r="G62" s="94"/>
      <c r="H62" s="95"/>
      <c r="I62" s="93" t="str">
        <f t="shared" si="6"/>
        <v/>
      </c>
    </row>
    <row r="63" spans="1:9" s="93" customFormat="1" ht="17.399999999999999">
      <c r="A63" s="91"/>
      <c r="B63" s="92"/>
      <c r="C63" s="93" t="str">
        <f t="shared" si="4"/>
        <v/>
      </c>
      <c r="D63" s="94"/>
      <c r="E63" s="95"/>
      <c r="F63" s="93" t="str">
        <f t="shared" si="5"/>
        <v/>
      </c>
      <c r="G63" s="94"/>
      <c r="H63" s="95"/>
      <c r="I63" s="93" t="str">
        <f t="shared" si="6"/>
        <v/>
      </c>
    </row>
    <row r="64" spans="1:9" s="93" customFormat="1" ht="17.399999999999999">
      <c r="A64" s="91"/>
      <c r="B64" s="92"/>
      <c r="C64" s="93" t="str">
        <f t="shared" si="4"/>
        <v/>
      </c>
      <c r="D64" s="94"/>
      <c r="E64" s="95"/>
      <c r="F64" s="93" t="str">
        <f t="shared" si="5"/>
        <v/>
      </c>
      <c r="G64" s="94"/>
      <c r="H64" s="95"/>
      <c r="I64" s="93" t="str">
        <f t="shared" si="6"/>
        <v/>
      </c>
    </row>
    <row r="65" spans="1:9" s="93" customFormat="1" ht="17.399999999999999">
      <c r="A65" s="91"/>
      <c r="B65" s="92"/>
      <c r="C65" s="93" t="str">
        <f t="shared" si="4"/>
        <v/>
      </c>
      <c r="D65" s="94"/>
      <c r="E65" s="95"/>
      <c r="F65" s="93" t="str">
        <f t="shared" si="5"/>
        <v/>
      </c>
      <c r="G65" s="94"/>
      <c r="H65" s="95"/>
      <c r="I65" s="93" t="str">
        <f t="shared" si="6"/>
        <v/>
      </c>
    </row>
    <row r="66" spans="1:9" s="93" customFormat="1" ht="17.399999999999999">
      <c r="A66" s="91"/>
      <c r="B66" s="92"/>
      <c r="C66" s="93" t="str">
        <f t="shared" si="4"/>
        <v/>
      </c>
      <c r="D66" s="94"/>
      <c r="E66" s="95"/>
      <c r="F66" s="93" t="str">
        <f t="shared" si="5"/>
        <v/>
      </c>
      <c r="G66" s="94"/>
      <c r="H66" s="95"/>
      <c r="I66" s="93" t="str">
        <f t="shared" si="6"/>
        <v/>
      </c>
    </row>
    <row r="67" spans="1:9" s="93" customFormat="1" ht="17.399999999999999">
      <c r="A67" s="91"/>
      <c r="B67" s="92"/>
      <c r="C67" s="93" t="str">
        <f t="shared" si="4"/>
        <v/>
      </c>
      <c r="D67" s="94"/>
      <c r="E67" s="95"/>
      <c r="F67" s="93" t="str">
        <f t="shared" si="5"/>
        <v/>
      </c>
      <c r="G67" s="94"/>
      <c r="H67" s="95"/>
      <c r="I67" s="93" t="str">
        <f t="shared" si="6"/>
        <v/>
      </c>
    </row>
    <row r="68" spans="1:9" s="93" customFormat="1" ht="17.399999999999999">
      <c r="A68" s="91"/>
      <c r="B68" s="92"/>
      <c r="C68" s="93" t="str">
        <f t="shared" si="4"/>
        <v/>
      </c>
      <c r="D68" s="94"/>
      <c r="E68" s="95"/>
      <c r="F68" s="93" t="str">
        <f t="shared" si="5"/>
        <v/>
      </c>
      <c r="G68" s="94"/>
      <c r="H68" s="95"/>
      <c r="I68" s="93" t="str">
        <f t="shared" si="6"/>
        <v/>
      </c>
    </row>
    <row r="69" spans="1:9" s="93" customFormat="1" ht="17.399999999999999">
      <c r="A69" s="91"/>
      <c r="B69" s="92"/>
      <c r="C69" s="93" t="str">
        <f t="shared" si="4"/>
        <v/>
      </c>
      <c r="D69" s="94"/>
      <c r="E69" s="95"/>
      <c r="F69" s="93" t="str">
        <f t="shared" si="5"/>
        <v/>
      </c>
      <c r="G69" s="94"/>
      <c r="H69" s="95"/>
      <c r="I69" s="93" t="str">
        <f t="shared" si="6"/>
        <v/>
      </c>
    </row>
    <row r="70" spans="1:9" s="93" customFormat="1" ht="17.399999999999999">
      <c r="A70" s="91"/>
      <c r="B70" s="92"/>
      <c r="C70" s="93" t="str">
        <f t="shared" si="4"/>
        <v/>
      </c>
      <c r="D70" s="94"/>
      <c r="E70" s="95"/>
      <c r="F70" s="93" t="str">
        <f t="shared" si="5"/>
        <v/>
      </c>
      <c r="G70" s="94"/>
      <c r="H70" s="95"/>
      <c r="I70" s="93" t="str">
        <f t="shared" si="6"/>
        <v/>
      </c>
    </row>
    <row r="71" spans="1:9" s="93" customFormat="1" ht="17.399999999999999">
      <c r="A71" s="91"/>
      <c r="B71" s="92"/>
      <c r="C71" s="93" t="str">
        <f t="shared" si="4"/>
        <v/>
      </c>
      <c r="D71" s="94"/>
      <c r="E71" s="95"/>
      <c r="F71" s="93" t="str">
        <f t="shared" si="5"/>
        <v/>
      </c>
      <c r="G71" s="94"/>
      <c r="H71" s="95"/>
      <c r="I71" s="93" t="str">
        <f t="shared" si="6"/>
        <v/>
      </c>
    </row>
    <row r="72" spans="1:9" s="93" customFormat="1" ht="17.399999999999999">
      <c r="A72" s="91"/>
      <c r="B72" s="92"/>
      <c r="C72" s="93" t="str">
        <f t="shared" si="4"/>
        <v/>
      </c>
      <c r="D72" s="94"/>
      <c r="E72" s="95"/>
      <c r="F72" s="93" t="str">
        <f t="shared" si="5"/>
        <v/>
      </c>
      <c r="G72" s="94"/>
      <c r="H72" s="95"/>
      <c r="I72" s="93" t="str">
        <f t="shared" si="6"/>
        <v/>
      </c>
    </row>
    <row r="73" spans="1:9" s="93" customFormat="1" ht="17.399999999999999">
      <c r="A73" s="91"/>
      <c r="B73" s="92"/>
      <c r="C73" s="93" t="str">
        <f t="shared" si="4"/>
        <v/>
      </c>
      <c r="D73" s="94"/>
      <c r="E73" s="95"/>
      <c r="F73" s="93" t="str">
        <f t="shared" si="5"/>
        <v/>
      </c>
      <c r="G73" s="94"/>
      <c r="H73" s="95"/>
      <c r="I73" s="93" t="str">
        <f t="shared" si="6"/>
        <v/>
      </c>
    </row>
    <row r="74" spans="1:9" s="93" customFormat="1" ht="17.399999999999999">
      <c r="A74" s="91"/>
      <c r="B74" s="92"/>
      <c r="C74" s="93" t="str">
        <f t="shared" si="4"/>
        <v/>
      </c>
      <c r="D74" s="94"/>
      <c r="E74" s="95"/>
      <c r="F74" s="93" t="str">
        <f t="shared" si="5"/>
        <v/>
      </c>
      <c r="G74" s="94"/>
      <c r="H74" s="95"/>
      <c r="I74" s="93" t="str">
        <f t="shared" si="6"/>
        <v/>
      </c>
    </row>
    <row r="75" spans="1:9" s="93" customFormat="1" ht="17.399999999999999">
      <c r="A75" s="91"/>
      <c r="B75" s="92"/>
      <c r="C75" s="93" t="str">
        <f t="shared" si="4"/>
        <v/>
      </c>
      <c r="D75" s="94"/>
      <c r="E75" s="95"/>
      <c r="F75" s="93" t="str">
        <f t="shared" si="5"/>
        <v/>
      </c>
      <c r="G75" s="94"/>
      <c r="H75" s="95"/>
      <c r="I75" s="93" t="str">
        <f t="shared" si="6"/>
        <v/>
      </c>
    </row>
    <row r="76" spans="1:9" s="93" customFormat="1" ht="17.399999999999999">
      <c r="A76" s="91"/>
      <c r="B76" s="92"/>
      <c r="C76" s="93" t="str">
        <f t="shared" si="4"/>
        <v/>
      </c>
      <c r="D76" s="94"/>
      <c r="E76" s="95"/>
      <c r="F76" s="93" t="str">
        <f t="shared" si="5"/>
        <v/>
      </c>
      <c r="G76" s="94"/>
      <c r="H76" s="95"/>
      <c r="I76" s="93" t="str">
        <f t="shared" si="6"/>
        <v/>
      </c>
    </row>
    <row r="77" spans="1:9" s="93" customFormat="1" ht="17.399999999999999">
      <c r="A77" s="91"/>
      <c r="B77" s="92"/>
      <c r="C77" s="93" t="str">
        <f t="shared" si="4"/>
        <v/>
      </c>
      <c r="D77" s="94"/>
      <c r="E77" s="95"/>
      <c r="F77" s="93" t="str">
        <f t="shared" si="5"/>
        <v/>
      </c>
      <c r="G77" s="94"/>
      <c r="H77" s="95"/>
      <c r="I77" s="93" t="str">
        <f t="shared" si="6"/>
        <v/>
      </c>
    </row>
    <row r="78" spans="1:9" s="93" customFormat="1" ht="17.399999999999999">
      <c r="A78" s="91"/>
      <c r="B78" s="92"/>
      <c r="C78" s="93" t="str">
        <f t="shared" si="4"/>
        <v/>
      </c>
      <c r="D78" s="94"/>
      <c r="E78" s="95"/>
      <c r="F78" s="93" t="str">
        <f t="shared" si="5"/>
        <v/>
      </c>
      <c r="G78" s="94"/>
      <c r="H78" s="95"/>
      <c r="I78" s="93" t="str">
        <f t="shared" si="6"/>
        <v/>
      </c>
    </row>
    <row r="79" spans="1:9" s="93" customFormat="1" ht="17.399999999999999">
      <c r="A79" s="91"/>
      <c r="B79" s="92"/>
      <c r="C79" s="93" t="str">
        <f t="shared" si="4"/>
        <v/>
      </c>
      <c r="D79" s="94"/>
      <c r="E79" s="95"/>
      <c r="F79" s="93" t="str">
        <f t="shared" si="5"/>
        <v/>
      </c>
      <c r="G79" s="94"/>
      <c r="H79" s="95"/>
      <c r="I79" s="93" t="str">
        <f t="shared" si="6"/>
        <v/>
      </c>
    </row>
    <row r="80" spans="1:9" s="93" customFormat="1" ht="17.399999999999999">
      <c r="A80" s="91"/>
      <c r="B80" s="92"/>
      <c r="C80" s="93" t="str">
        <f t="shared" si="4"/>
        <v/>
      </c>
      <c r="D80" s="94"/>
      <c r="E80" s="95"/>
      <c r="F80" s="93" t="str">
        <f t="shared" si="5"/>
        <v/>
      </c>
      <c r="G80" s="94"/>
      <c r="H80" s="95"/>
      <c r="I80" s="93" t="str">
        <f t="shared" si="6"/>
        <v/>
      </c>
    </row>
    <row r="81" spans="1:9" s="93" customFormat="1" ht="17.399999999999999">
      <c r="A81" s="91"/>
      <c r="B81" s="92"/>
      <c r="C81" s="93" t="str">
        <f t="shared" si="4"/>
        <v/>
      </c>
      <c r="D81" s="94"/>
      <c r="E81" s="95"/>
      <c r="F81" s="93" t="str">
        <f t="shared" si="5"/>
        <v/>
      </c>
      <c r="G81" s="94"/>
      <c r="H81" s="95"/>
      <c r="I81" s="93" t="str">
        <f t="shared" si="6"/>
        <v/>
      </c>
    </row>
    <row r="82" spans="1:9" s="93" customFormat="1" ht="17.399999999999999">
      <c r="A82" s="91"/>
      <c r="B82" s="92"/>
      <c r="C82" s="93" t="str">
        <f t="shared" si="4"/>
        <v/>
      </c>
      <c r="D82" s="94"/>
      <c r="E82" s="95"/>
      <c r="F82" s="93" t="str">
        <f t="shared" si="5"/>
        <v/>
      </c>
      <c r="G82" s="94"/>
      <c r="H82" s="95"/>
      <c r="I82" s="93" t="str">
        <f t="shared" si="6"/>
        <v/>
      </c>
    </row>
    <row r="83" spans="1:9" s="93" customFormat="1" ht="17.399999999999999">
      <c r="A83" s="91"/>
      <c r="B83" s="92"/>
      <c r="C83" s="93" t="str">
        <f t="shared" si="4"/>
        <v/>
      </c>
      <c r="D83" s="94"/>
      <c r="E83" s="95"/>
      <c r="F83" s="93" t="str">
        <f t="shared" si="5"/>
        <v/>
      </c>
      <c r="G83" s="94"/>
      <c r="H83" s="95"/>
      <c r="I83" s="93" t="str">
        <f t="shared" si="6"/>
        <v/>
      </c>
    </row>
    <row r="84" spans="1:9" s="93" customFormat="1" ht="17.399999999999999">
      <c r="A84" s="91"/>
      <c r="B84" s="92"/>
      <c r="C84" s="93" t="str">
        <f t="shared" si="4"/>
        <v/>
      </c>
      <c r="D84" s="94"/>
      <c r="E84" s="95"/>
      <c r="F84" s="93" t="str">
        <f t="shared" si="5"/>
        <v/>
      </c>
      <c r="G84" s="94"/>
      <c r="H84" s="95"/>
      <c r="I84" s="93" t="str">
        <f t="shared" si="6"/>
        <v/>
      </c>
    </row>
    <row r="85" spans="1:9" s="93" customFormat="1" ht="17.399999999999999">
      <c r="A85" s="91"/>
      <c r="B85" s="92"/>
      <c r="C85" s="93" t="str">
        <f t="shared" si="4"/>
        <v/>
      </c>
      <c r="D85" s="94"/>
      <c r="E85" s="95"/>
      <c r="F85" s="93" t="str">
        <f t="shared" si="5"/>
        <v/>
      </c>
      <c r="G85" s="94"/>
      <c r="H85" s="95"/>
      <c r="I85" s="93" t="str">
        <f t="shared" si="6"/>
        <v/>
      </c>
    </row>
    <row r="86" spans="1:9" s="93" customFormat="1" ht="17.399999999999999">
      <c r="A86" s="91"/>
      <c r="B86" s="92"/>
      <c r="C86" s="93" t="str">
        <f t="shared" si="4"/>
        <v/>
      </c>
      <c r="D86" s="94"/>
      <c r="E86" s="95"/>
      <c r="F86" s="93" t="str">
        <f t="shared" si="5"/>
        <v/>
      </c>
      <c r="G86" s="94"/>
      <c r="H86" s="95"/>
      <c r="I86" s="93" t="str">
        <f t="shared" si="6"/>
        <v/>
      </c>
    </row>
    <row r="87" spans="1:9" s="93" customFormat="1" ht="17.399999999999999">
      <c r="A87" s="91"/>
      <c r="B87" s="92"/>
      <c r="C87" s="93" t="str">
        <f t="shared" si="4"/>
        <v/>
      </c>
      <c r="D87" s="94"/>
      <c r="E87" s="95"/>
      <c r="F87" s="93" t="str">
        <f t="shared" si="5"/>
        <v/>
      </c>
      <c r="G87" s="94"/>
      <c r="H87" s="95"/>
      <c r="I87" s="93" t="str">
        <f t="shared" si="6"/>
        <v/>
      </c>
    </row>
    <row r="88" spans="1:9" s="93" customFormat="1" ht="17.399999999999999">
      <c r="A88" s="91"/>
      <c r="B88" s="92"/>
      <c r="C88" s="93" t="str">
        <f t="shared" si="4"/>
        <v/>
      </c>
      <c r="D88" s="94"/>
      <c r="E88" s="95"/>
      <c r="F88" s="93" t="str">
        <f t="shared" si="5"/>
        <v/>
      </c>
      <c r="G88" s="94"/>
      <c r="H88" s="95"/>
      <c r="I88" s="93" t="str">
        <f t="shared" si="6"/>
        <v/>
      </c>
    </row>
    <row r="89" spans="1:9" s="93" customFormat="1" ht="17.399999999999999">
      <c r="A89" s="91"/>
      <c r="B89" s="92"/>
      <c r="C89" s="93" t="str">
        <f t="shared" si="4"/>
        <v/>
      </c>
      <c r="D89" s="94"/>
      <c r="E89" s="95"/>
      <c r="F89" s="93" t="str">
        <f t="shared" si="5"/>
        <v/>
      </c>
      <c r="G89" s="94"/>
      <c r="H89" s="95"/>
      <c r="I89" s="93" t="str">
        <f t="shared" si="6"/>
        <v/>
      </c>
    </row>
    <row r="90" spans="1:9" s="93" customFormat="1" ht="17.399999999999999">
      <c r="A90" s="91"/>
      <c r="B90" s="92"/>
      <c r="C90" s="93" t="str">
        <f t="shared" si="4"/>
        <v/>
      </c>
      <c r="D90" s="94"/>
      <c r="E90" s="95"/>
      <c r="F90" s="93" t="str">
        <f t="shared" si="5"/>
        <v/>
      </c>
      <c r="G90" s="94"/>
      <c r="H90" s="95"/>
      <c r="I90" s="93" t="str">
        <f t="shared" si="6"/>
        <v/>
      </c>
    </row>
    <row r="91" spans="1:9" s="93" customFormat="1" ht="17.399999999999999">
      <c r="A91" s="91"/>
      <c r="B91" s="92"/>
      <c r="C91" s="93" t="str">
        <f t="shared" si="4"/>
        <v/>
      </c>
      <c r="D91" s="94"/>
      <c r="E91" s="95"/>
      <c r="F91" s="93" t="str">
        <f t="shared" si="5"/>
        <v/>
      </c>
      <c r="G91" s="94"/>
      <c r="H91" s="95"/>
      <c r="I91" s="93" t="str">
        <f t="shared" si="6"/>
        <v/>
      </c>
    </row>
    <row r="92" spans="1:9" s="93" customFormat="1" ht="17.399999999999999">
      <c r="A92" s="91"/>
      <c r="B92" s="92"/>
      <c r="C92" s="93" t="str">
        <f t="shared" si="4"/>
        <v/>
      </c>
      <c r="D92" s="94"/>
      <c r="E92" s="95"/>
      <c r="F92" s="93" t="str">
        <f t="shared" si="5"/>
        <v/>
      </c>
      <c r="G92" s="94"/>
      <c r="H92" s="95"/>
      <c r="I92" s="93" t="str">
        <f t="shared" si="6"/>
        <v/>
      </c>
    </row>
    <row r="93" spans="1:9" s="93" customFormat="1" ht="17.399999999999999">
      <c r="A93" s="91"/>
      <c r="B93" s="92"/>
      <c r="C93" s="93" t="str">
        <f t="shared" si="4"/>
        <v/>
      </c>
      <c r="D93" s="94"/>
      <c r="E93" s="95"/>
      <c r="F93" s="93" t="str">
        <f t="shared" si="5"/>
        <v/>
      </c>
      <c r="G93" s="94"/>
      <c r="H93" s="95"/>
      <c r="I93" s="93" t="str">
        <f t="shared" si="6"/>
        <v/>
      </c>
    </row>
    <row r="94" spans="1:9" s="93" customFormat="1" ht="17.399999999999999">
      <c r="A94" s="91"/>
      <c r="B94" s="92"/>
      <c r="C94" s="93" t="str">
        <f t="shared" si="4"/>
        <v/>
      </c>
      <c r="D94" s="94"/>
      <c r="E94" s="95"/>
      <c r="F94" s="93" t="str">
        <f t="shared" si="5"/>
        <v/>
      </c>
      <c r="G94" s="94"/>
      <c r="H94" s="95"/>
      <c r="I94" s="93" t="str">
        <f t="shared" si="6"/>
        <v/>
      </c>
    </row>
    <row r="95" spans="1:9" s="93" customFormat="1" ht="17.399999999999999">
      <c r="A95" s="91"/>
      <c r="B95" s="92"/>
      <c r="C95" s="93" t="str">
        <f t="shared" si="4"/>
        <v/>
      </c>
      <c r="D95" s="94"/>
      <c r="E95" s="95"/>
      <c r="F95" s="93" t="str">
        <f t="shared" si="5"/>
        <v/>
      </c>
      <c r="G95" s="94"/>
      <c r="H95" s="95"/>
      <c r="I95" s="93" t="str">
        <f t="shared" si="6"/>
        <v/>
      </c>
    </row>
    <row r="96" spans="1:9" s="93" customFormat="1" ht="17.399999999999999">
      <c r="A96" s="91"/>
      <c r="B96" s="92"/>
      <c r="C96" s="93" t="str">
        <f t="shared" si="4"/>
        <v/>
      </c>
      <c r="D96" s="94"/>
      <c r="E96" s="95"/>
      <c r="F96" s="93" t="str">
        <f t="shared" si="5"/>
        <v/>
      </c>
      <c r="G96" s="94"/>
      <c r="H96" s="95"/>
      <c r="I96" s="93" t="str">
        <f t="shared" si="6"/>
        <v/>
      </c>
    </row>
    <row r="97" spans="1:9" s="93" customFormat="1" ht="17.399999999999999">
      <c r="A97" s="91"/>
      <c r="B97" s="92"/>
      <c r="C97" s="93" t="str">
        <f t="shared" si="4"/>
        <v/>
      </c>
      <c r="D97" s="94"/>
      <c r="E97" s="95"/>
      <c r="F97" s="93" t="str">
        <f t="shared" si="5"/>
        <v/>
      </c>
      <c r="G97" s="94"/>
      <c r="H97" s="95"/>
      <c r="I97" s="93" t="str">
        <f t="shared" si="6"/>
        <v/>
      </c>
    </row>
    <row r="98" spans="1:9" s="93" customFormat="1" ht="17.399999999999999">
      <c r="A98" s="91"/>
      <c r="B98" s="92"/>
      <c r="C98" s="93" t="str">
        <f t="shared" si="4"/>
        <v/>
      </c>
      <c r="D98" s="94"/>
      <c r="E98" s="95"/>
      <c r="F98" s="93" t="str">
        <f t="shared" si="5"/>
        <v/>
      </c>
      <c r="G98" s="94"/>
      <c r="H98" s="95"/>
      <c r="I98" s="93" t="str">
        <f t="shared" si="6"/>
        <v/>
      </c>
    </row>
    <row r="99" spans="1:9" s="93" customFormat="1" ht="17.399999999999999">
      <c r="A99" s="91"/>
      <c r="B99" s="92"/>
      <c r="C99" s="93" t="str">
        <f t="shared" si="4"/>
        <v/>
      </c>
      <c r="D99" s="94"/>
      <c r="E99" s="95"/>
      <c r="F99" s="93" t="str">
        <f t="shared" si="5"/>
        <v/>
      </c>
      <c r="G99" s="94"/>
      <c r="H99" s="95"/>
      <c r="I99" s="93" t="str">
        <f t="shared" si="6"/>
        <v/>
      </c>
    </row>
    <row r="100" spans="1:9" s="93" customFormat="1" ht="17.399999999999999">
      <c r="A100" s="91"/>
      <c r="B100" s="92"/>
      <c r="C100" s="93" t="str">
        <f t="shared" si="4"/>
        <v/>
      </c>
      <c r="D100" s="94"/>
      <c r="E100" s="95"/>
      <c r="F100" s="93" t="str">
        <f t="shared" si="5"/>
        <v/>
      </c>
      <c r="G100" s="94"/>
      <c r="H100" s="95"/>
      <c r="I100" s="93" t="str">
        <f t="shared" si="6"/>
        <v/>
      </c>
    </row>
    <row r="101" spans="1:9" s="93" customFormat="1" ht="17.399999999999999">
      <c r="A101" s="91"/>
      <c r="B101" s="92"/>
      <c r="C101" s="93" t="str">
        <f t="shared" si="4"/>
        <v/>
      </c>
      <c r="D101" s="94"/>
      <c r="E101" s="95"/>
      <c r="F101" s="93" t="str">
        <f t="shared" si="5"/>
        <v/>
      </c>
      <c r="G101" s="94"/>
      <c r="H101" s="95"/>
      <c r="I101" s="93" t="str">
        <f t="shared" si="6"/>
        <v/>
      </c>
    </row>
    <row r="102" spans="1:9" s="93" customFormat="1" ht="17.399999999999999">
      <c r="A102" s="91"/>
      <c r="B102" s="92"/>
      <c r="C102" s="93" t="str">
        <f t="shared" si="4"/>
        <v/>
      </c>
      <c r="D102" s="94"/>
      <c r="E102" s="95"/>
      <c r="F102" s="93" t="str">
        <f t="shared" si="5"/>
        <v/>
      </c>
      <c r="G102" s="94"/>
      <c r="H102" s="95"/>
      <c r="I102" s="93" t="str">
        <f t="shared" si="6"/>
        <v/>
      </c>
    </row>
    <row r="103" spans="1:9" s="93" customFormat="1" ht="17.399999999999999">
      <c r="A103" s="91"/>
      <c r="B103" s="92"/>
      <c r="C103" s="93" t="str">
        <f t="shared" si="4"/>
        <v/>
      </c>
      <c r="D103" s="94"/>
      <c r="E103" s="95"/>
      <c r="F103" s="93" t="str">
        <f t="shared" si="5"/>
        <v/>
      </c>
      <c r="G103" s="94"/>
      <c r="H103" s="95"/>
      <c r="I103" s="93" t="str">
        <f t="shared" si="6"/>
        <v/>
      </c>
    </row>
    <row r="104" spans="1:9" s="93" customFormat="1" ht="17.399999999999999">
      <c r="A104" s="91"/>
      <c r="B104" s="92"/>
      <c r="C104" s="93" t="str">
        <f t="shared" si="4"/>
        <v/>
      </c>
      <c r="D104" s="94"/>
      <c r="E104" s="95"/>
      <c r="F104" s="93" t="str">
        <f t="shared" si="5"/>
        <v/>
      </c>
      <c r="G104" s="94"/>
      <c r="H104" s="95"/>
      <c r="I104" s="93" t="str">
        <f t="shared" si="6"/>
        <v/>
      </c>
    </row>
    <row r="105" spans="1:9" s="93" customFormat="1" ht="17.399999999999999">
      <c r="A105" s="91"/>
      <c r="B105" s="92"/>
      <c r="C105" s="93" t="str">
        <f t="shared" si="4"/>
        <v/>
      </c>
      <c r="D105" s="94"/>
      <c r="E105" s="95"/>
      <c r="F105" s="93" t="str">
        <f t="shared" si="5"/>
        <v/>
      </c>
      <c r="G105" s="94"/>
      <c r="H105" s="95"/>
      <c r="I105" s="93" t="str">
        <f t="shared" si="6"/>
        <v/>
      </c>
    </row>
    <row r="106" spans="1:9" s="93" customFormat="1" ht="17.399999999999999">
      <c r="A106" s="91"/>
      <c r="B106" s="92"/>
      <c r="C106" s="93" t="str">
        <f t="shared" si="4"/>
        <v/>
      </c>
      <c r="D106" s="94"/>
      <c r="E106" s="95"/>
      <c r="F106" s="93" t="str">
        <f t="shared" si="5"/>
        <v/>
      </c>
      <c r="G106" s="94"/>
      <c r="H106" s="95"/>
      <c r="I106" s="93" t="str">
        <f t="shared" si="6"/>
        <v/>
      </c>
    </row>
    <row r="107" spans="1:9" s="93" customFormat="1" ht="17.399999999999999">
      <c r="A107" s="91"/>
      <c r="B107" s="92"/>
      <c r="C107" s="93" t="str">
        <f t="shared" si="4"/>
        <v/>
      </c>
      <c r="D107" s="94"/>
      <c r="E107" s="95"/>
      <c r="F107" s="93" t="str">
        <f t="shared" si="5"/>
        <v/>
      </c>
      <c r="G107" s="94"/>
      <c r="H107" s="95"/>
      <c r="I107" s="93" t="str">
        <f t="shared" si="6"/>
        <v/>
      </c>
    </row>
    <row r="108" spans="1:9" s="93" customFormat="1" ht="17.399999999999999">
      <c r="A108" s="91"/>
      <c r="B108" s="92"/>
      <c r="C108" s="93" t="str">
        <f t="shared" si="4"/>
        <v/>
      </c>
      <c r="D108" s="94"/>
      <c r="E108" s="95"/>
      <c r="F108" s="93" t="str">
        <f t="shared" si="5"/>
        <v/>
      </c>
      <c r="G108" s="94"/>
      <c r="H108" s="95"/>
      <c r="I108" s="93" t="str">
        <f t="shared" si="6"/>
        <v/>
      </c>
    </row>
    <row r="109" spans="1:9" s="93" customFormat="1" ht="17.399999999999999">
      <c r="A109" s="91"/>
      <c r="B109" s="92"/>
      <c r="C109" s="93" t="str">
        <f t="shared" si="4"/>
        <v/>
      </c>
      <c r="D109" s="94"/>
      <c r="E109" s="95"/>
      <c r="F109" s="93" t="str">
        <f t="shared" si="5"/>
        <v/>
      </c>
      <c r="G109" s="94"/>
      <c r="H109" s="95"/>
      <c r="I109" s="93" t="str">
        <f t="shared" si="6"/>
        <v/>
      </c>
    </row>
    <row r="110" spans="1:9" s="93" customFormat="1" ht="17.399999999999999">
      <c r="A110" s="91"/>
      <c r="B110" s="92"/>
      <c r="C110" s="93" t="str">
        <f t="shared" si="4"/>
        <v/>
      </c>
      <c r="D110" s="94"/>
      <c r="E110" s="95"/>
      <c r="F110" s="93" t="str">
        <f t="shared" si="5"/>
        <v/>
      </c>
      <c r="G110" s="94"/>
      <c r="H110" s="95"/>
      <c r="I110" s="93" t="str">
        <f t="shared" si="6"/>
        <v/>
      </c>
    </row>
    <row r="111" spans="1:9" s="93" customFormat="1" ht="17.399999999999999">
      <c r="A111" s="91"/>
      <c r="B111" s="97"/>
      <c r="C111" s="93" t="str">
        <f t="shared" si="4"/>
        <v/>
      </c>
      <c r="D111" s="94"/>
      <c r="E111" s="95"/>
      <c r="F111" s="93" t="str">
        <f t="shared" si="5"/>
        <v/>
      </c>
      <c r="G111" s="94"/>
      <c r="H111" s="95"/>
      <c r="I111" s="93" t="str">
        <f t="shared" si="6"/>
        <v/>
      </c>
    </row>
    <row r="112" spans="1:9" s="93" customFormat="1" ht="17.399999999999999">
      <c r="A112" s="91"/>
      <c r="B112" s="92"/>
      <c r="C112" s="93" t="str">
        <f t="shared" si="4"/>
        <v/>
      </c>
      <c r="D112" s="94"/>
      <c r="E112" s="95"/>
      <c r="F112" s="93" t="str">
        <f t="shared" si="5"/>
        <v/>
      </c>
      <c r="G112" s="94"/>
      <c r="H112" s="95"/>
      <c r="I112" s="93" t="str">
        <f t="shared" si="6"/>
        <v/>
      </c>
    </row>
    <row r="113" spans="1:9" s="93" customFormat="1" ht="17.399999999999999">
      <c r="A113" s="91"/>
      <c r="B113" s="92"/>
      <c r="C113" s="93" t="str">
        <f t="shared" si="4"/>
        <v/>
      </c>
      <c r="D113" s="94"/>
      <c r="E113" s="95"/>
      <c r="F113" s="93" t="str">
        <f t="shared" si="5"/>
        <v/>
      </c>
      <c r="G113" s="94"/>
      <c r="H113" s="95"/>
      <c r="I113" s="93" t="str">
        <f t="shared" si="6"/>
        <v/>
      </c>
    </row>
    <row r="114" spans="1:9" s="93" customFormat="1" ht="17.399999999999999">
      <c r="A114" s="91"/>
      <c r="B114" s="92"/>
      <c r="C114" s="93" t="str">
        <f t="shared" si="4"/>
        <v/>
      </c>
      <c r="D114" s="94"/>
      <c r="E114" s="95"/>
      <c r="F114" s="93" t="str">
        <f t="shared" si="5"/>
        <v/>
      </c>
      <c r="G114" s="94"/>
      <c r="H114" s="95"/>
      <c r="I114" s="93" t="str">
        <f t="shared" si="6"/>
        <v/>
      </c>
    </row>
    <row r="115" spans="1:9" s="93" customFormat="1" ht="17.399999999999999">
      <c r="A115" s="91"/>
      <c r="B115" s="92"/>
      <c r="C115" s="93" t="str">
        <f t="shared" si="4"/>
        <v/>
      </c>
      <c r="D115" s="94"/>
      <c r="E115" s="95"/>
      <c r="F115" s="93" t="str">
        <f t="shared" si="5"/>
        <v/>
      </c>
      <c r="G115" s="94"/>
      <c r="H115" s="95"/>
      <c r="I115" s="93" t="str">
        <f t="shared" si="6"/>
        <v/>
      </c>
    </row>
    <row r="116" spans="1:9" s="93" customFormat="1" ht="17.399999999999999">
      <c r="A116" s="91"/>
      <c r="B116" s="92"/>
      <c r="C116" s="93" t="str">
        <f t="shared" si="4"/>
        <v/>
      </c>
      <c r="D116" s="94"/>
      <c r="E116" s="95"/>
      <c r="F116" s="93" t="str">
        <f t="shared" si="5"/>
        <v/>
      </c>
      <c r="G116" s="94"/>
      <c r="H116" s="95"/>
      <c r="I116" s="93" t="str">
        <f t="shared" si="6"/>
        <v/>
      </c>
    </row>
    <row r="117" spans="1:9" s="93" customFormat="1" ht="17.399999999999999">
      <c r="A117" s="91"/>
      <c r="B117" s="92"/>
      <c r="C117" s="93" t="str">
        <f t="shared" si="4"/>
        <v/>
      </c>
      <c r="D117" s="94"/>
      <c r="E117" s="95"/>
      <c r="F117" s="93" t="str">
        <f t="shared" si="5"/>
        <v/>
      </c>
      <c r="G117" s="94"/>
      <c r="H117" s="95"/>
      <c r="I117" s="93" t="str">
        <f t="shared" si="6"/>
        <v/>
      </c>
    </row>
    <row r="118" spans="1:9" s="93" customFormat="1" ht="17.399999999999999">
      <c r="A118" s="91"/>
      <c r="B118" s="92"/>
      <c r="C118" s="93" t="str">
        <f t="shared" si="4"/>
        <v/>
      </c>
      <c r="D118" s="94"/>
      <c r="E118" s="95"/>
      <c r="F118" s="93" t="str">
        <f t="shared" si="5"/>
        <v/>
      </c>
      <c r="G118" s="94"/>
      <c r="H118" s="95"/>
      <c r="I118" s="93" t="str">
        <f t="shared" si="6"/>
        <v/>
      </c>
    </row>
    <row r="119" spans="1:9" s="93" customFormat="1" ht="17.399999999999999">
      <c r="A119" s="91"/>
      <c r="B119" s="92"/>
      <c r="C119" s="93" t="str">
        <f t="shared" si="4"/>
        <v/>
      </c>
      <c r="D119" s="94"/>
      <c r="E119" s="95"/>
      <c r="F119" s="93" t="str">
        <f t="shared" si="5"/>
        <v/>
      </c>
      <c r="G119" s="94"/>
      <c r="H119" s="95"/>
      <c r="I119" s="93" t="str">
        <f t="shared" si="6"/>
        <v/>
      </c>
    </row>
    <row r="120" spans="1:9" s="93" customFormat="1" ht="17.399999999999999">
      <c r="A120" s="91"/>
      <c r="B120" s="92"/>
      <c r="C120" s="93" t="str">
        <f t="shared" si="4"/>
        <v/>
      </c>
      <c r="D120" s="94"/>
      <c r="E120" s="95"/>
      <c r="F120" s="93" t="str">
        <f t="shared" si="5"/>
        <v/>
      </c>
      <c r="G120" s="94"/>
      <c r="H120" s="95"/>
      <c r="I120" s="93" t="str">
        <f t="shared" si="6"/>
        <v/>
      </c>
    </row>
    <row r="121" spans="1:9" s="93" customFormat="1" ht="17.399999999999999">
      <c r="A121" s="91"/>
      <c r="B121" s="92"/>
      <c r="C121" s="93" t="str">
        <f t="shared" ref="C121:C184" si="7">IF(B121&gt;0,TEXT(B121,"(aaa)"),"")</f>
        <v/>
      </c>
      <c r="D121" s="94"/>
      <c r="E121" s="95"/>
      <c r="F121" s="93" t="str">
        <f t="shared" ref="F121:F184" si="8">IF(E121&gt;0,TEXT(E121,"(aaa)"),"")</f>
        <v/>
      </c>
      <c r="G121" s="94"/>
      <c r="H121" s="95"/>
      <c r="I121" s="93" t="str">
        <f t="shared" ref="I121:I184" si="9">IF(H121&gt;0,TEXT(H121,"(aaa)"),"")</f>
        <v/>
      </c>
    </row>
    <row r="122" spans="1:9" s="93" customFormat="1" ht="17.399999999999999">
      <c r="A122" s="91"/>
      <c r="B122" s="92"/>
      <c r="C122" s="93" t="str">
        <f t="shared" si="7"/>
        <v/>
      </c>
      <c r="D122" s="94"/>
      <c r="E122" s="95"/>
      <c r="F122" s="93" t="str">
        <f t="shared" si="8"/>
        <v/>
      </c>
      <c r="G122" s="94"/>
      <c r="H122" s="95"/>
      <c r="I122" s="93" t="str">
        <f t="shared" si="9"/>
        <v/>
      </c>
    </row>
    <row r="123" spans="1:9" s="93" customFormat="1" ht="17.399999999999999">
      <c r="A123" s="91"/>
      <c r="B123" s="92"/>
      <c r="C123" s="93" t="str">
        <f t="shared" si="7"/>
        <v/>
      </c>
      <c r="D123" s="94"/>
      <c r="E123" s="95"/>
      <c r="F123" s="93" t="str">
        <f t="shared" si="8"/>
        <v/>
      </c>
      <c r="G123" s="94"/>
      <c r="H123" s="95"/>
      <c r="I123" s="93" t="str">
        <f t="shared" si="9"/>
        <v/>
      </c>
    </row>
    <row r="124" spans="1:9" s="93" customFormat="1" ht="17.399999999999999">
      <c r="A124" s="91"/>
      <c r="B124" s="92"/>
      <c r="C124" s="93" t="str">
        <f t="shared" si="7"/>
        <v/>
      </c>
      <c r="D124" s="94"/>
      <c r="E124" s="95"/>
      <c r="F124" s="93" t="str">
        <f t="shared" si="8"/>
        <v/>
      </c>
      <c r="G124" s="94"/>
      <c r="H124" s="95"/>
      <c r="I124" s="93" t="str">
        <f t="shared" si="9"/>
        <v/>
      </c>
    </row>
    <row r="125" spans="1:9" s="93" customFormat="1" ht="17.399999999999999">
      <c r="A125" s="91"/>
      <c r="B125" s="92"/>
      <c r="C125" s="93" t="str">
        <f t="shared" si="7"/>
        <v/>
      </c>
      <c r="D125" s="94"/>
      <c r="E125" s="95"/>
      <c r="F125" s="93" t="str">
        <f t="shared" si="8"/>
        <v/>
      </c>
      <c r="G125" s="94"/>
      <c r="H125" s="95"/>
      <c r="I125" s="93" t="str">
        <f t="shared" si="9"/>
        <v/>
      </c>
    </row>
    <row r="126" spans="1:9" s="93" customFormat="1" ht="17.399999999999999">
      <c r="A126" s="91"/>
      <c r="B126" s="92"/>
      <c r="C126" s="93" t="str">
        <f t="shared" si="7"/>
        <v/>
      </c>
      <c r="D126" s="94"/>
      <c r="E126" s="95"/>
      <c r="F126" s="93" t="str">
        <f t="shared" si="8"/>
        <v/>
      </c>
      <c r="G126" s="94"/>
      <c r="H126" s="95"/>
      <c r="I126" s="93" t="str">
        <f t="shared" si="9"/>
        <v/>
      </c>
    </row>
    <row r="127" spans="1:9" s="93" customFormat="1" ht="17.399999999999999">
      <c r="A127" s="91"/>
      <c r="B127" s="92"/>
      <c r="C127" s="93" t="str">
        <f t="shared" si="7"/>
        <v/>
      </c>
      <c r="D127" s="94"/>
      <c r="E127" s="95"/>
      <c r="F127" s="93" t="str">
        <f t="shared" si="8"/>
        <v/>
      </c>
      <c r="G127" s="94"/>
      <c r="H127" s="95"/>
      <c r="I127" s="93" t="str">
        <f t="shared" si="9"/>
        <v/>
      </c>
    </row>
    <row r="128" spans="1:9" s="93" customFormat="1" ht="17.399999999999999">
      <c r="A128" s="91"/>
      <c r="B128" s="92"/>
      <c r="C128" s="93" t="str">
        <f t="shared" si="7"/>
        <v/>
      </c>
      <c r="D128" s="94"/>
      <c r="E128" s="95"/>
      <c r="F128" s="93" t="str">
        <f t="shared" si="8"/>
        <v/>
      </c>
      <c r="G128" s="94"/>
      <c r="H128" s="95"/>
      <c r="I128" s="93" t="str">
        <f t="shared" si="9"/>
        <v/>
      </c>
    </row>
    <row r="129" spans="1:9" s="93" customFormat="1" ht="17.399999999999999">
      <c r="A129" s="91"/>
      <c r="B129" s="92"/>
      <c r="C129" s="93" t="str">
        <f t="shared" si="7"/>
        <v/>
      </c>
      <c r="D129" s="94"/>
      <c r="E129" s="95"/>
      <c r="F129" s="93" t="str">
        <f t="shared" si="8"/>
        <v/>
      </c>
      <c r="G129" s="94"/>
      <c r="H129" s="95"/>
      <c r="I129" s="93" t="str">
        <f t="shared" si="9"/>
        <v/>
      </c>
    </row>
    <row r="130" spans="1:9" s="93" customFormat="1" ht="17.399999999999999">
      <c r="A130" s="91"/>
      <c r="B130" s="92"/>
      <c r="C130" s="93" t="str">
        <f t="shared" si="7"/>
        <v/>
      </c>
      <c r="D130" s="94"/>
      <c r="E130" s="95"/>
      <c r="F130" s="93" t="str">
        <f t="shared" si="8"/>
        <v/>
      </c>
      <c r="G130" s="94"/>
      <c r="H130" s="95"/>
      <c r="I130" s="93" t="str">
        <f t="shared" si="9"/>
        <v/>
      </c>
    </row>
    <row r="131" spans="1:9" s="93" customFormat="1" ht="17.399999999999999">
      <c r="A131" s="91"/>
      <c r="B131" s="92"/>
      <c r="C131" s="93" t="str">
        <f t="shared" si="7"/>
        <v/>
      </c>
      <c r="D131" s="94"/>
      <c r="E131" s="95"/>
      <c r="F131" s="93" t="str">
        <f t="shared" si="8"/>
        <v/>
      </c>
      <c r="G131" s="94"/>
      <c r="H131" s="95"/>
      <c r="I131" s="93" t="str">
        <f t="shared" si="9"/>
        <v/>
      </c>
    </row>
    <row r="132" spans="1:9" s="93" customFormat="1" ht="17.399999999999999">
      <c r="A132" s="91"/>
      <c r="B132" s="92"/>
      <c r="C132" s="93" t="str">
        <f t="shared" si="7"/>
        <v/>
      </c>
      <c r="D132" s="94"/>
      <c r="E132" s="95"/>
      <c r="F132" s="93" t="str">
        <f t="shared" si="8"/>
        <v/>
      </c>
      <c r="G132" s="94"/>
      <c r="H132" s="95"/>
      <c r="I132" s="93" t="str">
        <f t="shared" si="9"/>
        <v/>
      </c>
    </row>
    <row r="133" spans="1:9" s="93" customFormat="1" ht="17.399999999999999">
      <c r="A133" s="91"/>
      <c r="B133" s="92"/>
      <c r="C133" s="93" t="str">
        <f t="shared" si="7"/>
        <v/>
      </c>
      <c r="D133" s="94"/>
      <c r="E133" s="95"/>
      <c r="F133" s="93" t="str">
        <f t="shared" si="8"/>
        <v/>
      </c>
      <c r="G133" s="94"/>
      <c r="H133" s="95"/>
      <c r="I133" s="93" t="str">
        <f t="shared" si="9"/>
        <v/>
      </c>
    </row>
    <row r="134" spans="1:9" s="93" customFormat="1" ht="17.399999999999999">
      <c r="A134" s="91"/>
      <c r="B134" s="92"/>
      <c r="C134" s="93" t="str">
        <f t="shared" si="7"/>
        <v/>
      </c>
      <c r="D134" s="94"/>
      <c r="E134" s="95"/>
      <c r="F134" s="93" t="str">
        <f t="shared" si="8"/>
        <v/>
      </c>
      <c r="G134" s="94"/>
      <c r="H134" s="95"/>
      <c r="I134" s="93" t="str">
        <f t="shared" si="9"/>
        <v/>
      </c>
    </row>
    <row r="135" spans="1:9" s="93" customFormat="1" ht="17.399999999999999">
      <c r="A135" s="91"/>
      <c r="B135" s="92"/>
      <c r="C135" s="93" t="str">
        <f t="shared" si="7"/>
        <v/>
      </c>
      <c r="D135" s="94"/>
      <c r="E135" s="95"/>
      <c r="F135" s="93" t="str">
        <f t="shared" si="8"/>
        <v/>
      </c>
      <c r="G135" s="94"/>
      <c r="H135" s="95"/>
      <c r="I135" s="93" t="str">
        <f t="shared" si="9"/>
        <v/>
      </c>
    </row>
    <row r="136" spans="1:9" s="93" customFormat="1" ht="17.399999999999999">
      <c r="A136" s="91"/>
      <c r="B136" s="92"/>
      <c r="C136" s="93" t="str">
        <f t="shared" si="7"/>
        <v/>
      </c>
      <c r="D136" s="94"/>
      <c r="E136" s="95"/>
      <c r="F136" s="93" t="str">
        <f t="shared" si="8"/>
        <v/>
      </c>
      <c r="G136" s="94"/>
      <c r="H136" s="95"/>
      <c r="I136" s="93" t="str">
        <f t="shared" si="9"/>
        <v/>
      </c>
    </row>
    <row r="137" spans="1:9" s="93" customFormat="1" ht="17.399999999999999">
      <c r="A137" s="91"/>
      <c r="B137" s="92"/>
      <c r="C137" s="93" t="str">
        <f t="shared" si="7"/>
        <v/>
      </c>
      <c r="D137" s="94"/>
      <c r="E137" s="95"/>
      <c r="F137" s="93" t="str">
        <f t="shared" si="8"/>
        <v/>
      </c>
      <c r="G137" s="94"/>
      <c r="H137" s="95"/>
      <c r="I137" s="93" t="str">
        <f t="shared" si="9"/>
        <v/>
      </c>
    </row>
    <row r="138" spans="1:9" s="93" customFormat="1" ht="17.399999999999999">
      <c r="A138" s="91"/>
      <c r="B138" s="92"/>
      <c r="C138" s="93" t="str">
        <f t="shared" si="7"/>
        <v/>
      </c>
      <c r="D138" s="94"/>
      <c r="E138" s="95"/>
      <c r="F138" s="93" t="str">
        <f t="shared" si="8"/>
        <v/>
      </c>
      <c r="G138" s="94"/>
      <c r="H138" s="95"/>
      <c r="I138" s="93" t="str">
        <f t="shared" si="9"/>
        <v/>
      </c>
    </row>
    <row r="139" spans="1:9" s="93" customFormat="1" ht="17.399999999999999">
      <c r="A139" s="91"/>
      <c r="B139" s="92"/>
      <c r="C139" s="93" t="str">
        <f t="shared" si="7"/>
        <v/>
      </c>
      <c r="D139" s="94"/>
      <c r="E139" s="95"/>
      <c r="F139" s="93" t="str">
        <f t="shared" si="8"/>
        <v/>
      </c>
      <c r="G139" s="94"/>
      <c r="H139" s="95"/>
      <c r="I139" s="93" t="str">
        <f t="shared" si="9"/>
        <v/>
      </c>
    </row>
    <row r="140" spans="1:9" s="93" customFormat="1" ht="17.399999999999999">
      <c r="A140" s="91"/>
      <c r="B140" s="92"/>
      <c r="C140" s="93" t="str">
        <f t="shared" si="7"/>
        <v/>
      </c>
      <c r="D140" s="94"/>
      <c r="E140" s="95"/>
      <c r="F140" s="93" t="str">
        <f t="shared" si="8"/>
        <v/>
      </c>
      <c r="G140" s="94"/>
      <c r="H140" s="95"/>
      <c r="I140" s="93" t="str">
        <f t="shared" si="9"/>
        <v/>
      </c>
    </row>
    <row r="141" spans="1:9" s="93" customFormat="1" ht="17.399999999999999">
      <c r="A141" s="91"/>
      <c r="B141" s="92"/>
      <c r="C141" s="93" t="str">
        <f t="shared" si="7"/>
        <v/>
      </c>
      <c r="D141" s="94"/>
      <c r="E141" s="95"/>
      <c r="F141" s="93" t="str">
        <f t="shared" si="8"/>
        <v/>
      </c>
      <c r="G141" s="94"/>
      <c r="H141" s="95"/>
      <c r="I141" s="93" t="str">
        <f t="shared" si="9"/>
        <v/>
      </c>
    </row>
    <row r="142" spans="1:9" s="93" customFormat="1" ht="17.399999999999999">
      <c r="A142" s="91"/>
      <c r="B142" s="92"/>
      <c r="C142" s="93" t="str">
        <f t="shared" si="7"/>
        <v/>
      </c>
      <c r="D142" s="94"/>
      <c r="E142" s="95"/>
      <c r="F142" s="93" t="str">
        <f t="shared" si="8"/>
        <v/>
      </c>
      <c r="G142" s="94"/>
      <c r="H142" s="95"/>
      <c r="I142" s="93" t="str">
        <f t="shared" si="9"/>
        <v/>
      </c>
    </row>
    <row r="143" spans="1:9" s="93" customFormat="1" ht="17.399999999999999">
      <c r="A143" s="91"/>
      <c r="B143" s="92"/>
      <c r="C143" s="93" t="str">
        <f t="shared" si="7"/>
        <v/>
      </c>
      <c r="D143" s="94"/>
      <c r="E143" s="95"/>
      <c r="F143" s="93" t="str">
        <f t="shared" si="8"/>
        <v/>
      </c>
      <c r="G143" s="94"/>
      <c r="H143" s="95"/>
      <c r="I143" s="93" t="str">
        <f t="shared" si="9"/>
        <v/>
      </c>
    </row>
    <row r="144" spans="1:9" s="93" customFormat="1" ht="17.399999999999999">
      <c r="A144" s="91"/>
      <c r="B144" s="92"/>
      <c r="C144" s="93" t="str">
        <f t="shared" si="7"/>
        <v/>
      </c>
      <c r="D144" s="94"/>
      <c r="E144" s="95"/>
      <c r="F144" s="93" t="str">
        <f t="shared" si="8"/>
        <v/>
      </c>
      <c r="G144" s="94"/>
      <c r="H144" s="95"/>
      <c r="I144" s="93" t="str">
        <f t="shared" si="9"/>
        <v/>
      </c>
    </row>
    <row r="145" spans="1:9" s="93" customFormat="1" ht="17.399999999999999">
      <c r="A145" s="91"/>
      <c r="B145" s="92"/>
      <c r="C145" s="93" t="str">
        <f t="shared" si="7"/>
        <v/>
      </c>
      <c r="D145" s="94"/>
      <c r="E145" s="95"/>
      <c r="F145" s="93" t="str">
        <f t="shared" si="8"/>
        <v/>
      </c>
      <c r="G145" s="94"/>
      <c r="H145" s="95"/>
      <c r="I145" s="93" t="str">
        <f t="shared" si="9"/>
        <v/>
      </c>
    </row>
    <row r="146" spans="1:9" s="93" customFormat="1" ht="17.399999999999999">
      <c r="A146" s="91"/>
      <c r="B146" s="92"/>
      <c r="C146" s="93" t="str">
        <f t="shared" si="7"/>
        <v/>
      </c>
      <c r="D146" s="94"/>
      <c r="E146" s="95"/>
      <c r="F146" s="93" t="str">
        <f t="shared" si="8"/>
        <v/>
      </c>
      <c r="G146" s="94"/>
      <c r="H146" s="95"/>
      <c r="I146" s="93" t="str">
        <f t="shared" si="9"/>
        <v/>
      </c>
    </row>
    <row r="147" spans="1:9" s="93" customFormat="1" ht="17.399999999999999">
      <c r="A147" s="91"/>
      <c r="B147" s="92"/>
      <c r="C147" s="93" t="str">
        <f t="shared" si="7"/>
        <v/>
      </c>
      <c r="D147" s="94"/>
      <c r="E147" s="95"/>
      <c r="F147" s="93" t="str">
        <f t="shared" si="8"/>
        <v/>
      </c>
      <c r="G147" s="94"/>
      <c r="H147" s="95"/>
      <c r="I147" s="93" t="str">
        <f t="shared" si="9"/>
        <v/>
      </c>
    </row>
    <row r="148" spans="1:9" s="93" customFormat="1" ht="17.399999999999999">
      <c r="A148" s="91"/>
      <c r="B148" s="92"/>
      <c r="C148" s="93" t="str">
        <f t="shared" si="7"/>
        <v/>
      </c>
      <c r="D148" s="94"/>
      <c r="E148" s="95"/>
      <c r="F148" s="93" t="str">
        <f t="shared" si="8"/>
        <v/>
      </c>
      <c r="G148" s="94"/>
      <c r="H148" s="95"/>
      <c r="I148" s="93" t="str">
        <f t="shared" si="9"/>
        <v/>
      </c>
    </row>
    <row r="149" spans="1:9" s="93" customFormat="1" ht="17.399999999999999">
      <c r="A149" s="91"/>
      <c r="B149" s="92"/>
      <c r="C149" s="93" t="str">
        <f t="shared" si="7"/>
        <v/>
      </c>
      <c r="D149" s="94"/>
      <c r="E149" s="95"/>
      <c r="F149" s="93" t="str">
        <f t="shared" si="8"/>
        <v/>
      </c>
      <c r="G149" s="94"/>
      <c r="H149" s="95"/>
      <c r="I149" s="93" t="str">
        <f t="shared" si="9"/>
        <v/>
      </c>
    </row>
    <row r="150" spans="1:9" s="93" customFormat="1" ht="17.399999999999999">
      <c r="A150" s="91"/>
      <c r="B150" s="92"/>
      <c r="C150" s="93" t="str">
        <f t="shared" si="7"/>
        <v/>
      </c>
      <c r="D150" s="94"/>
      <c r="E150" s="95"/>
      <c r="F150" s="93" t="str">
        <f t="shared" si="8"/>
        <v/>
      </c>
      <c r="G150" s="94"/>
      <c r="H150" s="95"/>
      <c r="I150" s="93" t="str">
        <f t="shared" si="9"/>
        <v/>
      </c>
    </row>
    <row r="151" spans="1:9" s="93" customFormat="1" ht="17.399999999999999">
      <c r="A151" s="91"/>
      <c r="B151" s="92"/>
      <c r="C151" s="93" t="str">
        <f t="shared" si="7"/>
        <v/>
      </c>
      <c r="D151" s="94"/>
      <c r="E151" s="95"/>
      <c r="F151" s="93" t="str">
        <f t="shared" si="8"/>
        <v/>
      </c>
      <c r="G151" s="94"/>
      <c r="H151" s="95"/>
      <c r="I151" s="93" t="str">
        <f t="shared" si="9"/>
        <v/>
      </c>
    </row>
    <row r="152" spans="1:9" s="93" customFormat="1" ht="17.399999999999999">
      <c r="A152" s="91"/>
      <c r="B152" s="92"/>
      <c r="C152" s="93" t="str">
        <f t="shared" si="7"/>
        <v/>
      </c>
      <c r="D152" s="94"/>
      <c r="E152" s="95"/>
      <c r="F152" s="93" t="str">
        <f t="shared" si="8"/>
        <v/>
      </c>
      <c r="G152" s="94"/>
      <c r="H152" s="95"/>
      <c r="I152" s="93" t="str">
        <f t="shared" si="9"/>
        <v/>
      </c>
    </row>
    <row r="153" spans="1:9" s="93" customFormat="1" ht="17.399999999999999">
      <c r="A153" s="91"/>
      <c r="B153" s="92"/>
      <c r="C153" s="93" t="str">
        <f t="shared" si="7"/>
        <v/>
      </c>
      <c r="D153" s="94"/>
      <c r="E153" s="95"/>
      <c r="F153" s="93" t="str">
        <f t="shared" si="8"/>
        <v/>
      </c>
      <c r="G153" s="94"/>
      <c r="H153" s="95"/>
      <c r="I153" s="93" t="str">
        <f t="shared" si="9"/>
        <v/>
      </c>
    </row>
    <row r="154" spans="1:9" s="93" customFormat="1" ht="17.399999999999999">
      <c r="A154" s="91"/>
      <c r="B154" s="92"/>
      <c r="C154" s="93" t="str">
        <f t="shared" si="7"/>
        <v/>
      </c>
      <c r="D154" s="94"/>
      <c r="E154" s="95"/>
      <c r="F154" s="93" t="str">
        <f t="shared" si="8"/>
        <v/>
      </c>
      <c r="G154" s="94"/>
      <c r="H154" s="95"/>
      <c r="I154" s="93" t="str">
        <f t="shared" si="9"/>
        <v/>
      </c>
    </row>
    <row r="155" spans="1:9" s="93" customFormat="1" ht="17.399999999999999">
      <c r="A155" s="91"/>
      <c r="B155" s="92"/>
      <c r="C155" s="93" t="str">
        <f t="shared" si="7"/>
        <v/>
      </c>
      <c r="D155" s="94"/>
      <c r="E155" s="95"/>
      <c r="F155" s="93" t="str">
        <f t="shared" si="8"/>
        <v/>
      </c>
      <c r="G155" s="94"/>
      <c r="H155" s="95"/>
      <c r="I155" s="93" t="str">
        <f t="shared" si="9"/>
        <v/>
      </c>
    </row>
    <row r="156" spans="1:9" s="93" customFormat="1" ht="17.399999999999999">
      <c r="A156" s="91"/>
      <c r="B156" s="92"/>
      <c r="C156" s="93" t="str">
        <f t="shared" si="7"/>
        <v/>
      </c>
      <c r="D156" s="94"/>
      <c r="E156" s="95"/>
      <c r="F156" s="93" t="str">
        <f t="shared" si="8"/>
        <v/>
      </c>
      <c r="G156" s="94"/>
      <c r="H156" s="95"/>
      <c r="I156" s="93" t="str">
        <f t="shared" si="9"/>
        <v/>
      </c>
    </row>
    <row r="157" spans="1:9" s="93" customFormat="1" ht="17.399999999999999">
      <c r="A157" s="91"/>
      <c r="B157" s="92"/>
      <c r="C157" s="93" t="str">
        <f t="shared" si="7"/>
        <v/>
      </c>
      <c r="D157" s="94"/>
      <c r="E157" s="95"/>
      <c r="F157" s="93" t="str">
        <f t="shared" si="8"/>
        <v/>
      </c>
      <c r="G157" s="94"/>
      <c r="H157" s="95"/>
      <c r="I157" s="93" t="str">
        <f t="shared" si="9"/>
        <v/>
      </c>
    </row>
    <row r="158" spans="1:9" s="93" customFormat="1" ht="17.399999999999999">
      <c r="A158" s="91"/>
      <c r="B158" s="92"/>
      <c r="C158" s="93" t="str">
        <f t="shared" si="7"/>
        <v/>
      </c>
      <c r="D158" s="94"/>
      <c r="E158" s="95"/>
      <c r="F158" s="93" t="str">
        <f t="shared" si="8"/>
        <v/>
      </c>
      <c r="G158" s="94"/>
      <c r="H158" s="95"/>
      <c r="I158" s="93" t="str">
        <f t="shared" si="9"/>
        <v/>
      </c>
    </row>
    <row r="159" spans="1:9" s="93" customFormat="1" ht="17.399999999999999">
      <c r="A159" s="91"/>
      <c r="B159" s="92"/>
      <c r="C159" s="93" t="str">
        <f t="shared" si="7"/>
        <v/>
      </c>
      <c r="D159" s="94"/>
      <c r="E159" s="95"/>
      <c r="F159" s="93" t="str">
        <f t="shared" si="8"/>
        <v/>
      </c>
      <c r="G159" s="94"/>
      <c r="H159" s="95"/>
      <c r="I159" s="93" t="str">
        <f t="shared" si="9"/>
        <v/>
      </c>
    </row>
    <row r="160" spans="1:9" s="93" customFormat="1" ht="17.399999999999999">
      <c r="A160" s="91"/>
      <c r="B160" s="92"/>
      <c r="C160" s="93" t="str">
        <f t="shared" si="7"/>
        <v/>
      </c>
      <c r="D160" s="94"/>
      <c r="E160" s="95"/>
      <c r="F160" s="93" t="str">
        <f t="shared" si="8"/>
        <v/>
      </c>
      <c r="G160" s="94"/>
      <c r="H160" s="95"/>
      <c r="I160" s="93" t="str">
        <f t="shared" si="9"/>
        <v/>
      </c>
    </row>
    <row r="161" spans="1:9" s="93" customFormat="1" ht="17.399999999999999">
      <c r="A161" s="91"/>
      <c r="B161" s="92"/>
      <c r="C161" s="93" t="str">
        <f t="shared" si="7"/>
        <v/>
      </c>
      <c r="D161" s="94"/>
      <c r="E161" s="95"/>
      <c r="F161" s="93" t="str">
        <f t="shared" si="8"/>
        <v/>
      </c>
      <c r="G161" s="94"/>
      <c r="H161" s="95"/>
      <c r="I161" s="93" t="str">
        <f t="shared" si="9"/>
        <v/>
      </c>
    </row>
    <row r="162" spans="1:9" s="93" customFormat="1" ht="17.399999999999999">
      <c r="A162" s="91"/>
      <c r="B162" s="92"/>
      <c r="C162" s="93" t="str">
        <f t="shared" si="7"/>
        <v/>
      </c>
      <c r="D162" s="94"/>
      <c r="E162" s="95"/>
      <c r="F162" s="93" t="str">
        <f t="shared" si="8"/>
        <v/>
      </c>
      <c r="G162" s="94"/>
      <c r="H162" s="95"/>
      <c r="I162" s="93" t="str">
        <f t="shared" si="9"/>
        <v/>
      </c>
    </row>
    <row r="163" spans="1:9" s="93" customFormat="1" ht="17.399999999999999">
      <c r="A163" s="91"/>
      <c r="B163" s="92"/>
      <c r="C163" s="93" t="str">
        <f t="shared" si="7"/>
        <v/>
      </c>
      <c r="D163" s="94"/>
      <c r="E163" s="95"/>
      <c r="F163" s="93" t="str">
        <f t="shared" si="8"/>
        <v/>
      </c>
      <c r="G163" s="94"/>
      <c r="H163" s="95"/>
      <c r="I163" s="93" t="str">
        <f t="shared" si="9"/>
        <v/>
      </c>
    </row>
    <row r="164" spans="1:9" s="93" customFormat="1" ht="17.399999999999999">
      <c r="A164" s="91"/>
      <c r="B164" s="92"/>
      <c r="C164" s="93" t="str">
        <f t="shared" si="7"/>
        <v/>
      </c>
      <c r="D164" s="94"/>
      <c r="E164" s="95"/>
      <c r="F164" s="93" t="str">
        <f t="shared" si="8"/>
        <v/>
      </c>
      <c r="G164" s="94"/>
      <c r="H164" s="95"/>
      <c r="I164" s="93" t="str">
        <f t="shared" si="9"/>
        <v/>
      </c>
    </row>
    <row r="165" spans="1:9" s="93" customFormat="1" ht="17.399999999999999">
      <c r="A165" s="91"/>
      <c r="B165" s="92"/>
      <c r="C165" s="93" t="str">
        <f t="shared" si="7"/>
        <v/>
      </c>
      <c r="D165" s="94"/>
      <c r="E165" s="95"/>
      <c r="F165" s="93" t="str">
        <f t="shared" si="8"/>
        <v/>
      </c>
      <c r="G165" s="94"/>
      <c r="H165" s="95"/>
      <c r="I165" s="93" t="str">
        <f t="shared" si="9"/>
        <v/>
      </c>
    </row>
    <row r="166" spans="1:9" s="93" customFormat="1" ht="17.399999999999999">
      <c r="A166" s="91"/>
      <c r="B166" s="92"/>
      <c r="C166" s="93" t="str">
        <f t="shared" si="7"/>
        <v/>
      </c>
      <c r="D166" s="94"/>
      <c r="E166" s="95"/>
      <c r="F166" s="93" t="str">
        <f t="shared" si="8"/>
        <v/>
      </c>
      <c r="G166" s="94"/>
      <c r="H166" s="95"/>
      <c r="I166" s="93" t="str">
        <f t="shared" si="9"/>
        <v/>
      </c>
    </row>
    <row r="167" spans="1:9" s="93" customFormat="1" ht="17.399999999999999">
      <c r="A167" s="91"/>
      <c r="B167" s="92"/>
      <c r="C167" s="93" t="str">
        <f t="shared" si="7"/>
        <v/>
      </c>
      <c r="D167" s="94"/>
      <c r="E167" s="95"/>
      <c r="F167" s="93" t="str">
        <f t="shared" si="8"/>
        <v/>
      </c>
      <c r="G167" s="94"/>
      <c r="H167" s="95"/>
      <c r="I167" s="93" t="str">
        <f t="shared" si="9"/>
        <v/>
      </c>
    </row>
    <row r="168" spans="1:9" s="93" customFormat="1" ht="17.399999999999999">
      <c r="A168" s="91"/>
      <c r="B168" s="92"/>
      <c r="C168" s="93" t="str">
        <f t="shared" si="7"/>
        <v/>
      </c>
      <c r="D168" s="94"/>
      <c r="E168" s="95"/>
      <c r="F168" s="93" t="str">
        <f t="shared" si="8"/>
        <v/>
      </c>
      <c r="G168" s="94"/>
      <c r="H168" s="95"/>
      <c r="I168" s="93" t="str">
        <f t="shared" si="9"/>
        <v/>
      </c>
    </row>
    <row r="169" spans="1:9" s="93" customFormat="1" ht="17.399999999999999">
      <c r="A169" s="91"/>
      <c r="B169" s="92"/>
      <c r="C169" s="93" t="str">
        <f t="shared" si="7"/>
        <v/>
      </c>
      <c r="D169" s="94"/>
      <c r="E169" s="95"/>
      <c r="F169" s="93" t="str">
        <f t="shared" si="8"/>
        <v/>
      </c>
      <c r="G169" s="94"/>
      <c r="H169" s="95"/>
      <c r="I169" s="93" t="str">
        <f t="shared" si="9"/>
        <v/>
      </c>
    </row>
    <row r="170" spans="1:9" s="93" customFormat="1" ht="17.399999999999999">
      <c r="A170" s="91"/>
      <c r="B170" s="92"/>
      <c r="C170" s="93" t="str">
        <f t="shared" si="7"/>
        <v/>
      </c>
      <c r="D170" s="94"/>
      <c r="E170" s="95"/>
      <c r="F170" s="93" t="str">
        <f t="shared" si="8"/>
        <v/>
      </c>
      <c r="G170" s="94"/>
      <c r="H170" s="95"/>
      <c r="I170" s="93" t="str">
        <f t="shared" si="9"/>
        <v/>
      </c>
    </row>
    <row r="171" spans="1:9" s="93" customFormat="1" ht="17.399999999999999">
      <c r="A171" s="91"/>
      <c r="B171" s="92"/>
      <c r="C171" s="93" t="str">
        <f t="shared" si="7"/>
        <v/>
      </c>
      <c r="D171" s="94"/>
      <c r="E171" s="95"/>
      <c r="F171" s="93" t="str">
        <f t="shared" si="8"/>
        <v/>
      </c>
      <c r="G171" s="94"/>
      <c r="H171" s="95"/>
      <c r="I171" s="93" t="str">
        <f t="shared" si="9"/>
        <v/>
      </c>
    </row>
    <row r="172" spans="1:9" s="93" customFormat="1" ht="17.399999999999999">
      <c r="A172" s="91"/>
      <c r="B172" s="92"/>
      <c r="C172" s="93" t="str">
        <f t="shared" si="7"/>
        <v/>
      </c>
      <c r="D172" s="94"/>
      <c r="E172" s="95"/>
      <c r="F172" s="93" t="str">
        <f t="shared" si="8"/>
        <v/>
      </c>
      <c r="G172" s="94"/>
      <c r="H172" s="95"/>
      <c r="I172" s="93" t="str">
        <f t="shared" si="9"/>
        <v/>
      </c>
    </row>
    <row r="173" spans="1:9" s="93" customFormat="1" ht="17.399999999999999">
      <c r="A173" s="91"/>
      <c r="B173" s="92"/>
      <c r="C173" s="93" t="str">
        <f t="shared" si="7"/>
        <v/>
      </c>
      <c r="D173" s="94"/>
      <c r="E173" s="95"/>
      <c r="F173" s="93" t="str">
        <f t="shared" si="8"/>
        <v/>
      </c>
      <c r="G173" s="94"/>
      <c r="H173" s="95"/>
      <c r="I173" s="93" t="str">
        <f t="shared" si="9"/>
        <v/>
      </c>
    </row>
    <row r="174" spans="1:9" s="93" customFormat="1" ht="17.399999999999999">
      <c r="A174" s="91"/>
      <c r="B174" s="92"/>
      <c r="C174" s="93" t="str">
        <f t="shared" si="7"/>
        <v/>
      </c>
      <c r="D174" s="94"/>
      <c r="E174" s="95"/>
      <c r="F174" s="93" t="str">
        <f t="shared" si="8"/>
        <v/>
      </c>
      <c r="G174" s="94"/>
      <c r="H174" s="95"/>
      <c r="I174" s="93" t="str">
        <f t="shared" si="9"/>
        <v/>
      </c>
    </row>
    <row r="175" spans="1:9" s="93" customFormat="1" ht="17.399999999999999">
      <c r="A175" s="91"/>
      <c r="B175" s="92"/>
      <c r="C175" s="93" t="str">
        <f t="shared" si="7"/>
        <v/>
      </c>
      <c r="D175" s="94"/>
      <c r="E175" s="95"/>
      <c r="F175" s="93" t="str">
        <f t="shared" si="8"/>
        <v/>
      </c>
      <c r="G175" s="94"/>
      <c r="H175" s="95"/>
      <c r="I175" s="93" t="str">
        <f t="shared" si="9"/>
        <v/>
      </c>
    </row>
    <row r="176" spans="1:9" s="93" customFormat="1" ht="17.399999999999999">
      <c r="A176" s="91"/>
      <c r="B176" s="92"/>
      <c r="C176" s="93" t="str">
        <f t="shared" si="7"/>
        <v/>
      </c>
      <c r="D176" s="94"/>
      <c r="E176" s="95"/>
      <c r="F176" s="93" t="str">
        <f t="shared" si="8"/>
        <v/>
      </c>
      <c r="G176" s="94"/>
      <c r="H176" s="95"/>
      <c r="I176" s="93" t="str">
        <f t="shared" si="9"/>
        <v/>
      </c>
    </row>
    <row r="177" spans="1:9" s="93" customFormat="1" ht="17.399999999999999">
      <c r="A177" s="91"/>
      <c r="B177" s="92"/>
      <c r="C177" s="93" t="str">
        <f t="shared" si="7"/>
        <v/>
      </c>
      <c r="D177" s="94"/>
      <c r="E177" s="95"/>
      <c r="F177" s="93" t="str">
        <f t="shared" si="8"/>
        <v/>
      </c>
      <c r="G177" s="94"/>
      <c r="H177" s="95"/>
      <c r="I177" s="93" t="str">
        <f t="shared" si="9"/>
        <v/>
      </c>
    </row>
    <row r="178" spans="1:9" s="93" customFormat="1" ht="17.399999999999999">
      <c r="A178" s="91"/>
      <c r="B178" s="92"/>
      <c r="C178" s="93" t="str">
        <f t="shared" si="7"/>
        <v/>
      </c>
      <c r="D178" s="94"/>
      <c r="E178" s="95"/>
      <c r="F178" s="93" t="str">
        <f t="shared" si="8"/>
        <v/>
      </c>
      <c r="G178" s="94"/>
      <c r="H178" s="95"/>
      <c r="I178" s="93" t="str">
        <f t="shared" si="9"/>
        <v/>
      </c>
    </row>
    <row r="179" spans="1:9" s="93" customFormat="1" ht="17.399999999999999">
      <c r="A179" s="91"/>
      <c r="B179" s="92"/>
      <c r="C179" s="93" t="str">
        <f t="shared" si="7"/>
        <v/>
      </c>
      <c r="D179" s="94"/>
      <c r="E179" s="95"/>
      <c r="F179" s="93" t="str">
        <f t="shared" si="8"/>
        <v/>
      </c>
      <c r="G179" s="94"/>
      <c r="H179" s="95"/>
      <c r="I179" s="93" t="str">
        <f t="shared" si="9"/>
        <v/>
      </c>
    </row>
    <row r="180" spans="1:9" s="93" customFormat="1" ht="17.399999999999999">
      <c r="A180" s="91"/>
      <c r="B180" s="92"/>
      <c r="C180" s="93" t="str">
        <f t="shared" si="7"/>
        <v/>
      </c>
      <c r="D180" s="94"/>
      <c r="E180" s="95"/>
      <c r="F180" s="93" t="str">
        <f t="shared" si="8"/>
        <v/>
      </c>
      <c r="G180" s="94"/>
      <c r="H180" s="95"/>
      <c r="I180" s="93" t="str">
        <f t="shared" si="9"/>
        <v/>
      </c>
    </row>
    <row r="181" spans="1:9" s="93" customFormat="1" ht="17.399999999999999">
      <c r="A181" s="91"/>
      <c r="B181" s="92"/>
      <c r="C181" s="93" t="str">
        <f t="shared" si="7"/>
        <v/>
      </c>
      <c r="D181" s="94"/>
      <c r="E181" s="95"/>
      <c r="F181" s="93" t="str">
        <f t="shared" si="8"/>
        <v/>
      </c>
      <c r="G181" s="94"/>
      <c r="H181" s="95"/>
      <c r="I181" s="93" t="str">
        <f t="shared" si="9"/>
        <v/>
      </c>
    </row>
    <row r="182" spans="1:9" s="93" customFormat="1" ht="17.399999999999999">
      <c r="A182" s="91"/>
      <c r="B182" s="92"/>
      <c r="C182" s="93" t="str">
        <f t="shared" si="7"/>
        <v/>
      </c>
      <c r="D182" s="94"/>
      <c r="E182" s="95"/>
      <c r="F182" s="93" t="str">
        <f t="shared" si="8"/>
        <v/>
      </c>
      <c r="G182" s="94"/>
      <c r="H182" s="95"/>
      <c r="I182" s="93" t="str">
        <f t="shared" si="9"/>
        <v/>
      </c>
    </row>
    <row r="183" spans="1:9" s="93" customFormat="1" ht="17.399999999999999">
      <c r="A183" s="91"/>
      <c r="B183" s="92"/>
      <c r="C183" s="93" t="str">
        <f t="shared" si="7"/>
        <v/>
      </c>
      <c r="D183" s="94"/>
      <c r="E183" s="95"/>
      <c r="F183" s="93" t="str">
        <f t="shared" si="8"/>
        <v/>
      </c>
      <c r="G183" s="94"/>
      <c r="H183" s="95"/>
      <c r="I183" s="93" t="str">
        <f t="shared" si="9"/>
        <v/>
      </c>
    </row>
    <row r="184" spans="1:9" s="93" customFormat="1" ht="17.399999999999999">
      <c r="A184" s="91"/>
      <c r="B184" s="92"/>
      <c r="C184" s="93" t="str">
        <f t="shared" si="7"/>
        <v/>
      </c>
      <c r="D184" s="94"/>
      <c r="E184" s="95"/>
      <c r="F184" s="93" t="str">
        <f t="shared" si="8"/>
        <v/>
      </c>
      <c r="G184" s="94"/>
      <c r="H184" s="95"/>
      <c r="I184" s="93" t="str">
        <f t="shared" si="9"/>
        <v/>
      </c>
    </row>
    <row r="185" spans="1:9" s="93" customFormat="1" ht="17.399999999999999">
      <c r="A185" s="91"/>
      <c r="B185" s="92"/>
      <c r="C185" s="93" t="str">
        <f t="shared" ref="C185:C248" si="10">IF(B185&gt;0,TEXT(B185,"(aaa)"),"")</f>
        <v/>
      </c>
      <c r="D185" s="94"/>
      <c r="E185" s="95"/>
      <c r="F185" s="93" t="str">
        <f t="shared" ref="F185:F248" si="11">IF(E185&gt;0,TEXT(E185,"(aaa)"),"")</f>
        <v/>
      </c>
      <c r="G185" s="94"/>
      <c r="H185" s="95"/>
      <c r="I185" s="93" t="str">
        <f t="shared" ref="I185:I248" si="12">IF(H185&gt;0,TEXT(H185,"(aaa)"),"")</f>
        <v/>
      </c>
    </row>
    <row r="186" spans="1:9" s="93" customFormat="1" ht="17.399999999999999">
      <c r="A186" s="91"/>
      <c r="B186" s="92"/>
      <c r="C186" s="93" t="str">
        <f t="shared" si="10"/>
        <v/>
      </c>
      <c r="D186" s="94"/>
      <c r="E186" s="95"/>
      <c r="F186" s="93" t="str">
        <f t="shared" si="11"/>
        <v/>
      </c>
      <c r="G186" s="94"/>
      <c r="H186" s="95"/>
      <c r="I186" s="93" t="str">
        <f t="shared" si="12"/>
        <v/>
      </c>
    </row>
    <row r="187" spans="1:9" s="93" customFormat="1" ht="17.399999999999999">
      <c r="A187" s="91"/>
      <c r="B187" s="92"/>
      <c r="C187" s="93" t="str">
        <f t="shared" si="10"/>
        <v/>
      </c>
      <c r="D187" s="94"/>
      <c r="E187" s="95"/>
      <c r="F187" s="93" t="str">
        <f t="shared" si="11"/>
        <v/>
      </c>
      <c r="G187" s="94"/>
      <c r="H187" s="95"/>
      <c r="I187" s="93" t="str">
        <f t="shared" si="12"/>
        <v/>
      </c>
    </row>
    <row r="188" spans="1:9" s="93" customFormat="1" ht="17.399999999999999">
      <c r="A188" s="91"/>
      <c r="B188" s="92"/>
      <c r="C188" s="93" t="str">
        <f t="shared" si="10"/>
        <v/>
      </c>
      <c r="D188" s="94"/>
      <c r="E188" s="95"/>
      <c r="F188" s="93" t="str">
        <f t="shared" si="11"/>
        <v/>
      </c>
      <c r="G188" s="94"/>
      <c r="H188" s="95"/>
      <c r="I188" s="93" t="str">
        <f t="shared" si="12"/>
        <v/>
      </c>
    </row>
    <row r="189" spans="1:9" s="93" customFormat="1" ht="17.399999999999999">
      <c r="A189" s="91"/>
      <c r="B189" s="92"/>
      <c r="C189" s="93" t="str">
        <f t="shared" si="10"/>
        <v/>
      </c>
      <c r="D189" s="94"/>
      <c r="E189" s="95"/>
      <c r="F189" s="93" t="str">
        <f t="shared" si="11"/>
        <v/>
      </c>
      <c r="G189" s="94"/>
      <c r="H189" s="95"/>
      <c r="I189" s="93" t="str">
        <f t="shared" si="12"/>
        <v/>
      </c>
    </row>
    <row r="190" spans="1:9" s="93" customFormat="1" ht="17.399999999999999">
      <c r="A190" s="91"/>
      <c r="B190" s="92"/>
      <c r="C190" s="93" t="str">
        <f t="shared" si="10"/>
        <v/>
      </c>
      <c r="D190" s="94"/>
      <c r="E190" s="95"/>
      <c r="F190" s="93" t="str">
        <f t="shared" si="11"/>
        <v/>
      </c>
      <c r="G190" s="94"/>
      <c r="H190" s="95"/>
      <c r="I190" s="93" t="str">
        <f t="shared" si="12"/>
        <v/>
      </c>
    </row>
    <row r="191" spans="1:9" s="93" customFormat="1" ht="17.399999999999999">
      <c r="A191" s="91"/>
      <c r="B191" s="92"/>
      <c r="C191" s="93" t="str">
        <f t="shared" si="10"/>
        <v/>
      </c>
      <c r="D191" s="94"/>
      <c r="E191" s="95"/>
      <c r="F191" s="93" t="str">
        <f t="shared" si="11"/>
        <v/>
      </c>
      <c r="G191" s="94"/>
      <c r="H191" s="95"/>
      <c r="I191" s="93" t="str">
        <f t="shared" si="12"/>
        <v/>
      </c>
    </row>
    <row r="192" spans="1:9" s="93" customFormat="1" ht="17.399999999999999">
      <c r="A192" s="91"/>
      <c r="B192" s="92"/>
      <c r="C192" s="93" t="str">
        <f t="shared" si="10"/>
        <v/>
      </c>
      <c r="D192" s="94"/>
      <c r="E192" s="95"/>
      <c r="F192" s="93" t="str">
        <f t="shared" si="11"/>
        <v/>
      </c>
      <c r="G192" s="94"/>
      <c r="H192" s="95"/>
      <c r="I192" s="93" t="str">
        <f t="shared" si="12"/>
        <v/>
      </c>
    </row>
    <row r="193" spans="1:9" s="93" customFormat="1" ht="17.399999999999999">
      <c r="A193" s="91"/>
      <c r="B193" s="92"/>
      <c r="C193" s="93" t="str">
        <f t="shared" si="10"/>
        <v/>
      </c>
      <c r="D193" s="94"/>
      <c r="E193" s="95"/>
      <c r="F193" s="93" t="str">
        <f t="shared" si="11"/>
        <v/>
      </c>
      <c r="G193" s="94"/>
      <c r="H193" s="95"/>
      <c r="I193" s="93" t="str">
        <f t="shared" si="12"/>
        <v/>
      </c>
    </row>
    <row r="194" spans="1:9" s="93" customFormat="1" ht="17.399999999999999">
      <c r="A194" s="91"/>
      <c r="B194" s="92"/>
      <c r="C194" s="93" t="str">
        <f t="shared" si="10"/>
        <v/>
      </c>
      <c r="D194" s="94"/>
      <c r="E194" s="95"/>
      <c r="F194" s="93" t="str">
        <f t="shared" si="11"/>
        <v/>
      </c>
      <c r="G194" s="94"/>
      <c r="H194" s="95"/>
      <c r="I194" s="93" t="str">
        <f t="shared" si="12"/>
        <v/>
      </c>
    </row>
    <row r="195" spans="1:9" s="93" customFormat="1" ht="17.399999999999999">
      <c r="A195" s="91"/>
      <c r="B195" s="92"/>
      <c r="C195" s="93" t="str">
        <f t="shared" si="10"/>
        <v/>
      </c>
      <c r="D195" s="94"/>
      <c r="E195" s="95"/>
      <c r="F195" s="93" t="str">
        <f t="shared" si="11"/>
        <v/>
      </c>
      <c r="G195" s="94"/>
      <c r="H195" s="95"/>
      <c r="I195" s="93" t="str">
        <f t="shared" si="12"/>
        <v/>
      </c>
    </row>
    <row r="196" spans="1:9" s="93" customFormat="1" ht="17.399999999999999">
      <c r="A196" s="91"/>
      <c r="B196" s="92"/>
      <c r="C196" s="93" t="str">
        <f t="shared" si="10"/>
        <v/>
      </c>
      <c r="D196" s="94"/>
      <c r="E196" s="95"/>
      <c r="F196" s="93" t="str">
        <f t="shared" si="11"/>
        <v/>
      </c>
      <c r="G196" s="94"/>
      <c r="H196" s="95"/>
      <c r="I196" s="93" t="str">
        <f t="shared" si="12"/>
        <v/>
      </c>
    </row>
    <row r="197" spans="1:9" s="93" customFormat="1" ht="17.399999999999999">
      <c r="A197" s="91"/>
      <c r="B197" s="92"/>
      <c r="C197" s="93" t="str">
        <f t="shared" si="10"/>
        <v/>
      </c>
      <c r="D197" s="94"/>
      <c r="E197" s="95"/>
      <c r="F197" s="93" t="str">
        <f t="shared" si="11"/>
        <v/>
      </c>
      <c r="G197" s="94"/>
      <c r="H197" s="95"/>
      <c r="I197" s="93" t="str">
        <f t="shared" si="12"/>
        <v/>
      </c>
    </row>
    <row r="198" spans="1:9" s="93" customFormat="1" ht="17.399999999999999">
      <c r="A198" s="91"/>
      <c r="B198" s="92"/>
      <c r="C198" s="93" t="str">
        <f t="shared" si="10"/>
        <v/>
      </c>
      <c r="D198" s="94"/>
      <c r="E198" s="95"/>
      <c r="F198" s="93" t="str">
        <f t="shared" si="11"/>
        <v/>
      </c>
      <c r="G198" s="94"/>
      <c r="H198" s="95"/>
      <c r="I198" s="93" t="str">
        <f t="shared" si="12"/>
        <v/>
      </c>
    </row>
    <row r="199" spans="1:9" s="93" customFormat="1" ht="17.399999999999999">
      <c r="A199" s="91"/>
      <c r="B199" s="92"/>
      <c r="C199" s="93" t="str">
        <f t="shared" si="10"/>
        <v/>
      </c>
      <c r="D199" s="94"/>
      <c r="E199" s="95"/>
      <c r="F199" s="93" t="str">
        <f t="shared" si="11"/>
        <v/>
      </c>
      <c r="G199" s="94"/>
      <c r="H199" s="95"/>
      <c r="I199" s="93" t="str">
        <f t="shared" si="12"/>
        <v/>
      </c>
    </row>
    <row r="200" spans="1:9" s="93" customFormat="1" ht="17.399999999999999">
      <c r="A200" s="91"/>
      <c r="B200" s="92"/>
      <c r="C200" s="93" t="str">
        <f t="shared" si="10"/>
        <v/>
      </c>
      <c r="D200" s="94"/>
      <c r="E200" s="95"/>
      <c r="F200" s="93" t="str">
        <f t="shared" si="11"/>
        <v/>
      </c>
      <c r="G200" s="94"/>
      <c r="H200" s="95"/>
      <c r="I200" s="93" t="str">
        <f t="shared" si="12"/>
        <v/>
      </c>
    </row>
    <row r="201" spans="1:9" s="93" customFormat="1" ht="17.399999999999999">
      <c r="A201" s="91"/>
      <c r="B201" s="92"/>
      <c r="C201" s="93" t="str">
        <f t="shared" si="10"/>
        <v/>
      </c>
      <c r="D201" s="94"/>
      <c r="E201" s="95"/>
      <c r="F201" s="93" t="str">
        <f t="shared" si="11"/>
        <v/>
      </c>
      <c r="G201" s="94"/>
      <c r="H201" s="95"/>
      <c r="I201" s="93" t="str">
        <f t="shared" si="12"/>
        <v/>
      </c>
    </row>
    <row r="202" spans="1:9" s="93" customFormat="1" ht="17.399999999999999">
      <c r="A202" s="91"/>
      <c r="B202" s="92"/>
      <c r="C202" s="93" t="str">
        <f t="shared" si="10"/>
        <v/>
      </c>
      <c r="D202" s="94"/>
      <c r="E202" s="95"/>
      <c r="F202" s="93" t="str">
        <f t="shared" si="11"/>
        <v/>
      </c>
      <c r="G202" s="94"/>
      <c r="H202" s="95"/>
      <c r="I202" s="93" t="str">
        <f t="shared" si="12"/>
        <v/>
      </c>
    </row>
    <row r="203" spans="1:9" s="93" customFormat="1" ht="17.399999999999999">
      <c r="A203" s="91"/>
      <c r="B203" s="92"/>
      <c r="C203" s="93" t="str">
        <f t="shared" si="10"/>
        <v/>
      </c>
      <c r="D203" s="94"/>
      <c r="E203" s="95"/>
      <c r="F203" s="93" t="str">
        <f t="shared" si="11"/>
        <v/>
      </c>
      <c r="G203" s="94"/>
      <c r="H203" s="95"/>
      <c r="I203" s="93" t="str">
        <f t="shared" si="12"/>
        <v/>
      </c>
    </row>
    <row r="204" spans="1:9" s="93" customFormat="1" ht="17.399999999999999">
      <c r="A204" s="91"/>
      <c r="B204" s="92"/>
      <c r="C204" s="93" t="str">
        <f t="shared" si="10"/>
        <v/>
      </c>
      <c r="D204" s="94"/>
      <c r="E204" s="95"/>
      <c r="F204" s="93" t="str">
        <f t="shared" si="11"/>
        <v/>
      </c>
      <c r="G204" s="94"/>
      <c r="H204" s="95"/>
      <c r="I204" s="93" t="str">
        <f t="shared" si="12"/>
        <v/>
      </c>
    </row>
    <row r="205" spans="1:9" s="93" customFormat="1" ht="17.399999999999999">
      <c r="A205" s="91"/>
      <c r="B205" s="92"/>
      <c r="C205" s="93" t="str">
        <f t="shared" si="10"/>
        <v/>
      </c>
      <c r="D205" s="94"/>
      <c r="E205" s="95"/>
      <c r="F205" s="93" t="str">
        <f t="shared" si="11"/>
        <v/>
      </c>
      <c r="G205" s="94"/>
      <c r="H205" s="95"/>
      <c r="I205" s="93" t="str">
        <f t="shared" si="12"/>
        <v/>
      </c>
    </row>
    <row r="206" spans="1:9" s="93" customFormat="1" ht="17.399999999999999">
      <c r="A206" s="91"/>
      <c r="B206" s="92"/>
      <c r="C206" s="93" t="str">
        <f t="shared" si="10"/>
        <v/>
      </c>
      <c r="D206" s="94"/>
      <c r="E206" s="95"/>
      <c r="F206" s="93" t="str">
        <f t="shared" si="11"/>
        <v/>
      </c>
      <c r="G206" s="94"/>
      <c r="H206" s="95"/>
      <c r="I206" s="93" t="str">
        <f t="shared" si="12"/>
        <v/>
      </c>
    </row>
    <row r="207" spans="1:9" s="93" customFormat="1" ht="17.399999999999999">
      <c r="A207" s="91"/>
      <c r="B207" s="92"/>
      <c r="C207" s="93" t="str">
        <f t="shared" si="10"/>
        <v/>
      </c>
      <c r="D207" s="94"/>
      <c r="E207" s="95"/>
      <c r="F207" s="93" t="str">
        <f t="shared" si="11"/>
        <v/>
      </c>
      <c r="G207" s="94"/>
      <c r="H207" s="95"/>
      <c r="I207" s="93" t="str">
        <f t="shared" si="12"/>
        <v/>
      </c>
    </row>
    <row r="208" spans="1:9" s="93" customFormat="1" ht="17.399999999999999">
      <c r="A208" s="91"/>
      <c r="B208" s="92"/>
      <c r="C208" s="93" t="str">
        <f t="shared" si="10"/>
        <v/>
      </c>
      <c r="D208" s="94"/>
      <c r="E208" s="95"/>
      <c r="F208" s="93" t="str">
        <f t="shared" si="11"/>
        <v/>
      </c>
      <c r="G208" s="94"/>
      <c r="H208" s="95"/>
      <c r="I208" s="93" t="str">
        <f t="shared" si="12"/>
        <v/>
      </c>
    </row>
    <row r="209" spans="1:9" s="93" customFormat="1" ht="17.399999999999999">
      <c r="A209" s="91"/>
      <c r="B209" s="92"/>
      <c r="C209" s="93" t="str">
        <f t="shared" si="10"/>
        <v/>
      </c>
      <c r="D209" s="94"/>
      <c r="E209" s="95"/>
      <c r="F209" s="93" t="str">
        <f t="shared" si="11"/>
        <v/>
      </c>
      <c r="G209" s="94"/>
      <c r="H209" s="95"/>
      <c r="I209" s="93" t="str">
        <f t="shared" si="12"/>
        <v/>
      </c>
    </row>
    <row r="210" spans="1:9" s="93" customFormat="1" ht="17.399999999999999">
      <c r="A210" s="91"/>
      <c r="B210" s="92"/>
      <c r="C210" s="93" t="str">
        <f t="shared" si="10"/>
        <v/>
      </c>
      <c r="D210" s="94"/>
      <c r="E210" s="95"/>
      <c r="F210" s="93" t="str">
        <f t="shared" si="11"/>
        <v/>
      </c>
      <c r="G210" s="94"/>
      <c r="H210" s="95"/>
      <c r="I210" s="93" t="str">
        <f t="shared" si="12"/>
        <v/>
      </c>
    </row>
    <row r="211" spans="1:9" s="93" customFormat="1" ht="17.399999999999999">
      <c r="A211" s="91"/>
      <c r="B211" s="92"/>
      <c r="C211" s="93" t="str">
        <f t="shared" si="10"/>
        <v/>
      </c>
      <c r="D211" s="94"/>
      <c r="E211" s="95"/>
      <c r="F211" s="93" t="str">
        <f t="shared" si="11"/>
        <v/>
      </c>
      <c r="G211" s="94"/>
      <c r="H211" s="95"/>
      <c r="I211" s="93" t="str">
        <f t="shared" si="12"/>
        <v/>
      </c>
    </row>
    <row r="212" spans="1:9" s="93" customFormat="1" ht="17.399999999999999">
      <c r="A212" s="91"/>
      <c r="B212" s="92"/>
      <c r="C212" s="93" t="str">
        <f t="shared" si="10"/>
        <v/>
      </c>
      <c r="D212" s="94"/>
      <c r="E212" s="95"/>
      <c r="F212" s="93" t="str">
        <f t="shared" si="11"/>
        <v/>
      </c>
      <c r="G212" s="94"/>
      <c r="H212" s="95"/>
      <c r="I212" s="93" t="str">
        <f t="shared" si="12"/>
        <v/>
      </c>
    </row>
    <row r="213" spans="1:9" s="93" customFormat="1" ht="17.399999999999999">
      <c r="A213" s="91"/>
      <c r="B213" s="92"/>
      <c r="C213" s="93" t="str">
        <f t="shared" si="10"/>
        <v/>
      </c>
      <c r="D213" s="94"/>
      <c r="E213" s="95"/>
      <c r="F213" s="93" t="str">
        <f t="shared" si="11"/>
        <v/>
      </c>
      <c r="G213" s="94"/>
      <c r="H213" s="95"/>
      <c r="I213" s="93" t="str">
        <f t="shared" si="12"/>
        <v/>
      </c>
    </row>
    <row r="214" spans="1:9" s="93" customFormat="1" ht="17.399999999999999">
      <c r="A214" s="91"/>
      <c r="B214" s="92"/>
      <c r="C214" s="93" t="str">
        <f t="shared" si="10"/>
        <v/>
      </c>
      <c r="D214" s="94"/>
      <c r="E214" s="95"/>
      <c r="F214" s="93" t="str">
        <f t="shared" si="11"/>
        <v/>
      </c>
      <c r="G214" s="94"/>
      <c r="H214" s="95"/>
      <c r="I214" s="93" t="str">
        <f t="shared" si="12"/>
        <v/>
      </c>
    </row>
    <row r="215" spans="1:9" s="93" customFormat="1" ht="17.399999999999999">
      <c r="A215" s="91"/>
      <c r="B215" s="92"/>
      <c r="C215" s="93" t="str">
        <f t="shared" si="10"/>
        <v/>
      </c>
      <c r="D215" s="94"/>
      <c r="E215" s="95"/>
      <c r="F215" s="93" t="str">
        <f t="shared" si="11"/>
        <v/>
      </c>
      <c r="G215" s="94"/>
      <c r="H215" s="95"/>
      <c r="I215" s="93" t="str">
        <f t="shared" si="12"/>
        <v/>
      </c>
    </row>
    <row r="216" spans="1:9" s="93" customFormat="1" ht="17.399999999999999">
      <c r="A216" s="91"/>
      <c r="B216" s="92"/>
      <c r="C216" s="93" t="str">
        <f t="shared" si="10"/>
        <v/>
      </c>
      <c r="D216" s="94"/>
      <c r="E216" s="95"/>
      <c r="F216" s="93" t="str">
        <f t="shared" si="11"/>
        <v/>
      </c>
      <c r="G216" s="94"/>
      <c r="H216" s="95"/>
      <c r="I216" s="93" t="str">
        <f t="shared" si="12"/>
        <v/>
      </c>
    </row>
    <row r="217" spans="1:9" s="93" customFormat="1" ht="17.399999999999999">
      <c r="A217" s="91"/>
      <c r="B217" s="92"/>
      <c r="C217" s="93" t="str">
        <f t="shared" si="10"/>
        <v/>
      </c>
      <c r="D217" s="94"/>
      <c r="E217" s="95"/>
      <c r="F217" s="93" t="str">
        <f t="shared" si="11"/>
        <v/>
      </c>
      <c r="G217" s="94"/>
      <c r="H217" s="95"/>
      <c r="I217" s="93" t="str">
        <f t="shared" si="12"/>
        <v/>
      </c>
    </row>
    <row r="218" spans="1:9" s="93" customFormat="1" ht="17.399999999999999">
      <c r="A218" s="91"/>
      <c r="B218" s="92"/>
      <c r="C218" s="93" t="str">
        <f t="shared" si="10"/>
        <v/>
      </c>
      <c r="D218" s="94"/>
      <c r="E218" s="95"/>
      <c r="F218" s="93" t="str">
        <f t="shared" si="11"/>
        <v/>
      </c>
      <c r="G218" s="94"/>
      <c r="H218" s="95"/>
      <c r="I218" s="93" t="str">
        <f t="shared" si="12"/>
        <v/>
      </c>
    </row>
    <row r="219" spans="1:9" s="93" customFormat="1" ht="17.399999999999999">
      <c r="A219" s="91"/>
      <c r="B219" s="92"/>
      <c r="C219" s="93" t="str">
        <f t="shared" si="10"/>
        <v/>
      </c>
      <c r="D219" s="94"/>
      <c r="E219" s="95"/>
      <c r="F219" s="93" t="str">
        <f t="shared" si="11"/>
        <v/>
      </c>
      <c r="G219" s="94"/>
      <c r="H219" s="95"/>
      <c r="I219" s="93" t="str">
        <f t="shared" si="12"/>
        <v/>
      </c>
    </row>
    <row r="220" spans="1:9" s="93" customFormat="1" ht="17.399999999999999">
      <c r="A220" s="91"/>
      <c r="B220" s="92"/>
      <c r="C220" s="93" t="str">
        <f t="shared" si="10"/>
        <v/>
      </c>
      <c r="D220" s="94"/>
      <c r="E220" s="95"/>
      <c r="F220" s="93" t="str">
        <f t="shared" si="11"/>
        <v/>
      </c>
      <c r="G220" s="94"/>
      <c r="H220" s="95"/>
      <c r="I220" s="93" t="str">
        <f t="shared" si="12"/>
        <v/>
      </c>
    </row>
    <row r="221" spans="1:9" s="93" customFormat="1" ht="17.399999999999999">
      <c r="A221" s="91"/>
      <c r="B221" s="92"/>
      <c r="C221" s="93" t="str">
        <f t="shared" si="10"/>
        <v/>
      </c>
      <c r="D221" s="94"/>
      <c r="E221" s="95"/>
      <c r="F221" s="93" t="str">
        <f t="shared" si="11"/>
        <v/>
      </c>
      <c r="G221" s="94"/>
      <c r="H221" s="95"/>
      <c r="I221" s="93" t="str">
        <f t="shared" si="12"/>
        <v/>
      </c>
    </row>
    <row r="222" spans="1:9" s="93" customFormat="1" ht="17.399999999999999">
      <c r="A222" s="91"/>
      <c r="B222" s="92"/>
      <c r="C222" s="93" t="str">
        <f t="shared" si="10"/>
        <v/>
      </c>
      <c r="D222" s="94"/>
      <c r="E222" s="95"/>
      <c r="F222" s="93" t="str">
        <f t="shared" si="11"/>
        <v/>
      </c>
      <c r="G222" s="94"/>
      <c r="H222" s="95"/>
      <c r="I222" s="93" t="str">
        <f t="shared" si="12"/>
        <v/>
      </c>
    </row>
    <row r="223" spans="1:9" s="93" customFormat="1" ht="17.399999999999999">
      <c r="A223" s="91"/>
      <c r="B223" s="92"/>
      <c r="C223" s="93" t="str">
        <f t="shared" si="10"/>
        <v/>
      </c>
      <c r="D223" s="94"/>
      <c r="E223" s="95"/>
      <c r="F223" s="93" t="str">
        <f t="shared" si="11"/>
        <v/>
      </c>
      <c r="G223" s="94"/>
      <c r="H223" s="95"/>
      <c r="I223" s="93" t="str">
        <f t="shared" si="12"/>
        <v/>
      </c>
    </row>
    <row r="224" spans="1:9" s="93" customFormat="1" ht="17.399999999999999">
      <c r="A224" s="91"/>
      <c r="B224" s="92"/>
      <c r="C224" s="93" t="str">
        <f t="shared" si="10"/>
        <v/>
      </c>
      <c r="D224" s="94"/>
      <c r="E224" s="95"/>
      <c r="F224" s="93" t="str">
        <f t="shared" si="11"/>
        <v/>
      </c>
      <c r="G224" s="94"/>
      <c r="H224" s="95"/>
      <c r="I224" s="93" t="str">
        <f t="shared" si="12"/>
        <v/>
      </c>
    </row>
    <row r="225" spans="1:9" s="93" customFormat="1" ht="17.399999999999999">
      <c r="A225" s="91"/>
      <c r="B225" s="92"/>
      <c r="C225" s="93" t="str">
        <f t="shared" si="10"/>
        <v/>
      </c>
      <c r="D225" s="94"/>
      <c r="E225" s="95"/>
      <c r="F225" s="93" t="str">
        <f t="shared" si="11"/>
        <v/>
      </c>
      <c r="G225" s="94"/>
      <c r="H225" s="95"/>
      <c r="I225" s="93" t="str">
        <f t="shared" si="12"/>
        <v/>
      </c>
    </row>
    <row r="226" spans="1:9" s="93" customFormat="1" ht="17.399999999999999">
      <c r="A226" s="91"/>
      <c r="B226" s="92"/>
      <c r="C226" s="93" t="str">
        <f t="shared" si="10"/>
        <v/>
      </c>
      <c r="D226" s="94"/>
      <c r="E226" s="95"/>
      <c r="F226" s="93" t="str">
        <f t="shared" si="11"/>
        <v/>
      </c>
      <c r="G226" s="94"/>
      <c r="H226" s="95"/>
      <c r="I226" s="93" t="str">
        <f t="shared" si="12"/>
        <v/>
      </c>
    </row>
    <row r="227" spans="1:9" s="93" customFormat="1" ht="17.399999999999999">
      <c r="A227" s="91"/>
      <c r="B227" s="92"/>
      <c r="C227" s="93" t="str">
        <f t="shared" si="10"/>
        <v/>
      </c>
      <c r="D227" s="94"/>
      <c r="E227" s="95"/>
      <c r="F227" s="93" t="str">
        <f t="shared" si="11"/>
        <v/>
      </c>
      <c r="G227" s="94"/>
      <c r="H227" s="95"/>
      <c r="I227" s="93" t="str">
        <f t="shared" si="12"/>
        <v/>
      </c>
    </row>
    <row r="228" spans="1:9" s="93" customFormat="1" ht="17.399999999999999">
      <c r="A228" s="91"/>
      <c r="B228" s="92"/>
      <c r="C228" s="93" t="str">
        <f t="shared" si="10"/>
        <v/>
      </c>
      <c r="D228" s="94"/>
      <c r="E228" s="95"/>
      <c r="F228" s="93" t="str">
        <f t="shared" si="11"/>
        <v/>
      </c>
      <c r="G228" s="94"/>
      <c r="H228" s="95"/>
      <c r="I228" s="93" t="str">
        <f t="shared" si="12"/>
        <v/>
      </c>
    </row>
    <row r="229" spans="1:9" s="93" customFormat="1" ht="17.399999999999999">
      <c r="A229" s="91"/>
      <c r="B229" s="92"/>
      <c r="C229" s="93" t="str">
        <f t="shared" si="10"/>
        <v/>
      </c>
      <c r="D229" s="94"/>
      <c r="E229" s="95"/>
      <c r="F229" s="93" t="str">
        <f t="shared" si="11"/>
        <v/>
      </c>
      <c r="G229" s="94"/>
      <c r="H229" s="95"/>
      <c r="I229" s="93" t="str">
        <f t="shared" si="12"/>
        <v/>
      </c>
    </row>
    <row r="230" spans="1:9" s="93" customFormat="1" ht="17.399999999999999">
      <c r="A230" s="94"/>
      <c r="B230" s="95"/>
      <c r="C230" s="93" t="str">
        <f t="shared" si="10"/>
        <v/>
      </c>
      <c r="D230" s="94"/>
      <c r="E230" s="95"/>
      <c r="F230" s="93" t="str">
        <f t="shared" si="11"/>
        <v/>
      </c>
      <c r="G230" s="94"/>
      <c r="H230" s="95"/>
      <c r="I230" s="93" t="str">
        <f t="shared" si="12"/>
        <v/>
      </c>
    </row>
    <row r="231" spans="1:9" s="93" customFormat="1" ht="17.399999999999999">
      <c r="A231" s="94"/>
      <c r="B231" s="95"/>
      <c r="C231" s="93" t="str">
        <f t="shared" si="10"/>
        <v/>
      </c>
      <c r="D231" s="94"/>
      <c r="E231" s="95"/>
      <c r="F231" s="93" t="str">
        <f t="shared" si="11"/>
        <v/>
      </c>
      <c r="G231" s="94"/>
      <c r="H231" s="95"/>
      <c r="I231" s="93" t="str">
        <f t="shared" si="12"/>
        <v/>
      </c>
    </row>
    <row r="232" spans="1:9" s="93" customFormat="1" ht="17.399999999999999">
      <c r="A232" s="94"/>
      <c r="B232" s="95"/>
      <c r="C232" s="93" t="str">
        <f t="shared" si="10"/>
        <v/>
      </c>
      <c r="D232" s="94"/>
      <c r="E232" s="95"/>
      <c r="F232" s="93" t="str">
        <f t="shared" si="11"/>
        <v/>
      </c>
      <c r="G232" s="94"/>
      <c r="H232" s="95"/>
      <c r="I232" s="93" t="str">
        <f t="shared" si="12"/>
        <v/>
      </c>
    </row>
    <row r="233" spans="1:9" s="93" customFormat="1" ht="17.399999999999999">
      <c r="A233" s="94"/>
      <c r="B233" s="95"/>
      <c r="C233" s="93" t="str">
        <f t="shared" si="10"/>
        <v/>
      </c>
      <c r="D233" s="94"/>
      <c r="E233" s="95"/>
      <c r="F233" s="93" t="str">
        <f t="shared" si="11"/>
        <v/>
      </c>
      <c r="G233" s="94"/>
      <c r="H233" s="95"/>
      <c r="I233" s="93" t="str">
        <f t="shared" si="12"/>
        <v/>
      </c>
    </row>
    <row r="234" spans="1:9" s="93" customFormat="1" ht="17.399999999999999">
      <c r="A234" s="94"/>
      <c r="B234" s="95"/>
      <c r="C234" s="93" t="str">
        <f t="shared" si="10"/>
        <v/>
      </c>
      <c r="D234" s="94"/>
      <c r="E234" s="95"/>
      <c r="F234" s="93" t="str">
        <f t="shared" si="11"/>
        <v/>
      </c>
      <c r="G234" s="94"/>
      <c r="H234" s="95"/>
      <c r="I234" s="93" t="str">
        <f t="shared" si="12"/>
        <v/>
      </c>
    </row>
    <row r="235" spans="1:9" s="93" customFormat="1" ht="17.399999999999999">
      <c r="A235" s="94"/>
      <c r="B235" s="95"/>
      <c r="C235" s="93" t="str">
        <f t="shared" si="10"/>
        <v/>
      </c>
      <c r="D235" s="94"/>
      <c r="E235" s="95"/>
      <c r="F235" s="93" t="str">
        <f t="shared" si="11"/>
        <v/>
      </c>
      <c r="G235" s="94"/>
      <c r="H235" s="95"/>
      <c r="I235" s="93" t="str">
        <f t="shared" si="12"/>
        <v/>
      </c>
    </row>
    <row r="236" spans="1:9" s="93" customFormat="1" ht="17.399999999999999">
      <c r="A236" s="94"/>
      <c r="B236" s="95"/>
      <c r="C236" s="93" t="str">
        <f t="shared" si="10"/>
        <v/>
      </c>
      <c r="D236" s="94"/>
      <c r="E236" s="95"/>
      <c r="F236" s="93" t="str">
        <f t="shared" si="11"/>
        <v/>
      </c>
      <c r="G236" s="94"/>
      <c r="H236" s="95"/>
      <c r="I236" s="93" t="str">
        <f t="shared" si="12"/>
        <v/>
      </c>
    </row>
    <row r="237" spans="1:9" s="93" customFormat="1" ht="17.399999999999999">
      <c r="A237" s="94"/>
      <c r="B237" s="95"/>
      <c r="C237" s="93" t="str">
        <f t="shared" si="10"/>
        <v/>
      </c>
      <c r="D237" s="94"/>
      <c r="E237" s="95"/>
      <c r="F237" s="93" t="str">
        <f t="shared" si="11"/>
        <v/>
      </c>
      <c r="G237" s="94"/>
      <c r="H237" s="95"/>
      <c r="I237" s="93" t="str">
        <f t="shared" si="12"/>
        <v/>
      </c>
    </row>
    <row r="238" spans="1:9" s="93" customFormat="1" ht="17.399999999999999">
      <c r="A238" s="94"/>
      <c r="B238" s="95"/>
      <c r="C238" s="93" t="str">
        <f t="shared" si="10"/>
        <v/>
      </c>
      <c r="D238" s="94"/>
      <c r="E238" s="95"/>
      <c r="F238" s="93" t="str">
        <f t="shared" si="11"/>
        <v/>
      </c>
      <c r="G238" s="94"/>
      <c r="H238" s="95"/>
      <c r="I238" s="93" t="str">
        <f t="shared" si="12"/>
        <v/>
      </c>
    </row>
    <row r="239" spans="1:9" s="93" customFormat="1" ht="17.399999999999999">
      <c r="A239" s="94"/>
      <c r="B239" s="95"/>
      <c r="C239" s="93" t="str">
        <f t="shared" si="10"/>
        <v/>
      </c>
      <c r="D239" s="94"/>
      <c r="E239" s="95"/>
      <c r="F239" s="93" t="str">
        <f t="shared" si="11"/>
        <v/>
      </c>
      <c r="G239" s="94"/>
      <c r="H239" s="95"/>
      <c r="I239" s="93" t="str">
        <f t="shared" si="12"/>
        <v/>
      </c>
    </row>
    <row r="240" spans="1:9" s="93" customFormat="1" ht="17.399999999999999">
      <c r="A240" s="94"/>
      <c r="B240" s="95"/>
      <c r="C240" s="93" t="str">
        <f t="shared" si="10"/>
        <v/>
      </c>
      <c r="D240" s="94"/>
      <c r="E240" s="95"/>
      <c r="F240" s="93" t="str">
        <f t="shared" si="11"/>
        <v/>
      </c>
      <c r="G240" s="94"/>
      <c r="H240" s="95"/>
      <c r="I240" s="93" t="str">
        <f t="shared" si="12"/>
        <v/>
      </c>
    </row>
    <row r="241" spans="1:9" s="93" customFormat="1" ht="17.399999999999999">
      <c r="A241" s="94"/>
      <c r="B241" s="95"/>
      <c r="C241" s="93" t="str">
        <f t="shared" si="10"/>
        <v/>
      </c>
      <c r="D241" s="94"/>
      <c r="E241" s="95"/>
      <c r="F241" s="93" t="str">
        <f t="shared" si="11"/>
        <v/>
      </c>
      <c r="G241" s="94"/>
      <c r="H241" s="95"/>
      <c r="I241" s="93" t="str">
        <f t="shared" si="12"/>
        <v/>
      </c>
    </row>
    <row r="242" spans="1:9" s="93" customFormat="1" ht="17.399999999999999">
      <c r="A242" s="94"/>
      <c r="B242" s="95"/>
      <c r="C242" s="93" t="str">
        <f t="shared" si="10"/>
        <v/>
      </c>
      <c r="D242" s="94"/>
      <c r="E242" s="95"/>
      <c r="F242" s="93" t="str">
        <f t="shared" si="11"/>
        <v/>
      </c>
      <c r="G242" s="94"/>
      <c r="H242" s="95"/>
      <c r="I242" s="93" t="str">
        <f t="shared" si="12"/>
        <v/>
      </c>
    </row>
    <row r="243" spans="1:9" s="93" customFormat="1" ht="17.399999999999999">
      <c r="A243" s="94"/>
      <c r="B243" s="95"/>
      <c r="C243" s="93" t="str">
        <f t="shared" si="10"/>
        <v/>
      </c>
      <c r="D243" s="94"/>
      <c r="E243" s="95"/>
      <c r="F243" s="93" t="str">
        <f t="shared" si="11"/>
        <v/>
      </c>
      <c r="G243" s="94"/>
      <c r="H243" s="95"/>
      <c r="I243" s="93" t="str">
        <f t="shared" si="12"/>
        <v/>
      </c>
    </row>
    <row r="244" spans="1:9" s="93" customFormat="1" ht="17.399999999999999">
      <c r="A244" s="94"/>
      <c r="B244" s="95"/>
      <c r="C244" s="93" t="str">
        <f t="shared" si="10"/>
        <v/>
      </c>
      <c r="D244" s="94"/>
      <c r="E244" s="95"/>
      <c r="F244" s="93" t="str">
        <f t="shared" si="11"/>
        <v/>
      </c>
      <c r="G244" s="94"/>
      <c r="H244" s="95"/>
      <c r="I244" s="93" t="str">
        <f t="shared" si="12"/>
        <v/>
      </c>
    </row>
    <row r="245" spans="1:9" s="93" customFormat="1" ht="17.399999999999999">
      <c r="A245" s="94"/>
      <c r="B245" s="95"/>
      <c r="C245" s="93" t="str">
        <f t="shared" si="10"/>
        <v/>
      </c>
      <c r="D245" s="94"/>
      <c r="E245" s="95"/>
      <c r="F245" s="93" t="str">
        <f t="shared" si="11"/>
        <v/>
      </c>
      <c r="G245" s="94"/>
      <c r="H245" s="95"/>
      <c r="I245" s="93" t="str">
        <f t="shared" si="12"/>
        <v/>
      </c>
    </row>
    <row r="246" spans="1:9" s="93" customFormat="1" ht="17.399999999999999">
      <c r="A246" s="94"/>
      <c r="B246" s="95"/>
      <c r="C246" s="93" t="str">
        <f t="shared" si="10"/>
        <v/>
      </c>
      <c r="D246" s="94"/>
      <c r="E246" s="95"/>
      <c r="F246" s="93" t="str">
        <f t="shared" si="11"/>
        <v/>
      </c>
      <c r="G246" s="94"/>
      <c r="H246" s="95"/>
      <c r="I246" s="93" t="str">
        <f t="shared" si="12"/>
        <v/>
      </c>
    </row>
    <row r="247" spans="1:9" s="93" customFormat="1" ht="17.399999999999999">
      <c r="A247" s="94"/>
      <c r="B247" s="95"/>
      <c r="C247" s="93" t="str">
        <f t="shared" si="10"/>
        <v/>
      </c>
      <c r="D247" s="94"/>
      <c r="E247" s="95"/>
      <c r="F247" s="93" t="str">
        <f t="shared" si="11"/>
        <v/>
      </c>
      <c r="G247" s="94"/>
      <c r="H247" s="95"/>
      <c r="I247" s="93" t="str">
        <f t="shared" si="12"/>
        <v/>
      </c>
    </row>
    <row r="248" spans="1:9" s="93" customFormat="1" ht="17.399999999999999">
      <c r="A248" s="94"/>
      <c r="B248" s="95"/>
      <c r="C248" s="93" t="str">
        <f t="shared" si="10"/>
        <v/>
      </c>
      <c r="D248" s="94"/>
      <c r="E248" s="95"/>
      <c r="F248" s="93" t="str">
        <f t="shared" si="11"/>
        <v/>
      </c>
      <c r="G248" s="94"/>
      <c r="H248" s="95"/>
      <c r="I248" s="93" t="str">
        <f t="shared" si="12"/>
        <v/>
      </c>
    </row>
    <row r="249" spans="1:9" s="93" customFormat="1" ht="17.399999999999999">
      <c r="A249" s="94"/>
      <c r="B249" s="95"/>
      <c r="C249" s="93" t="str">
        <f t="shared" ref="C249:C292" si="13">IF(B249&gt;0,TEXT(B249,"(aaa)"),"")</f>
        <v/>
      </c>
      <c r="D249" s="94"/>
      <c r="E249" s="95"/>
      <c r="F249" s="93" t="str">
        <f t="shared" ref="F249:F292" si="14">IF(E249&gt;0,TEXT(E249,"(aaa)"),"")</f>
        <v/>
      </c>
      <c r="G249" s="94"/>
      <c r="H249" s="95"/>
      <c r="I249" s="93" t="str">
        <f t="shared" ref="I249:I292" si="15">IF(H249&gt;0,TEXT(H249,"(aaa)"),"")</f>
        <v/>
      </c>
    </row>
    <row r="250" spans="1:9" s="93" customFormat="1" ht="17.399999999999999">
      <c r="A250" s="94"/>
      <c r="B250" s="95"/>
      <c r="C250" s="93" t="str">
        <f t="shared" si="13"/>
        <v/>
      </c>
      <c r="D250" s="94"/>
      <c r="E250" s="95"/>
      <c r="F250" s="93" t="str">
        <f t="shared" si="14"/>
        <v/>
      </c>
      <c r="G250" s="94"/>
      <c r="H250" s="95"/>
      <c r="I250" s="93" t="str">
        <f t="shared" si="15"/>
        <v/>
      </c>
    </row>
    <row r="251" spans="1:9" s="93" customFormat="1" ht="17.399999999999999">
      <c r="A251" s="94"/>
      <c r="B251" s="95"/>
      <c r="C251" s="93" t="str">
        <f t="shared" si="13"/>
        <v/>
      </c>
      <c r="D251" s="94"/>
      <c r="E251" s="95"/>
      <c r="F251" s="93" t="str">
        <f t="shared" si="14"/>
        <v/>
      </c>
      <c r="G251" s="94"/>
      <c r="H251" s="95"/>
      <c r="I251" s="93" t="str">
        <f t="shared" si="15"/>
        <v/>
      </c>
    </row>
    <row r="252" spans="1:9" s="93" customFormat="1" ht="17.399999999999999">
      <c r="A252" s="94"/>
      <c r="B252" s="95"/>
      <c r="C252" s="93" t="str">
        <f t="shared" si="13"/>
        <v/>
      </c>
      <c r="D252" s="94"/>
      <c r="E252" s="95"/>
      <c r="F252" s="93" t="str">
        <f t="shared" si="14"/>
        <v/>
      </c>
      <c r="G252" s="94"/>
      <c r="H252" s="95"/>
      <c r="I252" s="93" t="str">
        <f t="shared" si="15"/>
        <v/>
      </c>
    </row>
    <row r="253" spans="1:9" s="93" customFormat="1" ht="17.399999999999999">
      <c r="A253" s="94"/>
      <c r="B253" s="95"/>
      <c r="C253" s="93" t="str">
        <f t="shared" si="13"/>
        <v/>
      </c>
      <c r="D253" s="94"/>
      <c r="E253" s="95"/>
      <c r="F253" s="93" t="str">
        <f t="shared" si="14"/>
        <v/>
      </c>
      <c r="G253" s="94"/>
      <c r="H253" s="95"/>
      <c r="I253" s="93" t="str">
        <f t="shared" si="15"/>
        <v/>
      </c>
    </row>
    <row r="254" spans="1:9" s="93" customFormat="1" ht="17.399999999999999">
      <c r="A254" s="94"/>
      <c r="B254" s="95"/>
      <c r="C254" s="93" t="str">
        <f t="shared" si="13"/>
        <v/>
      </c>
      <c r="D254" s="94"/>
      <c r="E254" s="95"/>
      <c r="F254" s="93" t="str">
        <f t="shared" si="14"/>
        <v/>
      </c>
      <c r="G254" s="94"/>
      <c r="H254" s="95"/>
      <c r="I254" s="93" t="str">
        <f t="shared" si="15"/>
        <v/>
      </c>
    </row>
    <row r="255" spans="1:9" s="93" customFormat="1" ht="17.399999999999999">
      <c r="A255" s="94"/>
      <c r="B255" s="95"/>
      <c r="C255" s="93" t="str">
        <f t="shared" si="13"/>
        <v/>
      </c>
      <c r="D255" s="94"/>
      <c r="E255" s="95"/>
      <c r="F255" s="93" t="str">
        <f t="shared" si="14"/>
        <v/>
      </c>
      <c r="G255" s="94"/>
      <c r="H255" s="95"/>
      <c r="I255" s="93" t="str">
        <f t="shared" si="15"/>
        <v/>
      </c>
    </row>
    <row r="256" spans="1:9" s="93" customFormat="1" ht="17.399999999999999">
      <c r="A256" s="94"/>
      <c r="B256" s="95"/>
      <c r="C256" s="93" t="str">
        <f t="shared" si="13"/>
        <v/>
      </c>
      <c r="D256" s="94"/>
      <c r="E256" s="95"/>
      <c r="F256" s="93" t="str">
        <f t="shared" si="14"/>
        <v/>
      </c>
      <c r="G256" s="94"/>
      <c r="H256" s="95"/>
      <c r="I256" s="93" t="str">
        <f t="shared" si="15"/>
        <v/>
      </c>
    </row>
    <row r="257" spans="1:9" s="93" customFormat="1" ht="17.399999999999999">
      <c r="A257" s="94"/>
      <c r="B257" s="95"/>
      <c r="C257" s="93" t="str">
        <f t="shared" si="13"/>
        <v/>
      </c>
      <c r="D257" s="94"/>
      <c r="E257" s="95"/>
      <c r="F257" s="93" t="str">
        <f t="shared" si="14"/>
        <v/>
      </c>
      <c r="G257" s="94"/>
      <c r="H257" s="95"/>
      <c r="I257" s="93" t="str">
        <f t="shared" si="15"/>
        <v/>
      </c>
    </row>
    <row r="258" spans="1:9" s="93" customFormat="1" ht="17.399999999999999">
      <c r="A258" s="94"/>
      <c r="B258" s="95"/>
      <c r="C258" s="93" t="str">
        <f t="shared" si="13"/>
        <v/>
      </c>
      <c r="D258" s="94"/>
      <c r="E258" s="95"/>
      <c r="F258" s="93" t="str">
        <f t="shared" si="14"/>
        <v/>
      </c>
      <c r="G258" s="94"/>
      <c r="H258" s="95"/>
      <c r="I258" s="93" t="str">
        <f t="shared" si="15"/>
        <v/>
      </c>
    </row>
    <row r="259" spans="1:9" s="93" customFormat="1" ht="17.399999999999999">
      <c r="A259" s="94"/>
      <c r="B259" s="95"/>
      <c r="C259" s="93" t="str">
        <f t="shared" si="13"/>
        <v/>
      </c>
      <c r="D259" s="94"/>
      <c r="E259" s="95"/>
      <c r="F259" s="93" t="str">
        <f t="shared" si="14"/>
        <v/>
      </c>
      <c r="G259" s="94"/>
      <c r="H259" s="95"/>
      <c r="I259" s="93" t="str">
        <f t="shared" si="15"/>
        <v/>
      </c>
    </row>
    <row r="260" spans="1:9" s="93" customFormat="1" ht="17.399999999999999">
      <c r="A260" s="94"/>
      <c r="B260" s="95"/>
      <c r="C260" s="93" t="str">
        <f t="shared" si="13"/>
        <v/>
      </c>
      <c r="D260" s="94"/>
      <c r="E260" s="95"/>
      <c r="F260" s="93" t="str">
        <f t="shared" si="14"/>
        <v/>
      </c>
      <c r="G260" s="94"/>
      <c r="H260" s="95"/>
      <c r="I260" s="93" t="str">
        <f t="shared" si="15"/>
        <v/>
      </c>
    </row>
    <row r="261" spans="1:9" s="93" customFormat="1" ht="17.399999999999999">
      <c r="A261" s="94"/>
      <c r="B261" s="95"/>
      <c r="C261" s="93" t="str">
        <f t="shared" si="13"/>
        <v/>
      </c>
      <c r="D261" s="94"/>
      <c r="E261" s="95"/>
      <c r="F261" s="93" t="str">
        <f t="shared" si="14"/>
        <v/>
      </c>
      <c r="G261" s="94"/>
      <c r="H261" s="95"/>
      <c r="I261" s="93" t="str">
        <f t="shared" si="15"/>
        <v/>
      </c>
    </row>
    <row r="262" spans="1:9" s="93" customFormat="1" ht="17.399999999999999">
      <c r="A262" s="94"/>
      <c r="B262" s="95"/>
      <c r="C262" s="93" t="str">
        <f t="shared" si="13"/>
        <v/>
      </c>
      <c r="D262" s="94"/>
      <c r="E262" s="95"/>
      <c r="F262" s="93" t="str">
        <f t="shared" si="14"/>
        <v/>
      </c>
      <c r="G262" s="94"/>
      <c r="H262" s="95"/>
      <c r="I262" s="93" t="str">
        <f t="shared" si="15"/>
        <v/>
      </c>
    </row>
    <row r="263" spans="1:9" s="93" customFormat="1" ht="17.399999999999999">
      <c r="A263" s="94"/>
      <c r="B263" s="95"/>
      <c r="C263" s="93" t="str">
        <f t="shared" si="13"/>
        <v/>
      </c>
      <c r="D263" s="94"/>
      <c r="E263" s="95"/>
      <c r="F263" s="93" t="str">
        <f t="shared" si="14"/>
        <v/>
      </c>
      <c r="G263" s="94"/>
      <c r="H263" s="95"/>
      <c r="I263" s="93" t="str">
        <f t="shared" si="15"/>
        <v/>
      </c>
    </row>
    <row r="264" spans="1:9" s="93" customFormat="1" ht="17.399999999999999">
      <c r="A264" s="94"/>
      <c r="B264" s="95"/>
      <c r="C264" s="93" t="str">
        <f t="shared" si="13"/>
        <v/>
      </c>
      <c r="D264" s="94"/>
      <c r="E264" s="95"/>
      <c r="F264" s="93" t="str">
        <f t="shared" si="14"/>
        <v/>
      </c>
      <c r="G264" s="94"/>
      <c r="H264" s="95"/>
      <c r="I264" s="93" t="str">
        <f t="shared" si="15"/>
        <v/>
      </c>
    </row>
    <row r="265" spans="1:9" s="93" customFormat="1" ht="17.399999999999999">
      <c r="A265" s="94"/>
      <c r="B265" s="95"/>
      <c r="C265" s="93" t="str">
        <f t="shared" si="13"/>
        <v/>
      </c>
      <c r="D265" s="94"/>
      <c r="E265" s="95"/>
      <c r="F265" s="93" t="str">
        <f t="shared" si="14"/>
        <v/>
      </c>
      <c r="G265" s="94"/>
      <c r="H265" s="95"/>
      <c r="I265" s="93" t="str">
        <f t="shared" si="15"/>
        <v/>
      </c>
    </row>
    <row r="266" spans="1:9" s="93" customFormat="1" ht="17.399999999999999">
      <c r="A266" s="94"/>
      <c r="B266" s="95"/>
      <c r="C266" s="93" t="str">
        <f t="shared" si="13"/>
        <v/>
      </c>
      <c r="D266" s="94"/>
      <c r="E266" s="95"/>
      <c r="F266" s="93" t="str">
        <f t="shared" si="14"/>
        <v/>
      </c>
      <c r="G266" s="94"/>
      <c r="H266" s="95"/>
      <c r="I266" s="93" t="str">
        <f t="shared" si="15"/>
        <v/>
      </c>
    </row>
    <row r="267" spans="1:9" s="93" customFormat="1" ht="17.399999999999999">
      <c r="A267" s="94"/>
      <c r="B267" s="95"/>
      <c r="C267" s="93" t="str">
        <f t="shared" si="13"/>
        <v/>
      </c>
      <c r="D267" s="94"/>
      <c r="E267" s="95"/>
      <c r="F267" s="93" t="str">
        <f t="shared" si="14"/>
        <v/>
      </c>
      <c r="G267" s="94"/>
      <c r="H267" s="95"/>
      <c r="I267" s="93" t="str">
        <f t="shared" si="15"/>
        <v/>
      </c>
    </row>
    <row r="268" spans="1:9" s="93" customFormat="1" ht="17.399999999999999">
      <c r="A268" s="94"/>
      <c r="B268" s="95"/>
      <c r="C268" s="93" t="str">
        <f t="shared" si="13"/>
        <v/>
      </c>
      <c r="D268" s="94"/>
      <c r="E268" s="95"/>
      <c r="F268" s="93" t="str">
        <f t="shared" si="14"/>
        <v/>
      </c>
      <c r="G268" s="94"/>
      <c r="H268" s="95"/>
      <c r="I268" s="93" t="str">
        <f t="shared" si="15"/>
        <v/>
      </c>
    </row>
    <row r="269" spans="1:9" s="93" customFormat="1" ht="17.399999999999999">
      <c r="A269" s="94"/>
      <c r="B269" s="95"/>
      <c r="C269" s="93" t="str">
        <f t="shared" si="13"/>
        <v/>
      </c>
      <c r="D269" s="94"/>
      <c r="E269" s="95"/>
      <c r="F269" s="93" t="str">
        <f t="shared" si="14"/>
        <v/>
      </c>
      <c r="G269" s="94"/>
      <c r="H269" s="95"/>
      <c r="I269" s="93" t="str">
        <f t="shared" si="15"/>
        <v/>
      </c>
    </row>
    <row r="270" spans="1:9" s="93" customFormat="1" ht="17.399999999999999">
      <c r="A270" s="94"/>
      <c r="B270" s="95"/>
      <c r="C270" s="93" t="str">
        <f t="shared" si="13"/>
        <v/>
      </c>
      <c r="D270" s="94"/>
      <c r="E270" s="95"/>
      <c r="F270" s="93" t="str">
        <f t="shared" si="14"/>
        <v/>
      </c>
      <c r="G270" s="94"/>
      <c r="H270" s="95"/>
      <c r="I270" s="93" t="str">
        <f t="shared" si="15"/>
        <v/>
      </c>
    </row>
    <row r="271" spans="1:9" s="93" customFormat="1" ht="17.399999999999999">
      <c r="A271" s="94"/>
      <c r="B271" s="95"/>
      <c r="C271" s="93" t="str">
        <f t="shared" si="13"/>
        <v/>
      </c>
      <c r="D271" s="94"/>
      <c r="E271" s="95"/>
      <c r="F271" s="93" t="str">
        <f t="shared" si="14"/>
        <v/>
      </c>
      <c r="G271" s="94"/>
      <c r="H271" s="95"/>
      <c r="I271" s="93" t="str">
        <f t="shared" si="15"/>
        <v/>
      </c>
    </row>
    <row r="272" spans="1:9" s="93" customFormat="1" ht="17.399999999999999">
      <c r="A272" s="94"/>
      <c r="B272" s="95"/>
      <c r="C272" s="93" t="str">
        <f t="shared" si="13"/>
        <v/>
      </c>
      <c r="D272" s="94"/>
      <c r="E272" s="95"/>
      <c r="F272" s="93" t="str">
        <f t="shared" si="14"/>
        <v/>
      </c>
      <c r="G272" s="94"/>
      <c r="H272" s="95"/>
      <c r="I272" s="93" t="str">
        <f t="shared" si="15"/>
        <v/>
      </c>
    </row>
    <row r="273" spans="1:9" s="93" customFormat="1" ht="17.399999999999999">
      <c r="A273" s="94"/>
      <c r="B273" s="95"/>
      <c r="C273" s="93" t="str">
        <f t="shared" si="13"/>
        <v/>
      </c>
      <c r="D273" s="94"/>
      <c r="E273" s="95"/>
      <c r="F273" s="93" t="str">
        <f t="shared" si="14"/>
        <v/>
      </c>
      <c r="G273" s="94"/>
      <c r="H273" s="95"/>
      <c r="I273" s="93" t="str">
        <f t="shared" si="15"/>
        <v/>
      </c>
    </row>
    <row r="274" spans="1:9" s="93" customFormat="1" ht="17.399999999999999">
      <c r="A274" s="94"/>
      <c r="B274" s="95"/>
      <c r="C274" s="93" t="str">
        <f t="shared" si="13"/>
        <v/>
      </c>
      <c r="D274" s="94"/>
      <c r="E274" s="95"/>
      <c r="F274" s="93" t="str">
        <f t="shared" si="14"/>
        <v/>
      </c>
      <c r="G274" s="94"/>
      <c r="H274" s="95"/>
      <c r="I274" s="93" t="str">
        <f t="shared" si="15"/>
        <v/>
      </c>
    </row>
    <row r="275" spans="1:9" s="93" customFormat="1" ht="17.399999999999999">
      <c r="A275" s="94"/>
      <c r="B275" s="95"/>
      <c r="C275" s="93" t="str">
        <f t="shared" si="13"/>
        <v/>
      </c>
      <c r="D275" s="94"/>
      <c r="E275" s="95"/>
      <c r="F275" s="93" t="str">
        <f t="shared" si="14"/>
        <v/>
      </c>
      <c r="G275" s="94"/>
      <c r="H275" s="95"/>
      <c r="I275" s="93" t="str">
        <f t="shared" si="15"/>
        <v/>
      </c>
    </row>
    <row r="276" spans="1:9" s="93" customFormat="1" ht="17.399999999999999">
      <c r="A276" s="94"/>
      <c r="B276" s="95"/>
      <c r="C276" s="93" t="str">
        <f t="shared" si="13"/>
        <v/>
      </c>
      <c r="D276" s="94"/>
      <c r="E276" s="95"/>
      <c r="F276" s="93" t="str">
        <f t="shared" si="14"/>
        <v/>
      </c>
      <c r="G276" s="94"/>
      <c r="H276" s="95"/>
      <c r="I276" s="93" t="str">
        <f t="shared" si="15"/>
        <v/>
      </c>
    </row>
    <row r="277" spans="1:9" s="93" customFormat="1" ht="17.399999999999999">
      <c r="A277" s="94"/>
      <c r="B277" s="95"/>
      <c r="C277" s="93" t="str">
        <f t="shared" si="13"/>
        <v/>
      </c>
      <c r="D277" s="94"/>
      <c r="E277" s="95"/>
      <c r="F277" s="93" t="str">
        <f t="shared" si="14"/>
        <v/>
      </c>
      <c r="G277" s="94"/>
      <c r="H277" s="95"/>
      <c r="I277" s="93" t="str">
        <f t="shared" si="15"/>
        <v/>
      </c>
    </row>
    <row r="278" spans="1:9" s="93" customFormat="1" ht="17.399999999999999">
      <c r="A278" s="94"/>
      <c r="B278" s="95"/>
      <c r="C278" s="93" t="str">
        <f t="shared" si="13"/>
        <v/>
      </c>
      <c r="D278" s="94"/>
      <c r="E278" s="95"/>
      <c r="F278" s="93" t="str">
        <f t="shared" si="14"/>
        <v/>
      </c>
      <c r="G278" s="94"/>
      <c r="H278" s="95"/>
      <c r="I278" s="93" t="str">
        <f t="shared" si="15"/>
        <v/>
      </c>
    </row>
    <row r="279" spans="1:9" s="93" customFormat="1" ht="17.399999999999999">
      <c r="A279" s="94"/>
      <c r="B279" s="95"/>
      <c r="C279" s="93" t="str">
        <f t="shared" si="13"/>
        <v/>
      </c>
      <c r="D279" s="94"/>
      <c r="E279" s="95"/>
      <c r="F279" s="93" t="str">
        <f t="shared" si="14"/>
        <v/>
      </c>
      <c r="G279" s="94"/>
      <c r="H279" s="95"/>
      <c r="I279" s="93" t="str">
        <f t="shared" si="15"/>
        <v/>
      </c>
    </row>
    <row r="280" spans="1:9" s="93" customFormat="1" ht="17.399999999999999">
      <c r="A280" s="94"/>
      <c r="B280" s="95"/>
      <c r="C280" s="93" t="str">
        <f t="shared" si="13"/>
        <v/>
      </c>
      <c r="D280" s="94"/>
      <c r="E280" s="95"/>
      <c r="F280" s="93" t="str">
        <f t="shared" si="14"/>
        <v/>
      </c>
      <c r="G280" s="94"/>
      <c r="H280" s="95"/>
      <c r="I280" s="93" t="str">
        <f t="shared" si="15"/>
        <v/>
      </c>
    </row>
    <row r="281" spans="1:9" s="93" customFormat="1" ht="17.399999999999999">
      <c r="A281" s="94"/>
      <c r="B281" s="95"/>
      <c r="C281" s="93" t="str">
        <f t="shared" si="13"/>
        <v/>
      </c>
      <c r="D281" s="94"/>
      <c r="E281" s="95"/>
      <c r="F281" s="93" t="str">
        <f t="shared" si="14"/>
        <v/>
      </c>
      <c r="G281" s="94"/>
      <c r="H281" s="95"/>
      <c r="I281" s="93" t="str">
        <f t="shared" si="15"/>
        <v/>
      </c>
    </row>
    <row r="282" spans="1:9" s="93" customFormat="1" ht="17.399999999999999">
      <c r="A282" s="94"/>
      <c r="B282" s="95"/>
      <c r="C282" s="93" t="str">
        <f t="shared" si="13"/>
        <v/>
      </c>
      <c r="D282" s="94"/>
      <c r="E282" s="95"/>
      <c r="F282" s="93" t="str">
        <f t="shared" si="14"/>
        <v/>
      </c>
      <c r="G282" s="94"/>
      <c r="H282" s="95"/>
      <c r="I282" s="93" t="str">
        <f t="shared" si="15"/>
        <v/>
      </c>
    </row>
    <row r="283" spans="1:9" s="93" customFormat="1" ht="17.399999999999999">
      <c r="A283" s="94"/>
      <c r="B283" s="95"/>
      <c r="C283" s="93" t="str">
        <f t="shared" si="13"/>
        <v/>
      </c>
      <c r="D283" s="94"/>
      <c r="E283" s="95"/>
      <c r="F283" s="93" t="str">
        <f t="shared" si="14"/>
        <v/>
      </c>
      <c r="G283" s="94"/>
      <c r="H283" s="95"/>
      <c r="I283" s="93" t="str">
        <f t="shared" si="15"/>
        <v/>
      </c>
    </row>
    <row r="284" spans="1:9" s="93" customFormat="1" ht="17.399999999999999">
      <c r="A284" s="94"/>
      <c r="B284" s="95"/>
      <c r="C284" s="93" t="str">
        <f t="shared" si="13"/>
        <v/>
      </c>
      <c r="D284" s="94"/>
      <c r="E284" s="95"/>
      <c r="F284" s="93" t="str">
        <f t="shared" si="14"/>
        <v/>
      </c>
      <c r="G284" s="94"/>
      <c r="H284" s="95"/>
      <c r="I284" s="93" t="str">
        <f t="shared" si="15"/>
        <v/>
      </c>
    </row>
    <row r="285" spans="1:9" s="93" customFormat="1" ht="17.399999999999999">
      <c r="A285" s="94"/>
      <c r="B285" s="95"/>
      <c r="C285" s="93" t="str">
        <f t="shared" si="13"/>
        <v/>
      </c>
      <c r="D285" s="94"/>
      <c r="E285" s="95"/>
      <c r="F285" s="93" t="str">
        <f t="shared" si="14"/>
        <v/>
      </c>
      <c r="G285" s="94"/>
      <c r="H285" s="95"/>
      <c r="I285" s="93" t="str">
        <f t="shared" si="15"/>
        <v/>
      </c>
    </row>
    <row r="286" spans="1:9" s="93" customFormat="1" ht="17.399999999999999">
      <c r="A286" s="94"/>
      <c r="B286" s="95"/>
      <c r="C286" s="93" t="str">
        <f t="shared" si="13"/>
        <v/>
      </c>
      <c r="D286" s="94"/>
      <c r="E286" s="95"/>
      <c r="F286" s="93" t="str">
        <f t="shared" si="14"/>
        <v/>
      </c>
      <c r="G286" s="94"/>
      <c r="H286" s="95"/>
      <c r="I286" s="93" t="str">
        <f t="shared" si="15"/>
        <v/>
      </c>
    </row>
    <row r="287" spans="1:9" s="93" customFormat="1" ht="17.399999999999999">
      <c r="A287" s="94"/>
      <c r="B287" s="95"/>
      <c r="C287" s="93" t="str">
        <f t="shared" si="13"/>
        <v/>
      </c>
      <c r="D287" s="94"/>
      <c r="E287" s="95"/>
      <c r="F287" s="93" t="str">
        <f t="shared" si="14"/>
        <v/>
      </c>
      <c r="G287" s="94"/>
      <c r="H287" s="95"/>
      <c r="I287" s="93" t="str">
        <f t="shared" si="15"/>
        <v/>
      </c>
    </row>
    <row r="288" spans="1:9" s="93" customFormat="1" ht="17.399999999999999">
      <c r="A288" s="94"/>
      <c r="B288" s="95"/>
      <c r="C288" s="93" t="str">
        <f t="shared" si="13"/>
        <v/>
      </c>
      <c r="D288" s="94"/>
      <c r="E288" s="95"/>
      <c r="F288" s="93" t="str">
        <f t="shared" si="14"/>
        <v/>
      </c>
      <c r="G288" s="94"/>
      <c r="H288" s="95"/>
      <c r="I288" s="93" t="str">
        <f t="shared" si="15"/>
        <v/>
      </c>
    </row>
    <row r="289" spans="1:9" s="93" customFormat="1" ht="17.399999999999999">
      <c r="A289" s="94"/>
      <c r="B289" s="95"/>
      <c r="C289" s="93" t="str">
        <f t="shared" si="13"/>
        <v/>
      </c>
      <c r="D289" s="94"/>
      <c r="E289" s="95"/>
      <c r="F289" s="93" t="str">
        <f t="shared" si="14"/>
        <v/>
      </c>
      <c r="G289" s="94"/>
      <c r="H289" s="95"/>
      <c r="I289" s="93" t="str">
        <f t="shared" si="15"/>
        <v/>
      </c>
    </row>
    <row r="290" spans="1:9" s="93" customFormat="1" ht="17.399999999999999">
      <c r="A290" s="94"/>
      <c r="B290" s="98"/>
      <c r="C290" s="93" t="str">
        <f t="shared" si="13"/>
        <v/>
      </c>
      <c r="D290" s="94"/>
      <c r="E290" s="98"/>
      <c r="F290" s="93" t="str">
        <f t="shared" si="14"/>
        <v/>
      </c>
      <c r="G290" s="94"/>
      <c r="H290" s="98"/>
      <c r="I290" s="93" t="str">
        <f t="shared" si="15"/>
        <v/>
      </c>
    </row>
    <row r="291" spans="1:9" s="93" customFormat="1" ht="17.399999999999999">
      <c r="A291" s="94"/>
      <c r="B291" s="98"/>
      <c r="C291" s="93" t="str">
        <f t="shared" si="13"/>
        <v/>
      </c>
      <c r="D291" s="94"/>
      <c r="E291" s="98"/>
      <c r="F291" s="93" t="str">
        <f t="shared" si="14"/>
        <v/>
      </c>
      <c r="G291" s="94"/>
      <c r="H291" s="98"/>
      <c r="I291" s="93" t="str">
        <f t="shared" si="15"/>
        <v/>
      </c>
    </row>
    <row r="292" spans="1:9" s="93" customFormat="1" ht="17.399999999999999">
      <c r="A292" s="94"/>
      <c r="B292" s="98"/>
      <c r="C292" s="93" t="str">
        <f t="shared" si="13"/>
        <v/>
      </c>
      <c r="D292" s="94"/>
      <c r="E292" s="98"/>
      <c r="F292" s="93" t="str">
        <f t="shared" si="14"/>
        <v/>
      </c>
      <c r="G292" s="94"/>
      <c r="H292" s="98"/>
      <c r="I292" s="93" t="str">
        <f t="shared" si="15"/>
        <v/>
      </c>
    </row>
    <row r="293" spans="1:9" s="93" customFormat="1" ht="17.399999999999999">
      <c r="A293" s="93" t="s">
        <v>1414</v>
      </c>
      <c r="D293" s="93" t="s">
        <v>1414</v>
      </c>
      <c r="G293" s="93" t="s">
        <v>1414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984375" defaultRowHeight="13.2"/>
  <cols>
    <col min="1" max="1" width="7.59765625" style="85" bestFit="1" customWidth="1"/>
    <col min="2" max="2" width="8.3984375" style="86" bestFit="1" customWidth="1"/>
    <col min="3" max="3" width="15.69921875" style="87" customWidth="1"/>
    <col min="4" max="4" width="47.09765625" style="88" customWidth="1"/>
    <col min="5" max="5" width="56.09765625" style="88" customWidth="1"/>
    <col min="6" max="6" width="57.3984375" style="85" customWidth="1"/>
    <col min="7" max="26" width="73.3984375" style="85"/>
    <col min="27" max="27" width="73.3984375" style="85" hidden="1" customWidth="1"/>
    <col min="28" max="16384" width="73.3984375" style="85"/>
  </cols>
  <sheetData>
    <row r="1" spans="1:6" s="83" customFormat="1">
      <c r="A1" s="83" t="s">
        <v>499</v>
      </c>
      <c r="B1" s="83" t="s">
        <v>500</v>
      </c>
      <c r="C1" s="84" t="s">
        <v>501</v>
      </c>
      <c r="D1" s="84" t="s">
        <v>64</v>
      </c>
      <c r="E1" s="84" t="s">
        <v>65</v>
      </c>
      <c r="F1" s="83" t="s">
        <v>1340</v>
      </c>
    </row>
    <row r="2" spans="1:6" ht="92.4">
      <c r="A2" s="85" t="s">
        <v>1328</v>
      </c>
      <c r="B2" s="86">
        <v>1</v>
      </c>
      <c r="C2" s="87" t="s">
        <v>1020</v>
      </c>
      <c r="D2" s="88" t="s">
        <v>502</v>
      </c>
      <c r="E2" s="88" t="s">
        <v>586</v>
      </c>
      <c r="F2" s="88" t="s">
        <v>586</v>
      </c>
    </row>
    <row r="3" spans="1:6" ht="105.6">
      <c r="A3" s="154">
        <v>600</v>
      </c>
      <c r="B3" s="86">
        <v>2</v>
      </c>
      <c r="C3" s="87" t="s">
        <v>1020</v>
      </c>
      <c r="D3" s="88" t="s">
        <v>495</v>
      </c>
      <c r="E3" s="88" t="s">
        <v>587</v>
      </c>
      <c r="F3" s="88" t="s">
        <v>587</v>
      </c>
    </row>
    <row r="4" spans="1:6" ht="66">
      <c r="B4" s="86">
        <v>3</v>
      </c>
      <c r="C4" s="87" t="s">
        <v>1020</v>
      </c>
      <c r="D4" s="88" t="s">
        <v>503</v>
      </c>
      <c r="E4" s="88" t="s">
        <v>588</v>
      </c>
      <c r="F4" s="88" t="s">
        <v>588</v>
      </c>
    </row>
    <row r="5" spans="1:6" ht="66">
      <c r="B5" s="86">
        <v>4</v>
      </c>
      <c r="C5" s="87" t="s">
        <v>1020</v>
      </c>
      <c r="D5" s="88" t="s">
        <v>504</v>
      </c>
      <c r="E5" s="88" t="s">
        <v>589</v>
      </c>
      <c r="F5" s="88" t="s">
        <v>589</v>
      </c>
    </row>
    <row r="6" spans="1:6" ht="66">
      <c r="B6" s="86">
        <v>5</v>
      </c>
      <c r="C6" s="87" t="s">
        <v>1020</v>
      </c>
      <c r="D6" s="88" t="s">
        <v>505</v>
      </c>
      <c r="E6" s="88" t="s">
        <v>590</v>
      </c>
      <c r="F6" s="88" t="s">
        <v>590</v>
      </c>
    </row>
    <row r="7" spans="1:6" ht="52.8">
      <c r="B7" s="86">
        <v>6</v>
      </c>
      <c r="C7" s="87" t="s">
        <v>1020</v>
      </c>
      <c r="D7" s="88" t="s">
        <v>506</v>
      </c>
      <c r="E7" s="88" t="s">
        <v>591</v>
      </c>
      <c r="F7" s="88" t="s">
        <v>591</v>
      </c>
    </row>
    <row r="8" spans="1:6">
      <c r="B8" s="86">
        <v>7</v>
      </c>
      <c r="C8" s="87" t="s">
        <v>1020</v>
      </c>
      <c r="D8" s="88" t="s">
        <v>497</v>
      </c>
      <c r="E8" s="88" t="s">
        <v>592</v>
      </c>
      <c r="F8" s="88" t="s">
        <v>592</v>
      </c>
    </row>
    <row r="9" spans="1:6" ht="52.8">
      <c r="B9" s="86">
        <v>8</v>
      </c>
      <c r="C9" s="87" t="s">
        <v>1197</v>
      </c>
      <c r="D9" s="88" t="s">
        <v>1194</v>
      </c>
      <c r="E9" s="88" t="s">
        <v>1112</v>
      </c>
      <c r="F9" s="88" t="s">
        <v>1112</v>
      </c>
    </row>
    <row r="10" spans="1:6" ht="52.8">
      <c r="B10" s="86">
        <v>9</v>
      </c>
      <c r="C10" s="87" t="s">
        <v>1197</v>
      </c>
      <c r="D10" s="88" t="s">
        <v>1175</v>
      </c>
      <c r="E10" s="88" t="s">
        <v>1136</v>
      </c>
      <c r="F10" s="88" t="s">
        <v>1136</v>
      </c>
    </row>
    <row r="11" spans="1:6" ht="66">
      <c r="B11" s="86">
        <v>10</v>
      </c>
      <c r="C11" s="87" t="s">
        <v>1197</v>
      </c>
      <c r="D11" s="88" t="s">
        <v>1195</v>
      </c>
      <c r="E11" s="88" t="s">
        <v>1177</v>
      </c>
      <c r="F11" s="88" t="s">
        <v>1177</v>
      </c>
    </row>
    <row r="12" spans="1:6" ht="52.8">
      <c r="B12" s="86">
        <v>11</v>
      </c>
      <c r="C12" s="87" t="s">
        <v>1197</v>
      </c>
      <c r="D12" s="88" t="s">
        <v>1180</v>
      </c>
      <c r="E12" s="88" t="s">
        <v>1179</v>
      </c>
      <c r="F12" s="88" t="s">
        <v>1179</v>
      </c>
    </row>
    <row r="13" spans="1:6" ht="92.4">
      <c r="B13" s="86">
        <v>12</v>
      </c>
      <c r="C13" s="87" t="s">
        <v>1197</v>
      </c>
      <c r="D13" s="88" t="s">
        <v>1181</v>
      </c>
      <c r="E13" s="88" t="s">
        <v>1140</v>
      </c>
      <c r="F13" s="88" t="s">
        <v>1140</v>
      </c>
    </row>
    <row r="14" spans="1:6">
      <c r="B14" s="86">
        <v>101</v>
      </c>
      <c r="D14" s="88" t="s">
        <v>66</v>
      </c>
      <c r="E14" s="88" t="s">
        <v>593</v>
      </c>
      <c r="F14" s="88" t="s">
        <v>593</v>
      </c>
    </row>
    <row r="15" spans="1:6">
      <c r="B15" s="86">
        <v>102</v>
      </c>
      <c r="D15" s="88" t="s">
        <v>67</v>
      </c>
      <c r="E15" s="88" t="s">
        <v>594</v>
      </c>
      <c r="F15" s="88" t="s">
        <v>594</v>
      </c>
    </row>
    <row r="16" spans="1:6">
      <c r="B16" s="86">
        <v>103</v>
      </c>
      <c r="D16" s="88" t="s">
        <v>68</v>
      </c>
      <c r="E16" s="88" t="s">
        <v>595</v>
      </c>
      <c r="F16" s="88" t="s">
        <v>595</v>
      </c>
    </row>
    <row r="17" spans="1:6">
      <c r="B17" s="86">
        <v>104</v>
      </c>
      <c r="D17" s="88" t="s">
        <v>69</v>
      </c>
      <c r="E17" s="88" t="s">
        <v>596</v>
      </c>
      <c r="F17" s="88" t="s">
        <v>596</v>
      </c>
    </row>
    <row r="18" spans="1:6">
      <c r="B18" s="86">
        <v>105</v>
      </c>
      <c r="D18" s="88" t="s">
        <v>70</v>
      </c>
      <c r="E18" s="88" t="s">
        <v>597</v>
      </c>
      <c r="F18" s="88" t="s">
        <v>597</v>
      </c>
    </row>
    <row r="19" spans="1:6" ht="26.4">
      <c r="B19" s="86">
        <v>106</v>
      </c>
      <c r="D19" s="88" t="s">
        <v>418</v>
      </c>
      <c r="E19" s="88" t="s">
        <v>598</v>
      </c>
      <c r="F19" s="88" t="s">
        <v>598</v>
      </c>
    </row>
    <row r="20" spans="1:6" ht="39.6">
      <c r="B20" s="86">
        <v>107</v>
      </c>
      <c r="D20" s="88" t="s">
        <v>419</v>
      </c>
      <c r="E20" s="88" t="s">
        <v>599</v>
      </c>
      <c r="F20" s="88" t="s">
        <v>599</v>
      </c>
    </row>
    <row r="21" spans="1:6" ht="39.6">
      <c r="B21" s="86">
        <v>108</v>
      </c>
      <c r="D21" s="88" t="s">
        <v>420</v>
      </c>
      <c r="E21" s="88" t="s">
        <v>600</v>
      </c>
      <c r="F21" s="88" t="s">
        <v>600</v>
      </c>
    </row>
    <row r="22" spans="1:6">
      <c r="B22" s="86">
        <v>109</v>
      </c>
      <c r="D22" s="88" t="s">
        <v>71</v>
      </c>
      <c r="E22" s="88" t="s">
        <v>601</v>
      </c>
      <c r="F22" s="88" t="s">
        <v>601</v>
      </c>
    </row>
    <row r="23" spans="1:6">
      <c r="B23" s="86">
        <v>110</v>
      </c>
      <c r="D23" s="88" t="s">
        <v>72</v>
      </c>
      <c r="E23" s="88" t="s">
        <v>602</v>
      </c>
      <c r="F23" s="88" t="s">
        <v>602</v>
      </c>
    </row>
    <row r="24" spans="1:6">
      <c r="B24" s="86">
        <v>111</v>
      </c>
      <c r="D24" s="88" t="s">
        <v>73</v>
      </c>
      <c r="E24" s="88" t="s">
        <v>603</v>
      </c>
      <c r="F24" s="88" t="s">
        <v>603</v>
      </c>
    </row>
    <row r="25" spans="1:6">
      <c r="A25" s="155"/>
      <c r="B25" s="86">
        <v>112</v>
      </c>
      <c r="C25" s="156" t="s">
        <v>490</v>
      </c>
      <c r="D25" s="154" t="s">
        <v>507</v>
      </c>
      <c r="E25" s="154" t="s">
        <v>577</v>
      </c>
      <c r="F25" s="154" t="s">
        <v>577</v>
      </c>
    </row>
    <row r="26" spans="1:6">
      <c r="B26" s="86">
        <v>113</v>
      </c>
      <c r="D26" s="88" t="s">
        <v>74</v>
      </c>
      <c r="E26" s="88" t="s">
        <v>577</v>
      </c>
      <c r="F26" s="88" t="s">
        <v>577</v>
      </c>
    </row>
    <row r="27" spans="1:6">
      <c r="B27" s="86">
        <v>114</v>
      </c>
      <c r="C27" s="87" t="s">
        <v>1110</v>
      </c>
      <c r="D27" s="88" t="s">
        <v>1146</v>
      </c>
      <c r="E27" s="88" t="s">
        <v>1119</v>
      </c>
      <c r="F27" s="88" t="s">
        <v>1119</v>
      </c>
    </row>
    <row r="28" spans="1:6">
      <c r="B28" s="86">
        <v>115</v>
      </c>
      <c r="D28" s="88" t="s">
        <v>1233</v>
      </c>
      <c r="E28" s="88" t="s">
        <v>1234</v>
      </c>
      <c r="F28" s="88" t="s">
        <v>1234</v>
      </c>
    </row>
    <row r="29" spans="1:6" ht="26.4">
      <c r="B29" s="86">
        <v>116</v>
      </c>
      <c r="D29" s="88" t="s">
        <v>75</v>
      </c>
      <c r="E29" s="88" t="s">
        <v>604</v>
      </c>
      <c r="F29" s="88" t="s">
        <v>604</v>
      </c>
    </row>
    <row r="30" spans="1:6">
      <c r="B30" s="86">
        <v>117</v>
      </c>
      <c r="D30" s="88" t="s">
        <v>76</v>
      </c>
      <c r="E30" s="88" t="s">
        <v>605</v>
      </c>
      <c r="F30" s="88" t="s">
        <v>605</v>
      </c>
    </row>
    <row r="31" spans="1:6" ht="26.4">
      <c r="B31" s="86">
        <v>118</v>
      </c>
      <c r="D31" s="88" t="s">
        <v>421</v>
      </c>
      <c r="E31" s="88" t="s">
        <v>606</v>
      </c>
      <c r="F31" s="88" t="s">
        <v>606</v>
      </c>
    </row>
    <row r="32" spans="1:6">
      <c r="B32" s="86">
        <v>119</v>
      </c>
      <c r="D32" s="88" t="s">
        <v>1059</v>
      </c>
      <c r="E32" s="88" t="s">
        <v>1060</v>
      </c>
      <c r="F32" s="88" t="s">
        <v>1060</v>
      </c>
    </row>
    <row r="33" spans="2:6">
      <c r="B33" s="86">
        <v>120</v>
      </c>
      <c r="D33" s="88" t="s">
        <v>1032</v>
      </c>
      <c r="E33" s="88" t="s">
        <v>1033</v>
      </c>
      <c r="F33" s="88" t="s">
        <v>1033</v>
      </c>
    </row>
    <row r="34" spans="2:6" ht="26.4">
      <c r="B34" s="86">
        <v>121</v>
      </c>
      <c r="D34" s="88" t="s">
        <v>77</v>
      </c>
      <c r="E34" s="88" t="s">
        <v>607</v>
      </c>
      <c r="F34" s="88" t="s">
        <v>607</v>
      </c>
    </row>
    <row r="35" spans="2:6">
      <c r="B35" s="86">
        <v>122</v>
      </c>
      <c r="D35" s="88" t="s">
        <v>78</v>
      </c>
      <c r="E35" s="88" t="s">
        <v>608</v>
      </c>
      <c r="F35" s="88" t="s">
        <v>608</v>
      </c>
    </row>
    <row r="36" spans="2:6">
      <c r="B36" s="86">
        <v>123</v>
      </c>
      <c r="D36" s="88" t="s">
        <v>416</v>
      </c>
      <c r="E36" s="88" t="s">
        <v>561</v>
      </c>
      <c r="F36" s="88" t="s">
        <v>561</v>
      </c>
    </row>
    <row r="37" spans="2:6">
      <c r="B37" s="86">
        <v>124</v>
      </c>
      <c r="D37" s="88" t="s">
        <v>79</v>
      </c>
      <c r="E37" s="88" t="s">
        <v>609</v>
      </c>
      <c r="F37" s="88" t="s">
        <v>609</v>
      </c>
    </row>
    <row r="38" spans="2:6" ht="26.4">
      <c r="B38" s="86">
        <v>125</v>
      </c>
      <c r="D38" s="88" t="s">
        <v>1063</v>
      </c>
      <c r="E38" s="88" t="s">
        <v>1064</v>
      </c>
      <c r="F38" s="88" t="s">
        <v>1064</v>
      </c>
    </row>
    <row r="39" spans="2:6" ht="26.4">
      <c r="B39" s="86">
        <v>126</v>
      </c>
      <c r="D39" s="88" t="s">
        <v>1062</v>
      </c>
      <c r="E39" s="88" t="s">
        <v>1061</v>
      </c>
      <c r="F39" s="88" t="s">
        <v>1061</v>
      </c>
    </row>
    <row r="40" spans="2:6" ht="26.4">
      <c r="B40" s="86">
        <v>127</v>
      </c>
      <c r="D40" s="88" t="s">
        <v>80</v>
      </c>
      <c r="E40" s="88" t="s">
        <v>610</v>
      </c>
      <c r="F40" s="88" t="s">
        <v>610</v>
      </c>
    </row>
    <row r="41" spans="2:6" ht="26.4">
      <c r="B41" s="86">
        <v>128</v>
      </c>
      <c r="D41" s="88" t="s">
        <v>81</v>
      </c>
      <c r="E41" s="88" t="s">
        <v>611</v>
      </c>
      <c r="F41" s="88" t="s">
        <v>611</v>
      </c>
    </row>
    <row r="42" spans="2:6" ht="26.4">
      <c r="B42" s="86">
        <v>129</v>
      </c>
      <c r="D42" s="88" t="s">
        <v>417</v>
      </c>
      <c r="E42" s="88" t="s">
        <v>562</v>
      </c>
      <c r="F42" s="88" t="s">
        <v>562</v>
      </c>
    </row>
    <row r="43" spans="2:6">
      <c r="B43" s="86">
        <v>130</v>
      </c>
      <c r="D43" s="88" t="s">
        <v>82</v>
      </c>
      <c r="E43" s="88" t="s">
        <v>612</v>
      </c>
      <c r="F43" s="88" t="s">
        <v>612</v>
      </c>
    </row>
    <row r="44" spans="2:6">
      <c r="B44" s="86">
        <v>131</v>
      </c>
      <c r="D44" s="88" t="s">
        <v>422</v>
      </c>
      <c r="E44" s="88" t="s">
        <v>613</v>
      </c>
      <c r="F44" s="88" t="s">
        <v>613</v>
      </c>
    </row>
    <row r="45" spans="2:6">
      <c r="B45" s="86">
        <v>132</v>
      </c>
      <c r="D45" s="88" t="s">
        <v>83</v>
      </c>
      <c r="E45" s="88" t="s">
        <v>614</v>
      </c>
      <c r="F45" s="88" t="s">
        <v>614</v>
      </c>
    </row>
    <row r="46" spans="2:6">
      <c r="B46" s="86">
        <v>133</v>
      </c>
      <c r="D46" s="88" t="s">
        <v>1431</v>
      </c>
      <c r="E46" s="88" t="s">
        <v>615</v>
      </c>
      <c r="F46" s="88" t="s">
        <v>615</v>
      </c>
    </row>
    <row r="47" spans="2:6">
      <c r="B47" s="86">
        <v>134</v>
      </c>
      <c r="D47" s="88" t="s">
        <v>1430</v>
      </c>
      <c r="E47" s="88" t="s">
        <v>616</v>
      </c>
      <c r="F47" s="88" t="s">
        <v>616</v>
      </c>
    </row>
    <row r="48" spans="2:6">
      <c r="B48" s="86">
        <v>135</v>
      </c>
      <c r="D48" s="154" t="s">
        <v>1429</v>
      </c>
      <c r="E48" s="157">
        <v>43435</v>
      </c>
      <c r="F48" s="157">
        <v>43435</v>
      </c>
    </row>
    <row r="49" spans="2:6">
      <c r="B49" s="86">
        <v>136</v>
      </c>
      <c r="D49" s="154" t="s">
        <v>423</v>
      </c>
      <c r="E49" s="157">
        <v>43465</v>
      </c>
      <c r="F49" s="157">
        <v>43465</v>
      </c>
    </row>
    <row r="50" spans="2:6">
      <c r="B50" s="86">
        <v>137</v>
      </c>
      <c r="D50" s="88" t="s">
        <v>84</v>
      </c>
      <c r="E50" s="88" t="s">
        <v>84</v>
      </c>
      <c r="F50" s="88" t="s">
        <v>84</v>
      </c>
    </row>
    <row r="51" spans="2:6">
      <c r="B51" s="86">
        <v>138</v>
      </c>
      <c r="D51" s="88" t="s">
        <v>85</v>
      </c>
      <c r="E51" s="88" t="s">
        <v>617</v>
      </c>
      <c r="F51" s="88" t="s">
        <v>617</v>
      </c>
    </row>
    <row r="52" spans="2:6">
      <c r="B52" s="86">
        <v>139</v>
      </c>
      <c r="C52" s="87" t="s">
        <v>508</v>
      </c>
      <c r="D52" s="88" t="s">
        <v>509</v>
      </c>
      <c r="E52" s="88" t="s">
        <v>510</v>
      </c>
      <c r="F52" s="88" t="s">
        <v>510</v>
      </c>
    </row>
    <row r="53" spans="2:6" ht="26.4">
      <c r="B53" s="86">
        <v>140</v>
      </c>
      <c r="D53" s="88" t="s">
        <v>86</v>
      </c>
      <c r="E53" s="88" t="s">
        <v>618</v>
      </c>
      <c r="F53" s="88" t="s">
        <v>618</v>
      </c>
    </row>
    <row r="54" spans="2:6" ht="26.4">
      <c r="B54" s="86">
        <v>141</v>
      </c>
      <c r="D54" s="88" t="s">
        <v>87</v>
      </c>
      <c r="E54" s="88" t="s">
        <v>619</v>
      </c>
      <c r="F54" s="88" t="s">
        <v>619</v>
      </c>
    </row>
    <row r="55" spans="2:6">
      <c r="B55" s="86">
        <v>142</v>
      </c>
      <c r="D55" s="88" t="s">
        <v>1022</v>
      </c>
      <c r="E55" s="88" t="s">
        <v>1023</v>
      </c>
      <c r="F55" s="88" t="s">
        <v>1023</v>
      </c>
    </row>
    <row r="56" spans="2:6">
      <c r="B56" s="86">
        <v>143</v>
      </c>
      <c r="C56" s="87" t="s">
        <v>585</v>
      </c>
      <c r="D56" s="85" t="s">
        <v>424</v>
      </c>
      <c r="E56" s="158" t="s">
        <v>574</v>
      </c>
      <c r="F56" s="158" t="s">
        <v>574</v>
      </c>
    </row>
    <row r="57" spans="2:6">
      <c r="B57" s="86">
        <v>144</v>
      </c>
      <c r="D57" s="88" t="s">
        <v>88</v>
      </c>
      <c r="E57" s="88" t="s">
        <v>620</v>
      </c>
      <c r="F57" s="88" t="s">
        <v>620</v>
      </c>
    </row>
    <row r="58" spans="2:6" ht="26.4">
      <c r="B58" s="86">
        <v>145</v>
      </c>
      <c r="D58" s="88" t="s">
        <v>89</v>
      </c>
      <c r="E58" s="88" t="s">
        <v>621</v>
      </c>
      <c r="F58" s="88" t="s">
        <v>621</v>
      </c>
    </row>
    <row r="59" spans="2:6">
      <c r="B59" s="86">
        <v>146</v>
      </c>
      <c r="D59" s="88" t="s">
        <v>90</v>
      </c>
      <c r="E59" s="88" t="s">
        <v>622</v>
      </c>
      <c r="F59" s="88" t="s">
        <v>622</v>
      </c>
    </row>
    <row r="60" spans="2:6" ht="26.4">
      <c r="B60" s="86">
        <v>147</v>
      </c>
      <c r="D60" s="88" t="s">
        <v>91</v>
      </c>
      <c r="E60" s="88" t="s">
        <v>623</v>
      </c>
      <c r="F60" s="88" t="s">
        <v>623</v>
      </c>
    </row>
    <row r="61" spans="2:6">
      <c r="B61" s="86">
        <v>148</v>
      </c>
      <c r="D61" s="88" t="s">
        <v>1024</v>
      </c>
      <c r="E61" s="88" t="s">
        <v>1025</v>
      </c>
      <c r="F61" s="88" t="s">
        <v>1025</v>
      </c>
    </row>
    <row r="62" spans="2:6">
      <c r="B62" s="86">
        <v>149</v>
      </c>
      <c r="D62" s="88" t="s">
        <v>1026</v>
      </c>
      <c r="E62" s="88" t="s">
        <v>1027</v>
      </c>
      <c r="F62" s="88" t="s">
        <v>1027</v>
      </c>
    </row>
    <row r="63" spans="2:6">
      <c r="B63" s="86">
        <v>150</v>
      </c>
      <c r="D63" s="88" t="s">
        <v>92</v>
      </c>
      <c r="E63" s="88" t="s">
        <v>624</v>
      </c>
      <c r="F63" s="88" t="s">
        <v>624</v>
      </c>
    </row>
    <row r="64" spans="2:6">
      <c r="B64" s="86">
        <v>151</v>
      </c>
      <c r="C64" s="87" t="s">
        <v>585</v>
      </c>
      <c r="D64" s="85" t="s">
        <v>425</v>
      </c>
      <c r="E64" s="158" t="s">
        <v>573</v>
      </c>
      <c r="F64" s="158" t="s">
        <v>573</v>
      </c>
    </row>
    <row r="65" spans="1:6">
      <c r="B65" s="86">
        <v>152</v>
      </c>
      <c r="D65" s="88" t="s">
        <v>93</v>
      </c>
      <c r="E65" s="88" t="s">
        <v>625</v>
      </c>
      <c r="F65" s="88" t="s">
        <v>625</v>
      </c>
    </row>
    <row r="66" spans="1:6">
      <c r="B66" s="86">
        <v>153</v>
      </c>
      <c r="D66" s="88" t="s">
        <v>94</v>
      </c>
      <c r="E66" s="88" t="s">
        <v>626</v>
      </c>
      <c r="F66" s="88" t="s">
        <v>626</v>
      </c>
    </row>
    <row r="67" spans="1:6">
      <c r="B67" s="86">
        <v>154</v>
      </c>
      <c r="D67" s="88" t="s">
        <v>95</v>
      </c>
      <c r="E67" s="88" t="s">
        <v>627</v>
      </c>
      <c r="F67" s="88" t="s">
        <v>627</v>
      </c>
    </row>
    <row r="68" spans="1:6" ht="26.4">
      <c r="B68" s="86">
        <v>155</v>
      </c>
      <c r="D68" s="88" t="s">
        <v>96</v>
      </c>
      <c r="E68" s="88" t="s">
        <v>628</v>
      </c>
      <c r="F68" s="88" t="s">
        <v>628</v>
      </c>
    </row>
    <row r="69" spans="1:6">
      <c r="B69" s="86">
        <v>156</v>
      </c>
      <c r="C69" s="87" t="s">
        <v>585</v>
      </c>
      <c r="D69" s="85" t="s">
        <v>583</v>
      </c>
      <c r="E69" s="158" t="s">
        <v>576</v>
      </c>
      <c r="F69" s="158" t="s">
        <v>576</v>
      </c>
    </row>
    <row r="70" spans="1:6">
      <c r="B70" s="86">
        <v>157</v>
      </c>
      <c r="C70" s="87" t="s">
        <v>585</v>
      </c>
      <c r="D70" s="85" t="s">
        <v>582</v>
      </c>
      <c r="E70" s="158" t="s">
        <v>575</v>
      </c>
      <c r="F70" s="158" t="s">
        <v>575</v>
      </c>
    </row>
    <row r="71" spans="1:6">
      <c r="B71" s="86">
        <v>158</v>
      </c>
      <c r="D71" s="88" t="s">
        <v>426</v>
      </c>
      <c r="E71" s="88" t="s">
        <v>629</v>
      </c>
      <c r="F71" s="88" t="s">
        <v>629</v>
      </c>
    </row>
    <row r="72" spans="1:6">
      <c r="A72" s="159"/>
      <c r="B72" s="86">
        <v>159</v>
      </c>
      <c r="C72" s="156" t="s">
        <v>490</v>
      </c>
      <c r="D72" s="154" t="s">
        <v>511</v>
      </c>
      <c r="E72" s="154" t="s">
        <v>630</v>
      </c>
      <c r="F72" s="154" t="s">
        <v>630</v>
      </c>
    </row>
    <row r="73" spans="1:6">
      <c r="B73" s="86">
        <v>160</v>
      </c>
      <c r="D73" s="88" t="s">
        <v>97</v>
      </c>
      <c r="E73" s="154" t="s">
        <v>631</v>
      </c>
      <c r="F73" s="154" t="s">
        <v>631</v>
      </c>
    </row>
    <row r="74" spans="1:6">
      <c r="B74" s="86">
        <v>161</v>
      </c>
      <c r="D74" s="88" t="s">
        <v>98</v>
      </c>
      <c r="E74" s="154" t="s">
        <v>632</v>
      </c>
      <c r="F74" s="154" t="s">
        <v>632</v>
      </c>
    </row>
    <row r="75" spans="1:6">
      <c r="B75" s="86">
        <v>162</v>
      </c>
      <c r="D75" s="88" t="s">
        <v>1052</v>
      </c>
      <c r="E75" s="88" t="s">
        <v>1047</v>
      </c>
      <c r="F75" s="88" t="s">
        <v>1047</v>
      </c>
    </row>
    <row r="76" spans="1:6">
      <c r="B76" s="86">
        <v>163</v>
      </c>
      <c r="D76" s="88" t="s">
        <v>1048</v>
      </c>
      <c r="E76" s="88" t="s">
        <v>1049</v>
      </c>
      <c r="F76" s="88" t="s">
        <v>1049</v>
      </c>
    </row>
    <row r="77" spans="1:6">
      <c r="B77" s="86">
        <v>164</v>
      </c>
      <c r="D77" s="88" t="s">
        <v>1045</v>
      </c>
      <c r="E77" s="88" t="s">
        <v>1046</v>
      </c>
      <c r="F77" s="88" t="s">
        <v>1046</v>
      </c>
    </row>
    <row r="78" spans="1:6">
      <c r="A78" s="159"/>
      <c r="B78" s="86">
        <v>165</v>
      </c>
      <c r="C78" s="156" t="s">
        <v>490</v>
      </c>
      <c r="D78" s="154" t="s">
        <v>512</v>
      </c>
      <c r="E78" s="154" t="s">
        <v>633</v>
      </c>
      <c r="F78" s="154" t="s">
        <v>633</v>
      </c>
    </row>
    <row r="79" spans="1:6">
      <c r="A79" s="159"/>
      <c r="B79" s="86">
        <v>166</v>
      </c>
      <c r="C79" s="156" t="s">
        <v>490</v>
      </c>
      <c r="D79" s="154" t="s">
        <v>513</v>
      </c>
      <c r="E79" s="154" t="s">
        <v>634</v>
      </c>
      <c r="F79" s="154" t="s">
        <v>634</v>
      </c>
    </row>
    <row r="80" spans="1:6">
      <c r="A80" s="159"/>
      <c r="B80" s="86">
        <v>167</v>
      </c>
      <c r="C80" s="156" t="s">
        <v>490</v>
      </c>
      <c r="D80" s="154" t="s">
        <v>514</v>
      </c>
      <c r="E80" s="154" t="s">
        <v>635</v>
      </c>
      <c r="F80" s="154" t="s">
        <v>635</v>
      </c>
    </row>
    <row r="81" spans="1:6">
      <c r="A81" s="159"/>
      <c r="B81" s="86">
        <v>168</v>
      </c>
      <c r="C81" s="156" t="s">
        <v>490</v>
      </c>
      <c r="D81" s="154" t="s">
        <v>498</v>
      </c>
      <c r="E81" s="154" t="s">
        <v>636</v>
      </c>
      <c r="F81" s="154" t="s">
        <v>636</v>
      </c>
    </row>
    <row r="82" spans="1:6">
      <c r="B82" s="86">
        <v>169</v>
      </c>
      <c r="D82" s="88" t="s">
        <v>99</v>
      </c>
      <c r="E82" s="88" t="s">
        <v>637</v>
      </c>
      <c r="F82" s="88" t="s">
        <v>637</v>
      </c>
    </row>
    <row r="83" spans="1:6">
      <c r="B83" s="86">
        <v>170</v>
      </c>
      <c r="D83" s="88" t="s">
        <v>100</v>
      </c>
      <c r="E83" s="88" t="s">
        <v>638</v>
      </c>
      <c r="F83" s="88" t="s">
        <v>638</v>
      </c>
    </row>
    <row r="84" spans="1:6">
      <c r="B84" s="86">
        <v>171</v>
      </c>
      <c r="D84" s="88" t="s">
        <v>515</v>
      </c>
      <c r="E84" s="88" t="s">
        <v>639</v>
      </c>
      <c r="F84" s="88" t="s">
        <v>639</v>
      </c>
    </row>
    <row r="85" spans="1:6">
      <c r="B85" s="86">
        <v>172</v>
      </c>
      <c r="D85" s="88" t="s">
        <v>101</v>
      </c>
      <c r="E85" s="88" t="s">
        <v>640</v>
      </c>
      <c r="F85" s="88" t="s">
        <v>640</v>
      </c>
    </row>
    <row r="86" spans="1:6">
      <c r="B86" s="86">
        <v>173</v>
      </c>
      <c r="D86" s="88" t="s">
        <v>102</v>
      </c>
      <c r="E86" s="88" t="s">
        <v>641</v>
      </c>
      <c r="F86" s="88" t="s">
        <v>641</v>
      </c>
    </row>
    <row r="87" spans="1:6">
      <c r="B87" s="86">
        <v>174</v>
      </c>
      <c r="D87" s="88" t="s">
        <v>103</v>
      </c>
      <c r="E87" s="88" t="s">
        <v>1108</v>
      </c>
      <c r="F87" s="88" t="s">
        <v>1108</v>
      </c>
    </row>
    <row r="88" spans="1:6">
      <c r="B88" s="86">
        <v>175</v>
      </c>
      <c r="D88" s="88" t="s">
        <v>104</v>
      </c>
      <c r="E88" s="88" t="s">
        <v>642</v>
      </c>
      <c r="F88" s="88" t="s">
        <v>642</v>
      </c>
    </row>
    <row r="89" spans="1:6" ht="26.4">
      <c r="B89" s="86">
        <v>176</v>
      </c>
      <c r="D89" s="88" t="s">
        <v>105</v>
      </c>
      <c r="E89" s="88" t="s">
        <v>567</v>
      </c>
      <c r="F89" s="88" t="s">
        <v>567</v>
      </c>
    </row>
    <row r="90" spans="1:6">
      <c r="B90" s="86">
        <v>177</v>
      </c>
      <c r="D90" s="88" t="s">
        <v>106</v>
      </c>
      <c r="E90" s="88" t="s">
        <v>643</v>
      </c>
      <c r="F90" s="88" t="s">
        <v>643</v>
      </c>
    </row>
    <row r="91" spans="1:6">
      <c r="B91" s="86">
        <v>178</v>
      </c>
      <c r="D91" s="88" t="s">
        <v>107</v>
      </c>
      <c r="E91" s="88" t="s">
        <v>644</v>
      </c>
      <c r="F91" s="88" t="s">
        <v>644</v>
      </c>
    </row>
    <row r="92" spans="1:6">
      <c r="B92" s="86">
        <v>179</v>
      </c>
      <c r="D92" s="88" t="s">
        <v>108</v>
      </c>
      <c r="E92" s="88" t="s">
        <v>645</v>
      </c>
      <c r="F92" s="88" t="s">
        <v>645</v>
      </c>
    </row>
    <row r="93" spans="1:6">
      <c r="B93" s="86">
        <v>180</v>
      </c>
      <c r="D93" s="88" t="s">
        <v>427</v>
      </c>
      <c r="E93" s="88" t="s">
        <v>646</v>
      </c>
      <c r="F93" s="88" t="s">
        <v>646</v>
      </c>
    </row>
    <row r="94" spans="1:6">
      <c r="B94" s="86">
        <v>181</v>
      </c>
      <c r="C94" s="87" t="s">
        <v>1110</v>
      </c>
      <c r="D94" s="88" t="s">
        <v>1163</v>
      </c>
      <c r="E94" s="88" t="s">
        <v>1126</v>
      </c>
      <c r="F94" s="88" t="s">
        <v>1126</v>
      </c>
    </row>
    <row r="95" spans="1:6" ht="39.6">
      <c r="B95" s="86">
        <v>182</v>
      </c>
      <c r="C95" s="87" t="s">
        <v>1110</v>
      </c>
      <c r="D95" s="88" t="s">
        <v>1196</v>
      </c>
      <c r="E95" s="88" t="s">
        <v>1135</v>
      </c>
      <c r="F95" s="88" t="s">
        <v>1135</v>
      </c>
    </row>
    <row r="96" spans="1:6">
      <c r="B96" s="86">
        <v>183</v>
      </c>
      <c r="D96" s="88" t="s">
        <v>109</v>
      </c>
      <c r="E96" s="88" t="s">
        <v>647</v>
      </c>
      <c r="F96" s="88" t="s">
        <v>647</v>
      </c>
    </row>
    <row r="97" spans="2:6">
      <c r="B97" s="86">
        <v>184</v>
      </c>
      <c r="D97" s="88" t="s">
        <v>1335</v>
      </c>
      <c r="E97" s="88" t="s">
        <v>1418</v>
      </c>
      <c r="F97" s="88" t="s">
        <v>1418</v>
      </c>
    </row>
    <row r="98" spans="2:6">
      <c r="B98" s="86">
        <v>185</v>
      </c>
      <c r="D98" s="88" t="s">
        <v>110</v>
      </c>
      <c r="E98" s="88" t="s">
        <v>648</v>
      </c>
      <c r="F98" s="88" t="s">
        <v>648</v>
      </c>
    </row>
    <row r="99" spans="2:6" ht="26.4">
      <c r="B99" s="86">
        <v>186</v>
      </c>
      <c r="D99" s="88" t="s">
        <v>111</v>
      </c>
      <c r="E99" s="88" t="s">
        <v>649</v>
      </c>
      <c r="F99" s="88" t="s">
        <v>649</v>
      </c>
    </row>
    <row r="100" spans="2:6" ht="26.4">
      <c r="B100" s="86">
        <v>187</v>
      </c>
      <c r="D100" s="88" t="s">
        <v>112</v>
      </c>
      <c r="E100" s="88" t="s">
        <v>650</v>
      </c>
      <c r="F100" s="88" t="s">
        <v>650</v>
      </c>
    </row>
    <row r="101" spans="2:6" ht="26.4">
      <c r="B101" s="86">
        <v>188</v>
      </c>
      <c r="D101" s="88" t="s">
        <v>113</v>
      </c>
      <c r="E101" s="88" t="s">
        <v>651</v>
      </c>
      <c r="F101" s="88" t="s">
        <v>651</v>
      </c>
    </row>
    <row r="102" spans="2:6">
      <c r="B102" s="86">
        <v>189</v>
      </c>
      <c r="D102" s="88" t="s">
        <v>114</v>
      </c>
      <c r="E102" s="88" t="s">
        <v>652</v>
      </c>
      <c r="F102" s="88" t="s">
        <v>652</v>
      </c>
    </row>
    <row r="103" spans="2:6">
      <c r="B103" s="86">
        <v>190</v>
      </c>
      <c r="C103" s="87" t="s">
        <v>1110</v>
      </c>
      <c r="D103" s="88" t="s">
        <v>1161</v>
      </c>
      <c r="E103" s="88" t="s">
        <v>1125</v>
      </c>
      <c r="F103" s="88" t="s">
        <v>1125</v>
      </c>
    </row>
    <row r="104" spans="2:6">
      <c r="B104" s="86">
        <v>191</v>
      </c>
      <c r="D104" s="88" t="s">
        <v>1203</v>
      </c>
      <c r="E104" s="88" t="s">
        <v>1204</v>
      </c>
      <c r="F104" s="88" t="s">
        <v>1204</v>
      </c>
    </row>
    <row r="105" spans="2:6">
      <c r="B105" s="86">
        <v>192</v>
      </c>
      <c r="D105" s="88" t="s">
        <v>546</v>
      </c>
      <c r="E105" s="88" t="s">
        <v>548</v>
      </c>
      <c r="F105" s="88" t="s">
        <v>548</v>
      </c>
    </row>
    <row r="106" spans="2:6">
      <c r="B106" s="86">
        <v>193</v>
      </c>
      <c r="D106" s="88" t="s">
        <v>547</v>
      </c>
      <c r="E106" s="88" t="s">
        <v>956</v>
      </c>
      <c r="F106" s="88" t="s">
        <v>956</v>
      </c>
    </row>
    <row r="107" spans="2:6">
      <c r="B107" s="86">
        <v>194</v>
      </c>
      <c r="D107" s="88" t="s">
        <v>115</v>
      </c>
      <c r="E107" s="88" t="s">
        <v>653</v>
      </c>
      <c r="F107" s="88" t="s">
        <v>653</v>
      </c>
    </row>
    <row r="108" spans="2:6">
      <c r="B108" s="86">
        <v>195</v>
      </c>
      <c r="D108" s="88" t="s">
        <v>116</v>
      </c>
      <c r="E108" s="88" t="s">
        <v>654</v>
      </c>
      <c r="F108" s="88" t="s">
        <v>654</v>
      </c>
    </row>
    <row r="109" spans="2:6">
      <c r="B109" s="86">
        <v>196</v>
      </c>
      <c r="D109" s="88" t="s">
        <v>428</v>
      </c>
      <c r="E109" s="88" t="s">
        <v>655</v>
      </c>
      <c r="F109" s="88" t="s">
        <v>655</v>
      </c>
    </row>
    <row r="110" spans="2:6" ht="26.4">
      <c r="B110" s="86">
        <v>197</v>
      </c>
      <c r="D110" s="88" t="s">
        <v>429</v>
      </c>
      <c r="E110" s="88" t="s">
        <v>656</v>
      </c>
      <c r="F110" s="88" t="s">
        <v>656</v>
      </c>
    </row>
    <row r="111" spans="2:6" ht="26.4">
      <c r="B111" s="86">
        <v>198</v>
      </c>
      <c r="D111" s="88" t="s">
        <v>117</v>
      </c>
      <c r="E111" s="88" t="s">
        <v>657</v>
      </c>
      <c r="F111" s="88" t="s">
        <v>657</v>
      </c>
    </row>
    <row r="112" spans="2:6">
      <c r="B112" s="86">
        <v>199</v>
      </c>
      <c r="D112" s="88" t="s">
        <v>1337</v>
      </c>
      <c r="E112" s="88" t="s">
        <v>1419</v>
      </c>
      <c r="F112" s="88" t="s">
        <v>1419</v>
      </c>
    </row>
    <row r="113" spans="2:6">
      <c r="B113" s="86">
        <v>200</v>
      </c>
      <c r="D113" s="88" t="s">
        <v>118</v>
      </c>
      <c r="E113" s="88" t="s">
        <v>119</v>
      </c>
      <c r="F113" s="88" t="s">
        <v>119</v>
      </c>
    </row>
    <row r="114" spans="2:6">
      <c r="B114" s="86">
        <v>201</v>
      </c>
      <c r="D114" s="88" t="s">
        <v>1257</v>
      </c>
      <c r="E114" s="88" t="s">
        <v>1258</v>
      </c>
      <c r="F114" s="88" t="s">
        <v>1258</v>
      </c>
    </row>
    <row r="115" spans="2:6">
      <c r="B115" s="86">
        <v>202</v>
      </c>
      <c r="D115" s="88" t="s">
        <v>430</v>
      </c>
      <c r="E115" s="88" t="s">
        <v>658</v>
      </c>
      <c r="F115" s="88" t="s">
        <v>658</v>
      </c>
    </row>
    <row r="116" spans="2:6">
      <c r="B116" s="86">
        <v>203</v>
      </c>
      <c r="D116" s="88" t="s">
        <v>431</v>
      </c>
      <c r="E116" s="88" t="s">
        <v>659</v>
      </c>
      <c r="F116" s="88" t="s">
        <v>659</v>
      </c>
    </row>
    <row r="117" spans="2:6">
      <c r="B117" s="86">
        <v>204</v>
      </c>
      <c r="D117" s="88" t="s">
        <v>432</v>
      </c>
      <c r="E117" s="88" t="s">
        <v>523</v>
      </c>
      <c r="F117" s="88" t="s">
        <v>523</v>
      </c>
    </row>
    <row r="118" spans="2:6">
      <c r="B118" s="86">
        <v>205</v>
      </c>
      <c r="D118" s="88" t="s">
        <v>1237</v>
      </c>
      <c r="E118" s="88" t="s">
        <v>1236</v>
      </c>
      <c r="F118" s="88" t="s">
        <v>1236</v>
      </c>
    </row>
    <row r="119" spans="2:6">
      <c r="B119" s="86">
        <v>206</v>
      </c>
      <c r="D119" s="88" t="s">
        <v>1217</v>
      </c>
      <c r="E119" s="88" t="s">
        <v>1218</v>
      </c>
      <c r="F119" s="88" t="s">
        <v>1218</v>
      </c>
    </row>
    <row r="120" spans="2:6">
      <c r="B120" s="86">
        <v>207</v>
      </c>
      <c r="D120" s="88" t="s">
        <v>120</v>
      </c>
      <c r="E120" s="88" t="s">
        <v>660</v>
      </c>
      <c r="F120" s="88" t="s">
        <v>660</v>
      </c>
    </row>
    <row r="121" spans="2:6" ht="26.4">
      <c r="B121" s="86">
        <v>208</v>
      </c>
      <c r="D121" s="88" t="s">
        <v>121</v>
      </c>
      <c r="E121" s="88" t="s">
        <v>661</v>
      </c>
      <c r="F121" s="88" t="s">
        <v>661</v>
      </c>
    </row>
    <row r="122" spans="2:6" ht="26.4">
      <c r="B122" s="86">
        <v>209</v>
      </c>
      <c r="D122" s="88" t="s">
        <v>122</v>
      </c>
      <c r="E122" s="88" t="s">
        <v>662</v>
      </c>
      <c r="F122" s="88" t="s">
        <v>662</v>
      </c>
    </row>
    <row r="123" spans="2:6">
      <c r="B123" s="86">
        <v>210</v>
      </c>
      <c r="D123" s="88" t="s">
        <v>550</v>
      </c>
      <c r="E123" s="88" t="s">
        <v>955</v>
      </c>
      <c r="F123" s="88" t="s">
        <v>955</v>
      </c>
    </row>
    <row r="124" spans="2:6">
      <c r="B124" s="86">
        <v>211</v>
      </c>
      <c r="D124" s="88" t="s">
        <v>123</v>
      </c>
      <c r="E124" s="88" t="s">
        <v>123</v>
      </c>
      <c r="F124" s="88" t="s">
        <v>123</v>
      </c>
    </row>
    <row r="125" spans="2:6">
      <c r="B125" s="86">
        <v>212</v>
      </c>
      <c r="D125" s="88" t="s">
        <v>124</v>
      </c>
      <c r="E125" s="88" t="s">
        <v>663</v>
      </c>
      <c r="F125" s="88" t="s">
        <v>663</v>
      </c>
    </row>
    <row r="126" spans="2:6">
      <c r="B126" s="86">
        <v>213</v>
      </c>
      <c r="D126" s="88" t="s">
        <v>125</v>
      </c>
      <c r="E126" s="88" t="s">
        <v>564</v>
      </c>
      <c r="F126" s="88" t="s">
        <v>564</v>
      </c>
    </row>
    <row r="127" spans="2:6">
      <c r="B127" s="86">
        <v>214</v>
      </c>
      <c r="D127" s="88" t="s">
        <v>126</v>
      </c>
      <c r="E127" s="88" t="s">
        <v>1009</v>
      </c>
      <c r="F127" s="88" t="s">
        <v>1009</v>
      </c>
    </row>
    <row r="128" spans="2:6">
      <c r="B128" s="86">
        <v>215</v>
      </c>
      <c r="D128" s="88" t="s">
        <v>433</v>
      </c>
      <c r="E128" s="88" t="s">
        <v>664</v>
      </c>
      <c r="F128" s="88" t="s">
        <v>664</v>
      </c>
    </row>
    <row r="129" spans="2:6">
      <c r="B129" s="86">
        <v>216</v>
      </c>
      <c r="D129" s="88" t="s">
        <v>127</v>
      </c>
      <c r="E129" s="88" t="s">
        <v>665</v>
      </c>
      <c r="F129" s="88" t="s">
        <v>665</v>
      </c>
    </row>
    <row r="130" spans="2:6">
      <c r="B130" s="86">
        <v>217</v>
      </c>
      <c r="D130" s="88" t="s">
        <v>434</v>
      </c>
      <c r="E130" s="88" t="s">
        <v>666</v>
      </c>
      <c r="F130" s="88" t="s">
        <v>666</v>
      </c>
    </row>
    <row r="131" spans="2:6">
      <c r="B131" s="86">
        <v>218</v>
      </c>
      <c r="D131" s="88" t="s">
        <v>128</v>
      </c>
      <c r="E131" s="88" t="s">
        <v>667</v>
      </c>
      <c r="F131" s="88" t="s">
        <v>667</v>
      </c>
    </row>
    <row r="132" spans="2:6">
      <c r="B132" s="86">
        <v>219</v>
      </c>
      <c r="D132" s="88" t="s">
        <v>129</v>
      </c>
      <c r="E132" s="88" t="s">
        <v>668</v>
      </c>
      <c r="F132" s="88" t="s">
        <v>668</v>
      </c>
    </row>
    <row r="133" spans="2:6">
      <c r="B133" s="86">
        <v>220</v>
      </c>
      <c r="D133" s="88" t="s">
        <v>130</v>
      </c>
      <c r="E133" s="88" t="s">
        <v>669</v>
      </c>
      <c r="F133" s="88" t="s">
        <v>669</v>
      </c>
    </row>
    <row r="134" spans="2:6">
      <c r="B134" s="86">
        <v>221</v>
      </c>
      <c r="D134" s="88" t="s">
        <v>435</v>
      </c>
      <c r="E134" s="88" t="s">
        <v>670</v>
      </c>
      <c r="F134" s="88" t="s">
        <v>670</v>
      </c>
    </row>
    <row r="135" spans="2:6">
      <c r="B135" s="86">
        <v>222</v>
      </c>
      <c r="D135" s="88" t="s">
        <v>131</v>
      </c>
      <c r="E135" s="88" t="s">
        <v>671</v>
      </c>
      <c r="F135" s="88" t="s">
        <v>671</v>
      </c>
    </row>
    <row r="136" spans="2:6">
      <c r="B136" s="86">
        <v>223</v>
      </c>
      <c r="D136" s="88" t="s">
        <v>132</v>
      </c>
      <c r="E136" s="88" t="s">
        <v>672</v>
      </c>
      <c r="F136" s="88" t="s">
        <v>672</v>
      </c>
    </row>
    <row r="137" spans="2:6">
      <c r="B137" s="86">
        <v>224</v>
      </c>
      <c r="C137" s="87" t="s">
        <v>585</v>
      </c>
      <c r="D137" s="88" t="s">
        <v>976</v>
      </c>
      <c r="E137" s="88" t="s">
        <v>977</v>
      </c>
      <c r="F137" s="88" t="s">
        <v>977</v>
      </c>
    </row>
    <row r="138" spans="2:6">
      <c r="B138" s="86">
        <v>225</v>
      </c>
      <c r="D138" s="88" t="s">
        <v>133</v>
      </c>
      <c r="E138" s="88" t="s">
        <v>673</v>
      </c>
      <c r="F138" s="88" t="s">
        <v>673</v>
      </c>
    </row>
    <row r="139" spans="2:6">
      <c r="B139" s="86">
        <v>226</v>
      </c>
      <c r="D139" s="88" t="s">
        <v>1198</v>
      </c>
      <c r="E139" s="88" t="s">
        <v>1199</v>
      </c>
      <c r="F139" s="88" t="s">
        <v>1199</v>
      </c>
    </row>
    <row r="140" spans="2:6">
      <c r="B140" s="86">
        <v>227</v>
      </c>
      <c r="D140" s="88" t="s">
        <v>436</v>
      </c>
      <c r="E140" s="88" t="s">
        <v>674</v>
      </c>
      <c r="F140" s="88" t="s">
        <v>674</v>
      </c>
    </row>
    <row r="141" spans="2:6">
      <c r="B141" s="86">
        <v>228</v>
      </c>
      <c r="D141" s="88" t="s">
        <v>437</v>
      </c>
      <c r="E141" s="88" t="s">
        <v>675</v>
      </c>
      <c r="F141" s="88" t="s">
        <v>675</v>
      </c>
    </row>
    <row r="142" spans="2:6">
      <c r="B142" s="86">
        <v>229</v>
      </c>
      <c r="D142" s="88" t="s">
        <v>1093</v>
      </c>
      <c r="E142" s="88" t="s">
        <v>1094</v>
      </c>
      <c r="F142" s="88" t="s">
        <v>1094</v>
      </c>
    </row>
    <row r="143" spans="2:6">
      <c r="B143" s="86">
        <v>230</v>
      </c>
      <c r="D143" s="88" t="s">
        <v>1091</v>
      </c>
      <c r="E143" s="88" t="s">
        <v>1092</v>
      </c>
      <c r="F143" s="88" t="s">
        <v>1092</v>
      </c>
    </row>
    <row r="144" spans="2:6">
      <c r="B144" s="86">
        <v>231</v>
      </c>
      <c r="D144" s="88" t="s">
        <v>438</v>
      </c>
      <c r="E144" s="88" t="s">
        <v>676</v>
      </c>
      <c r="F144" s="88" t="s">
        <v>676</v>
      </c>
    </row>
    <row r="145" spans="2:6">
      <c r="B145" s="86">
        <v>232</v>
      </c>
      <c r="D145" s="88" t="s">
        <v>1227</v>
      </c>
      <c r="E145" s="88" t="s">
        <v>1228</v>
      </c>
      <c r="F145" s="88" t="s">
        <v>1228</v>
      </c>
    </row>
    <row r="146" spans="2:6">
      <c r="B146" s="86">
        <v>233</v>
      </c>
      <c r="D146" s="88" t="s">
        <v>439</v>
      </c>
      <c r="E146" s="88" t="s">
        <v>677</v>
      </c>
      <c r="F146" s="88" t="s">
        <v>677</v>
      </c>
    </row>
    <row r="147" spans="2:6">
      <c r="B147" s="86">
        <v>234</v>
      </c>
      <c r="D147" s="88" t="s">
        <v>440</v>
      </c>
      <c r="E147" s="88" t="s">
        <v>678</v>
      </c>
      <c r="F147" s="88" t="s">
        <v>678</v>
      </c>
    </row>
    <row r="148" spans="2:6">
      <c r="B148" s="86">
        <v>235</v>
      </c>
      <c r="D148" s="88" t="s">
        <v>134</v>
      </c>
      <c r="E148" s="88" t="s">
        <v>563</v>
      </c>
      <c r="F148" s="88" t="s">
        <v>563</v>
      </c>
    </row>
    <row r="149" spans="2:6">
      <c r="B149" s="86">
        <v>236</v>
      </c>
      <c r="D149" s="88" t="s">
        <v>441</v>
      </c>
      <c r="E149" s="88" t="s">
        <v>679</v>
      </c>
      <c r="F149" s="88" t="s">
        <v>679</v>
      </c>
    </row>
    <row r="150" spans="2:6">
      <c r="B150" s="86">
        <v>237</v>
      </c>
      <c r="D150" s="88" t="s">
        <v>1224</v>
      </c>
      <c r="E150" s="88" t="s">
        <v>1231</v>
      </c>
      <c r="F150" s="88" t="s">
        <v>1231</v>
      </c>
    </row>
    <row r="151" spans="2:6">
      <c r="B151" s="86">
        <v>238</v>
      </c>
      <c r="D151" s="88" t="s">
        <v>135</v>
      </c>
      <c r="E151" s="88" t="s">
        <v>533</v>
      </c>
      <c r="F151" s="88" t="s">
        <v>533</v>
      </c>
    </row>
    <row r="152" spans="2:6">
      <c r="B152" s="86">
        <v>239</v>
      </c>
      <c r="D152" s="88" t="s">
        <v>136</v>
      </c>
      <c r="E152" s="88" t="s">
        <v>680</v>
      </c>
      <c r="F152" s="88" t="s">
        <v>680</v>
      </c>
    </row>
    <row r="153" spans="2:6">
      <c r="B153" s="86">
        <v>240</v>
      </c>
      <c r="D153" s="88" t="s">
        <v>137</v>
      </c>
      <c r="E153" s="88" t="s">
        <v>681</v>
      </c>
      <c r="F153" s="88" t="s">
        <v>681</v>
      </c>
    </row>
    <row r="154" spans="2:6">
      <c r="B154" s="86">
        <v>241</v>
      </c>
      <c r="D154" s="88" t="s">
        <v>442</v>
      </c>
      <c r="E154" s="88" t="s">
        <v>682</v>
      </c>
      <c r="F154" s="88" t="s">
        <v>682</v>
      </c>
    </row>
    <row r="155" spans="2:6">
      <c r="B155" s="86">
        <v>242</v>
      </c>
      <c r="D155" s="88" t="s">
        <v>443</v>
      </c>
      <c r="E155" s="88" t="s">
        <v>683</v>
      </c>
      <c r="F155" s="88" t="s">
        <v>683</v>
      </c>
    </row>
    <row r="156" spans="2:6">
      <c r="B156" s="86">
        <v>243</v>
      </c>
      <c r="D156" s="88" t="s">
        <v>1200</v>
      </c>
      <c r="E156" s="88" t="s">
        <v>543</v>
      </c>
      <c r="F156" s="88" t="s">
        <v>543</v>
      </c>
    </row>
    <row r="157" spans="2:6">
      <c r="B157" s="86">
        <v>244</v>
      </c>
      <c r="D157" s="88" t="s">
        <v>530</v>
      </c>
      <c r="E157" s="88" t="s">
        <v>684</v>
      </c>
      <c r="F157" s="88" t="s">
        <v>684</v>
      </c>
    </row>
    <row r="158" spans="2:6">
      <c r="B158" s="86">
        <v>245</v>
      </c>
      <c r="D158" s="88" t="s">
        <v>444</v>
      </c>
      <c r="E158" s="88" t="s">
        <v>685</v>
      </c>
      <c r="F158" s="88" t="s">
        <v>685</v>
      </c>
    </row>
    <row r="159" spans="2:6">
      <c r="B159" s="86">
        <v>246</v>
      </c>
      <c r="D159" s="88" t="s">
        <v>445</v>
      </c>
      <c r="E159" s="88" t="s">
        <v>686</v>
      </c>
      <c r="F159" s="88" t="s">
        <v>686</v>
      </c>
    </row>
    <row r="160" spans="2:6">
      <c r="B160" s="86">
        <v>247</v>
      </c>
      <c r="D160" s="88" t="s">
        <v>1202</v>
      </c>
      <c r="E160" s="88" t="s">
        <v>1248</v>
      </c>
      <c r="F160" s="88" t="s">
        <v>1248</v>
      </c>
    </row>
    <row r="161" spans="2:6">
      <c r="B161" s="86">
        <v>248</v>
      </c>
      <c r="D161" s="88" t="s">
        <v>446</v>
      </c>
      <c r="E161" s="88" t="s">
        <v>687</v>
      </c>
      <c r="F161" s="88" t="s">
        <v>687</v>
      </c>
    </row>
    <row r="162" spans="2:6">
      <c r="B162" s="86">
        <v>249</v>
      </c>
      <c r="D162" s="88" t="s">
        <v>447</v>
      </c>
      <c r="E162" s="88" t="s">
        <v>688</v>
      </c>
      <c r="F162" s="88" t="s">
        <v>688</v>
      </c>
    </row>
    <row r="163" spans="2:6">
      <c r="B163" s="86">
        <v>250</v>
      </c>
      <c r="D163" s="88" t="s">
        <v>138</v>
      </c>
      <c r="E163" s="88" t="s">
        <v>689</v>
      </c>
      <c r="F163" s="88" t="s">
        <v>689</v>
      </c>
    </row>
    <row r="164" spans="2:6">
      <c r="B164" s="86">
        <v>251</v>
      </c>
      <c r="D164" s="88" t="s">
        <v>139</v>
      </c>
      <c r="E164" s="88" t="s">
        <v>690</v>
      </c>
      <c r="F164" s="88" t="s">
        <v>690</v>
      </c>
    </row>
    <row r="165" spans="2:6">
      <c r="B165" s="86">
        <v>252</v>
      </c>
      <c r="D165" s="88" t="s">
        <v>1201</v>
      </c>
      <c r="E165" s="88" t="s">
        <v>1247</v>
      </c>
      <c r="F165" s="88" t="s">
        <v>1247</v>
      </c>
    </row>
    <row r="166" spans="2:6">
      <c r="B166" s="86">
        <v>253</v>
      </c>
      <c r="D166" s="88" t="s">
        <v>1424</v>
      </c>
      <c r="E166" s="88" t="s">
        <v>1425</v>
      </c>
      <c r="F166" s="88" t="s">
        <v>1425</v>
      </c>
    </row>
    <row r="167" spans="2:6">
      <c r="B167" s="86">
        <v>254</v>
      </c>
      <c r="D167" s="88" t="s">
        <v>140</v>
      </c>
      <c r="E167" s="88" t="s">
        <v>691</v>
      </c>
      <c r="F167" s="88" t="s">
        <v>691</v>
      </c>
    </row>
    <row r="168" spans="2:6">
      <c r="B168" s="86">
        <v>255</v>
      </c>
      <c r="C168" s="87" t="s">
        <v>585</v>
      </c>
      <c r="D168" s="88" t="s">
        <v>969</v>
      </c>
      <c r="E168" s="88" t="s">
        <v>971</v>
      </c>
      <c r="F168" s="88" t="s">
        <v>971</v>
      </c>
    </row>
    <row r="169" spans="2:6">
      <c r="B169" s="86">
        <v>256</v>
      </c>
      <c r="D169" s="88" t="s">
        <v>141</v>
      </c>
      <c r="E169" s="88" t="s">
        <v>692</v>
      </c>
      <c r="F169" s="88" t="s">
        <v>692</v>
      </c>
    </row>
    <row r="170" spans="2:6">
      <c r="B170" s="86">
        <v>257</v>
      </c>
      <c r="D170" s="88" t="s">
        <v>448</v>
      </c>
      <c r="E170" s="88" t="s">
        <v>693</v>
      </c>
      <c r="F170" s="88" t="s">
        <v>693</v>
      </c>
    </row>
    <row r="171" spans="2:6">
      <c r="B171" s="86">
        <v>258</v>
      </c>
      <c r="D171" s="88" t="s">
        <v>449</v>
      </c>
      <c r="E171" s="88" t="s">
        <v>694</v>
      </c>
      <c r="F171" s="88" t="s">
        <v>694</v>
      </c>
    </row>
    <row r="172" spans="2:6">
      <c r="B172" s="86">
        <v>259</v>
      </c>
      <c r="D172" s="88" t="s">
        <v>450</v>
      </c>
      <c r="E172" s="88" t="s">
        <v>695</v>
      </c>
      <c r="F172" s="88" t="s">
        <v>695</v>
      </c>
    </row>
    <row r="173" spans="2:6">
      <c r="B173" s="86">
        <v>260</v>
      </c>
      <c r="D173" s="88" t="s">
        <v>1066</v>
      </c>
      <c r="E173" s="88" t="s">
        <v>1044</v>
      </c>
      <c r="F173" s="88" t="s">
        <v>1044</v>
      </c>
    </row>
    <row r="174" spans="2:6">
      <c r="B174" s="86">
        <v>261</v>
      </c>
      <c r="D174" s="88" t="s">
        <v>1068</v>
      </c>
      <c r="E174" s="88" t="s">
        <v>1070</v>
      </c>
      <c r="F174" s="88" t="s">
        <v>1070</v>
      </c>
    </row>
    <row r="175" spans="2:6" ht="26.4">
      <c r="B175" s="86">
        <v>262</v>
      </c>
      <c r="D175" s="88" t="s">
        <v>1069</v>
      </c>
      <c r="E175" s="88" t="s">
        <v>1071</v>
      </c>
      <c r="F175" s="88" t="s">
        <v>1071</v>
      </c>
    </row>
    <row r="176" spans="2:6" ht="26.4">
      <c r="B176" s="86">
        <v>263</v>
      </c>
      <c r="D176" s="88" t="s">
        <v>1106</v>
      </c>
      <c r="E176" s="88" t="s">
        <v>1107</v>
      </c>
      <c r="F176" s="88" t="s">
        <v>1107</v>
      </c>
    </row>
    <row r="177" spans="2:6">
      <c r="B177" s="86">
        <v>264</v>
      </c>
      <c r="D177" s="88" t="s">
        <v>1067</v>
      </c>
      <c r="E177" s="88" t="s">
        <v>1029</v>
      </c>
      <c r="F177" s="88" t="s">
        <v>1029</v>
      </c>
    </row>
    <row r="178" spans="2:6">
      <c r="B178" s="86">
        <v>265</v>
      </c>
      <c r="D178" s="88" t="s">
        <v>1073</v>
      </c>
      <c r="E178" s="88" t="s">
        <v>1074</v>
      </c>
      <c r="F178" s="88" t="s">
        <v>1074</v>
      </c>
    </row>
    <row r="179" spans="2:6">
      <c r="B179" s="86">
        <v>266</v>
      </c>
      <c r="D179" s="88" t="s">
        <v>1065</v>
      </c>
      <c r="E179" s="88" t="s">
        <v>1028</v>
      </c>
      <c r="F179" s="88" t="s">
        <v>1028</v>
      </c>
    </row>
    <row r="180" spans="2:6">
      <c r="B180" s="86">
        <v>267</v>
      </c>
      <c r="D180" s="88" t="s">
        <v>142</v>
      </c>
      <c r="E180" s="88" t="s">
        <v>696</v>
      </c>
      <c r="F180" s="88" t="s">
        <v>696</v>
      </c>
    </row>
    <row r="181" spans="2:6">
      <c r="B181" s="86">
        <v>268</v>
      </c>
      <c r="D181" s="88" t="s">
        <v>1243</v>
      </c>
      <c r="E181" s="88" t="s">
        <v>1244</v>
      </c>
      <c r="F181" s="88" t="s">
        <v>1244</v>
      </c>
    </row>
    <row r="182" spans="2:6">
      <c r="B182" s="86">
        <v>269</v>
      </c>
      <c r="D182" s="88" t="s">
        <v>143</v>
      </c>
      <c r="E182" s="88" t="s">
        <v>697</v>
      </c>
      <c r="F182" s="88" t="s">
        <v>697</v>
      </c>
    </row>
    <row r="183" spans="2:6">
      <c r="B183" s="86">
        <v>270</v>
      </c>
      <c r="D183" s="88" t="s">
        <v>451</v>
      </c>
      <c r="E183" s="88" t="s">
        <v>698</v>
      </c>
      <c r="F183" s="88" t="s">
        <v>698</v>
      </c>
    </row>
    <row r="184" spans="2:6" ht="26.4">
      <c r="B184" s="86">
        <v>271</v>
      </c>
      <c r="D184" s="88" t="s">
        <v>144</v>
      </c>
      <c r="E184" s="88" t="s">
        <v>699</v>
      </c>
      <c r="F184" s="88" t="s">
        <v>699</v>
      </c>
    </row>
    <row r="185" spans="2:6" ht="39.6">
      <c r="B185" s="86">
        <v>272</v>
      </c>
      <c r="D185" s="88" t="s">
        <v>145</v>
      </c>
      <c r="E185" s="88" t="s">
        <v>700</v>
      </c>
      <c r="F185" s="88" t="s">
        <v>700</v>
      </c>
    </row>
    <row r="186" spans="2:6">
      <c r="B186" s="86">
        <v>273</v>
      </c>
      <c r="D186" s="88" t="s">
        <v>146</v>
      </c>
      <c r="E186" s="88" t="s">
        <v>701</v>
      </c>
      <c r="F186" s="88" t="s">
        <v>701</v>
      </c>
    </row>
    <row r="187" spans="2:6">
      <c r="B187" s="86">
        <v>274</v>
      </c>
      <c r="D187" s="88" t="s">
        <v>147</v>
      </c>
      <c r="E187" s="88" t="s">
        <v>702</v>
      </c>
      <c r="F187" s="88" t="s">
        <v>702</v>
      </c>
    </row>
    <row r="188" spans="2:6">
      <c r="B188" s="86">
        <v>275</v>
      </c>
      <c r="D188" s="88" t="s">
        <v>148</v>
      </c>
      <c r="E188" s="88" t="s">
        <v>703</v>
      </c>
      <c r="F188" s="88" t="s">
        <v>703</v>
      </c>
    </row>
    <row r="189" spans="2:6">
      <c r="B189" s="86">
        <v>276</v>
      </c>
      <c r="D189" s="88" t="s">
        <v>149</v>
      </c>
      <c r="E189" s="88" t="s">
        <v>704</v>
      </c>
      <c r="F189" s="88" t="s">
        <v>704</v>
      </c>
    </row>
    <row r="190" spans="2:6">
      <c r="B190" s="86">
        <v>277</v>
      </c>
      <c r="D190" s="88" t="s">
        <v>150</v>
      </c>
      <c r="E190" s="88" t="s">
        <v>705</v>
      </c>
      <c r="F190" s="88" t="s">
        <v>705</v>
      </c>
    </row>
    <row r="191" spans="2:6">
      <c r="B191" s="86">
        <v>278</v>
      </c>
      <c r="D191" s="88" t="s">
        <v>151</v>
      </c>
      <c r="E191" s="88" t="s">
        <v>706</v>
      </c>
      <c r="F191" s="88" t="s">
        <v>706</v>
      </c>
    </row>
    <row r="192" spans="2:6">
      <c r="B192" s="86">
        <v>279</v>
      </c>
      <c r="D192" s="88" t="s">
        <v>152</v>
      </c>
      <c r="E192" s="88" t="s">
        <v>707</v>
      </c>
      <c r="F192" s="88" t="s">
        <v>707</v>
      </c>
    </row>
    <row r="193" spans="2:6">
      <c r="B193" s="86">
        <v>280</v>
      </c>
      <c r="D193" s="88" t="s">
        <v>153</v>
      </c>
      <c r="E193" s="88" t="s">
        <v>560</v>
      </c>
      <c r="F193" s="88" t="s">
        <v>560</v>
      </c>
    </row>
    <row r="194" spans="2:6">
      <c r="B194" s="86">
        <v>281</v>
      </c>
      <c r="D194" s="88" t="s">
        <v>154</v>
      </c>
      <c r="E194" s="88" t="s">
        <v>708</v>
      </c>
      <c r="F194" s="88" t="s">
        <v>708</v>
      </c>
    </row>
    <row r="195" spans="2:6">
      <c r="B195" s="86">
        <v>282</v>
      </c>
      <c r="D195" s="88" t="s">
        <v>155</v>
      </c>
      <c r="E195" s="88" t="s">
        <v>709</v>
      </c>
      <c r="F195" s="88" t="s">
        <v>709</v>
      </c>
    </row>
    <row r="196" spans="2:6">
      <c r="B196" s="86">
        <v>283</v>
      </c>
      <c r="D196" s="88" t="s">
        <v>156</v>
      </c>
      <c r="E196" s="88" t="s">
        <v>710</v>
      </c>
      <c r="F196" s="88" t="s">
        <v>710</v>
      </c>
    </row>
    <row r="197" spans="2:6" ht="26.4">
      <c r="B197" s="86">
        <v>284</v>
      </c>
      <c r="D197" s="88" t="s">
        <v>157</v>
      </c>
      <c r="E197" s="88" t="s">
        <v>711</v>
      </c>
      <c r="F197" s="88" t="s">
        <v>711</v>
      </c>
    </row>
    <row r="198" spans="2:6">
      <c r="B198" s="86">
        <v>285</v>
      </c>
      <c r="D198" s="88" t="s">
        <v>452</v>
      </c>
      <c r="E198" s="88" t="s">
        <v>712</v>
      </c>
      <c r="F198" s="88" t="s">
        <v>712</v>
      </c>
    </row>
    <row r="199" spans="2:6">
      <c r="B199" s="86">
        <v>286</v>
      </c>
      <c r="D199" s="88" t="s">
        <v>158</v>
      </c>
      <c r="E199" s="88" t="s">
        <v>713</v>
      </c>
      <c r="F199" s="88" t="s">
        <v>713</v>
      </c>
    </row>
    <row r="200" spans="2:6">
      <c r="B200" s="86">
        <v>287</v>
      </c>
      <c r="D200" s="88" t="s">
        <v>159</v>
      </c>
      <c r="E200" s="88" t="s">
        <v>714</v>
      </c>
      <c r="F200" s="88" t="s">
        <v>714</v>
      </c>
    </row>
    <row r="201" spans="2:6">
      <c r="B201" s="86">
        <v>288</v>
      </c>
      <c r="D201" s="88" t="s">
        <v>160</v>
      </c>
      <c r="E201" s="88" t="s">
        <v>715</v>
      </c>
      <c r="F201" s="88" t="s">
        <v>715</v>
      </c>
    </row>
    <row r="202" spans="2:6">
      <c r="B202" s="86">
        <v>289</v>
      </c>
      <c r="D202" s="88" t="s">
        <v>453</v>
      </c>
      <c r="E202" s="88" t="s">
        <v>716</v>
      </c>
      <c r="F202" s="88" t="s">
        <v>716</v>
      </c>
    </row>
    <row r="203" spans="2:6">
      <c r="B203" s="86">
        <v>290</v>
      </c>
      <c r="D203" s="88" t="s">
        <v>454</v>
      </c>
      <c r="E203" s="88" t="s">
        <v>717</v>
      </c>
      <c r="F203" s="88" t="s">
        <v>717</v>
      </c>
    </row>
    <row r="204" spans="2:6">
      <c r="B204" s="86">
        <v>291</v>
      </c>
      <c r="D204" s="88" t="s">
        <v>1206</v>
      </c>
      <c r="E204" s="88" t="s">
        <v>1214</v>
      </c>
      <c r="F204" s="88" t="s">
        <v>1214</v>
      </c>
    </row>
    <row r="205" spans="2:6">
      <c r="B205" s="86">
        <v>292</v>
      </c>
      <c r="D205" s="88" t="s">
        <v>1341</v>
      </c>
      <c r="E205" s="88" t="s">
        <v>1342</v>
      </c>
      <c r="F205" s="88" t="s">
        <v>1342</v>
      </c>
    </row>
    <row r="206" spans="2:6">
      <c r="B206" s="86">
        <v>293</v>
      </c>
      <c r="D206" s="88" t="s">
        <v>1207</v>
      </c>
      <c r="E206" s="88" t="s">
        <v>1213</v>
      </c>
      <c r="F206" s="88" t="s">
        <v>1213</v>
      </c>
    </row>
    <row r="207" spans="2:6">
      <c r="B207" s="86">
        <v>294</v>
      </c>
      <c r="D207" s="88" t="s">
        <v>1205</v>
      </c>
      <c r="E207" s="88" t="s">
        <v>1212</v>
      </c>
      <c r="F207" s="88" t="s">
        <v>1212</v>
      </c>
    </row>
    <row r="208" spans="2:6">
      <c r="B208" s="86">
        <v>295</v>
      </c>
      <c r="D208" s="88" t="s">
        <v>455</v>
      </c>
      <c r="E208" s="88" t="s">
        <v>718</v>
      </c>
      <c r="F208" s="88" t="s">
        <v>718</v>
      </c>
    </row>
    <row r="209" spans="2:6">
      <c r="B209" s="86">
        <v>296</v>
      </c>
      <c r="D209" s="88" t="s">
        <v>540</v>
      </c>
      <c r="E209" s="88" t="s">
        <v>719</v>
      </c>
      <c r="F209" s="88" t="s">
        <v>719</v>
      </c>
    </row>
    <row r="210" spans="2:6">
      <c r="B210" s="86">
        <v>297</v>
      </c>
      <c r="D210" s="88" t="s">
        <v>161</v>
      </c>
      <c r="E210" s="88" t="s">
        <v>720</v>
      </c>
      <c r="F210" s="88" t="s">
        <v>720</v>
      </c>
    </row>
    <row r="211" spans="2:6">
      <c r="B211" s="86">
        <v>298</v>
      </c>
      <c r="C211" s="87" t="s">
        <v>1110</v>
      </c>
      <c r="D211" s="88" t="s">
        <v>1182</v>
      </c>
      <c r="E211" s="88" t="s">
        <v>1121</v>
      </c>
      <c r="F211" s="88" t="s">
        <v>1121</v>
      </c>
    </row>
    <row r="212" spans="2:6">
      <c r="B212" s="86">
        <v>299</v>
      </c>
      <c r="D212" s="88" t="s">
        <v>1226</v>
      </c>
      <c r="E212" s="88" t="s">
        <v>1229</v>
      </c>
      <c r="F212" s="88" t="s">
        <v>1229</v>
      </c>
    </row>
    <row r="213" spans="2:6">
      <c r="B213" s="86">
        <v>300</v>
      </c>
      <c r="D213" s="88" t="s">
        <v>528</v>
      </c>
      <c r="E213" s="88" t="s">
        <v>954</v>
      </c>
      <c r="F213" s="88" t="s">
        <v>954</v>
      </c>
    </row>
    <row r="214" spans="2:6">
      <c r="B214" s="86">
        <v>301</v>
      </c>
      <c r="D214" s="88" t="s">
        <v>1007</v>
      </c>
      <c r="E214" s="88" t="s">
        <v>1008</v>
      </c>
      <c r="F214" s="88" t="s">
        <v>1008</v>
      </c>
    </row>
    <row r="215" spans="2:6">
      <c r="B215" s="86">
        <v>302</v>
      </c>
      <c r="C215" s="87" t="s">
        <v>1110</v>
      </c>
      <c r="D215" s="158" t="s">
        <v>1450</v>
      </c>
      <c r="E215" s="158" t="s">
        <v>1141</v>
      </c>
      <c r="F215" s="158" t="s">
        <v>1141</v>
      </c>
    </row>
    <row r="216" spans="2:6">
      <c r="B216" s="86">
        <v>303</v>
      </c>
      <c r="C216" s="87" t="s">
        <v>1110</v>
      </c>
      <c r="D216" s="158" t="s">
        <v>1149</v>
      </c>
      <c r="E216" s="158" t="s">
        <v>1111</v>
      </c>
      <c r="F216" s="158" t="s">
        <v>1111</v>
      </c>
    </row>
    <row r="217" spans="2:6">
      <c r="B217" s="86">
        <v>304</v>
      </c>
      <c r="C217" s="87" t="s">
        <v>1110</v>
      </c>
      <c r="D217" s="158" t="s">
        <v>1453</v>
      </c>
      <c r="E217" s="158" t="s">
        <v>1120</v>
      </c>
      <c r="F217" s="158" t="s">
        <v>1120</v>
      </c>
    </row>
    <row r="218" spans="2:6">
      <c r="B218" s="86">
        <v>305</v>
      </c>
      <c r="C218" s="87" t="s">
        <v>1110</v>
      </c>
      <c r="D218" s="158" t="s">
        <v>1192</v>
      </c>
      <c r="E218" s="158" t="s">
        <v>1193</v>
      </c>
      <c r="F218" s="158" t="s">
        <v>1193</v>
      </c>
    </row>
    <row r="219" spans="2:6">
      <c r="B219" s="86">
        <v>305</v>
      </c>
      <c r="C219" s="87" t="s">
        <v>1110</v>
      </c>
      <c r="D219" s="158" t="s">
        <v>1451</v>
      </c>
      <c r="E219" s="158" t="s">
        <v>1452</v>
      </c>
      <c r="F219" s="158" t="s">
        <v>1452</v>
      </c>
    </row>
    <row r="220" spans="2:6">
      <c r="B220" s="86">
        <v>306</v>
      </c>
      <c r="C220" s="87" t="s">
        <v>1110</v>
      </c>
      <c r="D220" s="158" t="s">
        <v>1440</v>
      </c>
      <c r="E220" s="158" t="s">
        <v>1441</v>
      </c>
      <c r="F220" s="158" t="s">
        <v>1441</v>
      </c>
    </row>
    <row r="221" spans="2:6">
      <c r="B221" s="86">
        <v>307</v>
      </c>
      <c r="C221" s="87" t="s">
        <v>1110</v>
      </c>
      <c r="D221" s="158" t="s">
        <v>1442</v>
      </c>
      <c r="E221" s="158" t="s">
        <v>1443</v>
      </c>
      <c r="F221" s="158" t="s">
        <v>1443</v>
      </c>
    </row>
    <row r="222" spans="2:6">
      <c r="B222" s="86">
        <v>308</v>
      </c>
      <c r="C222" s="87" t="s">
        <v>1110</v>
      </c>
      <c r="D222" s="158" t="s">
        <v>1444</v>
      </c>
      <c r="E222" s="158" t="s">
        <v>1445</v>
      </c>
      <c r="F222" s="158" t="s">
        <v>1445</v>
      </c>
    </row>
    <row r="223" spans="2:6">
      <c r="B223" s="86">
        <v>309</v>
      </c>
      <c r="C223" s="87" t="s">
        <v>1110</v>
      </c>
      <c r="D223" s="158" t="s">
        <v>1446</v>
      </c>
      <c r="E223" s="158" t="s">
        <v>1447</v>
      </c>
      <c r="F223" s="158" t="s">
        <v>1447</v>
      </c>
    </row>
    <row r="224" spans="2:6">
      <c r="B224" s="86">
        <v>310</v>
      </c>
      <c r="C224" s="87" t="s">
        <v>1110</v>
      </c>
      <c r="D224" s="158" t="s">
        <v>1448</v>
      </c>
      <c r="E224" s="158" t="s">
        <v>1454</v>
      </c>
      <c r="F224" s="158" t="s">
        <v>1454</v>
      </c>
    </row>
    <row r="225" spans="2:6">
      <c r="B225" s="86">
        <v>311</v>
      </c>
      <c r="C225" s="87" t="s">
        <v>1110</v>
      </c>
      <c r="D225" s="158" t="s">
        <v>1449</v>
      </c>
      <c r="E225" s="158" t="s">
        <v>1455</v>
      </c>
      <c r="F225" s="158" t="s">
        <v>1455</v>
      </c>
    </row>
    <row r="226" spans="2:6">
      <c r="B226" s="86">
        <v>312</v>
      </c>
      <c r="C226" s="87" t="s">
        <v>1110</v>
      </c>
      <c r="D226" s="158" t="s">
        <v>1184</v>
      </c>
      <c r="E226" s="158" t="s">
        <v>1456</v>
      </c>
      <c r="F226" s="158" t="s">
        <v>1456</v>
      </c>
    </row>
    <row r="227" spans="2:6">
      <c r="B227" s="86">
        <v>313</v>
      </c>
      <c r="C227" s="87" t="s">
        <v>1110</v>
      </c>
      <c r="D227" s="158" t="s">
        <v>1185</v>
      </c>
      <c r="E227" s="158" t="s">
        <v>1457</v>
      </c>
      <c r="F227" s="158" t="s">
        <v>1457</v>
      </c>
    </row>
    <row r="228" spans="2:6">
      <c r="B228" s="86">
        <v>314</v>
      </c>
      <c r="C228" s="87" t="s">
        <v>1110</v>
      </c>
      <c r="D228" s="158" t="s">
        <v>1186</v>
      </c>
      <c r="E228" s="88" t="s">
        <v>1142</v>
      </c>
      <c r="F228" s="88" t="s">
        <v>1142</v>
      </c>
    </row>
    <row r="229" spans="2:6">
      <c r="B229" s="86">
        <v>315</v>
      </c>
      <c r="C229" s="87" t="s">
        <v>1110</v>
      </c>
      <c r="D229" s="158" t="s">
        <v>1187</v>
      </c>
      <c r="E229" s="88" t="s">
        <v>1143</v>
      </c>
      <c r="F229" s="88" t="s">
        <v>1143</v>
      </c>
    </row>
    <row r="230" spans="2:6">
      <c r="B230" s="86">
        <v>316</v>
      </c>
      <c r="C230" s="87" t="s">
        <v>1110</v>
      </c>
      <c r="D230" s="158" t="s">
        <v>1188</v>
      </c>
      <c r="E230" s="88" t="s">
        <v>1144</v>
      </c>
      <c r="F230" s="88" t="s">
        <v>1144</v>
      </c>
    </row>
    <row r="231" spans="2:6">
      <c r="B231" s="86">
        <v>317</v>
      </c>
      <c r="C231" s="87" t="s">
        <v>1110</v>
      </c>
      <c r="D231" s="158" t="s">
        <v>1189</v>
      </c>
      <c r="E231" s="88" t="s">
        <v>1145</v>
      </c>
      <c r="F231" s="88" t="s">
        <v>1145</v>
      </c>
    </row>
    <row r="232" spans="2:6">
      <c r="B232" s="86">
        <v>318</v>
      </c>
      <c r="C232" s="87" t="s">
        <v>1110</v>
      </c>
      <c r="D232" s="158" t="s">
        <v>1190</v>
      </c>
      <c r="E232" s="158" t="s">
        <v>1191</v>
      </c>
      <c r="F232" s="158" t="s">
        <v>1191</v>
      </c>
    </row>
    <row r="233" spans="2:6" ht="26.4">
      <c r="B233" s="86">
        <v>319</v>
      </c>
      <c r="D233" s="88" t="s">
        <v>162</v>
      </c>
      <c r="E233" s="88" t="s">
        <v>721</v>
      </c>
      <c r="F233" s="88" t="s">
        <v>721</v>
      </c>
    </row>
    <row r="234" spans="2:6" ht="26.4">
      <c r="B234" s="86">
        <v>320</v>
      </c>
      <c r="D234" s="88" t="s">
        <v>163</v>
      </c>
      <c r="E234" s="88" t="s">
        <v>722</v>
      </c>
      <c r="F234" s="88" t="s">
        <v>722</v>
      </c>
    </row>
    <row r="235" spans="2:6" ht="26.4">
      <c r="B235" s="86">
        <v>321</v>
      </c>
      <c r="D235" s="88" t="s">
        <v>164</v>
      </c>
      <c r="E235" s="88" t="s">
        <v>723</v>
      </c>
      <c r="F235" s="88" t="s">
        <v>723</v>
      </c>
    </row>
    <row r="236" spans="2:6" ht="26.4">
      <c r="B236" s="86">
        <v>322</v>
      </c>
      <c r="C236" s="87" t="s">
        <v>1110</v>
      </c>
      <c r="D236" s="88" t="s">
        <v>1183</v>
      </c>
      <c r="E236" s="88" t="s">
        <v>1130</v>
      </c>
      <c r="F236" s="88" t="s">
        <v>1130</v>
      </c>
    </row>
    <row r="237" spans="2:6">
      <c r="B237" s="86">
        <v>323</v>
      </c>
      <c r="D237" s="88" t="s">
        <v>165</v>
      </c>
      <c r="E237" s="88" t="s">
        <v>724</v>
      </c>
      <c r="F237" s="88" t="s">
        <v>724</v>
      </c>
    </row>
    <row r="238" spans="2:6">
      <c r="B238" s="86">
        <v>324</v>
      </c>
      <c r="C238" s="87" t="s">
        <v>585</v>
      </c>
      <c r="D238" s="88" t="s">
        <v>978</v>
      </c>
      <c r="E238" s="88" t="s">
        <v>979</v>
      </c>
      <c r="F238" s="88" t="s">
        <v>979</v>
      </c>
    </row>
    <row r="239" spans="2:6">
      <c r="B239" s="86">
        <v>325</v>
      </c>
      <c r="D239" s="88" t="s">
        <v>166</v>
      </c>
      <c r="E239" s="88" t="s">
        <v>725</v>
      </c>
      <c r="F239" s="88" t="s">
        <v>725</v>
      </c>
    </row>
    <row r="240" spans="2:6">
      <c r="B240" s="86">
        <v>326</v>
      </c>
      <c r="D240" s="88" t="s">
        <v>167</v>
      </c>
      <c r="E240" s="88" t="s">
        <v>726</v>
      </c>
      <c r="F240" s="88" t="s">
        <v>726</v>
      </c>
    </row>
    <row r="241" spans="2:6">
      <c r="B241" s="86">
        <v>327</v>
      </c>
      <c r="D241" s="88" t="s">
        <v>168</v>
      </c>
      <c r="E241" s="88" t="s">
        <v>727</v>
      </c>
      <c r="F241" s="88" t="s">
        <v>727</v>
      </c>
    </row>
    <row r="242" spans="2:6">
      <c r="B242" s="86">
        <v>328</v>
      </c>
      <c r="C242" s="87" t="s">
        <v>585</v>
      </c>
      <c r="D242" s="85" t="s">
        <v>960</v>
      </c>
      <c r="E242" s="158" t="s">
        <v>961</v>
      </c>
      <c r="F242" s="158" t="s">
        <v>961</v>
      </c>
    </row>
    <row r="243" spans="2:6">
      <c r="B243" s="86">
        <v>329</v>
      </c>
      <c r="C243" s="87" t="s">
        <v>585</v>
      </c>
      <c r="D243" s="85" t="s">
        <v>962</v>
      </c>
      <c r="E243" s="158" t="s">
        <v>963</v>
      </c>
      <c r="F243" s="158" t="s">
        <v>963</v>
      </c>
    </row>
    <row r="244" spans="2:6">
      <c r="B244" s="86">
        <v>330</v>
      </c>
      <c r="D244" s="88" t="s">
        <v>169</v>
      </c>
      <c r="E244" s="88" t="s">
        <v>728</v>
      </c>
      <c r="F244" s="88" t="s">
        <v>728</v>
      </c>
    </row>
    <row r="245" spans="2:6">
      <c r="B245" s="86">
        <v>331</v>
      </c>
      <c r="C245" s="87" t="s">
        <v>585</v>
      </c>
      <c r="D245" s="88" t="s">
        <v>975</v>
      </c>
      <c r="E245" s="88" t="s">
        <v>1013</v>
      </c>
      <c r="F245" s="88" t="s">
        <v>1013</v>
      </c>
    </row>
    <row r="246" spans="2:6">
      <c r="B246" s="86">
        <v>332</v>
      </c>
      <c r="C246" s="87" t="s">
        <v>585</v>
      </c>
      <c r="D246" s="85" t="s">
        <v>980</v>
      </c>
      <c r="E246" s="158" t="s">
        <v>981</v>
      </c>
      <c r="F246" s="158" t="s">
        <v>981</v>
      </c>
    </row>
    <row r="247" spans="2:6" ht="26.4">
      <c r="B247" s="86">
        <v>333</v>
      </c>
      <c r="D247" s="88" t="s">
        <v>170</v>
      </c>
      <c r="E247" s="88" t="s">
        <v>729</v>
      </c>
      <c r="F247" s="88" t="s">
        <v>729</v>
      </c>
    </row>
    <row r="248" spans="2:6" ht="26.4">
      <c r="B248" s="86">
        <v>334</v>
      </c>
      <c r="D248" s="88" t="s">
        <v>171</v>
      </c>
      <c r="E248" s="88" t="s">
        <v>730</v>
      </c>
      <c r="F248" s="88" t="s">
        <v>730</v>
      </c>
    </row>
    <row r="249" spans="2:6">
      <c r="B249" s="86">
        <v>335</v>
      </c>
      <c r="D249" s="88" t="s">
        <v>172</v>
      </c>
      <c r="E249" s="88" t="s">
        <v>731</v>
      </c>
      <c r="F249" s="88" t="s">
        <v>731</v>
      </c>
    </row>
    <row r="250" spans="2:6">
      <c r="B250" s="86">
        <v>336</v>
      </c>
      <c r="D250" s="88" t="s">
        <v>173</v>
      </c>
      <c r="E250" s="88" t="s">
        <v>732</v>
      </c>
      <c r="F250" s="88" t="s">
        <v>732</v>
      </c>
    </row>
    <row r="251" spans="2:6">
      <c r="B251" s="86">
        <v>337</v>
      </c>
      <c r="D251" s="88" t="s">
        <v>174</v>
      </c>
      <c r="E251" s="88" t="s">
        <v>733</v>
      </c>
      <c r="F251" s="88" t="s">
        <v>733</v>
      </c>
    </row>
    <row r="252" spans="2:6">
      <c r="B252" s="86">
        <v>338</v>
      </c>
      <c r="D252" s="88" t="s">
        <v>175</v>
      </c>
      <c r="E252" s="88" t="s">
        <v>734</v>
      </c>
      <c r="F252" s="88" t="s">
        <v>734</v>
      </c>
    </row>
    <row r="253" spans="2:6">
      <c r="B253" s="86">
        <v>339</v>
      </c>
      <c r="C253" s="87" t="s">
        <v>1110</v>
      </c>
      <c r="D253" s="88" t="s">
        <v>1164</v>
      </c>
      <c r="E253" s="88" t="s">
        <v>1128</v>
      </c>
      <c r="F253" s="88" t="s">
        <v>1128</v>
      </c>
    </row>
    <row r="254" spans="2:6">
      <c r="B254" s="86">
        <v>340</v>
      </c>
      <c r="C254" s="87" t="s">
        <v>1110</v>
      </c>
      <c r="D254" s="88" t="s">
        <v>1166</v>
      </c>
      <c r="E254" s="88" t="s">
        <v>1129</v>
      </c>
      <c r="F254" s="88" t="s">
        <v>1129</v>
      </c>
    </row>
    <row r="255" spans="2:6">
      <c r="B255" s="86">
        <v>341</v>
      </c>
      <c r="D255" s="88" t="s">
        <v>176</v>
      </c>
      <c r="E255" s="88" t="s">
        <v>735</v>
      </c>
      <c r="F255" s="88" t="s">
        <v>735</v>
      </c>
    </row>
    <row r="256" spans="2:6" ht="26.4">
      <c r="B256" s="86">
        <v>342</v>
      </c>
      <c r="C256" s="87" t="s">
        <v>1110</v>
      </c>
      <c r="D256" s="88" t="s">
        <v>1176</v>
      </c>
      <c r="E256" s="88" t="s">
        <v>1137</v>
      </c>
      <c r="F256" s="88" t="s">
        <v>1137</v>
      </c>
    </row>
    <row r="257" spans="2:6">
      <c r="B257" s="86">
        <v>343</v>
      </c>
      <c r="D257" s="88" t="s">
        <v>456</v>
      </c>
      <c r="E257" s="88" t="s">
        <v>736</v>
      </c>
      <c r="F257" s="88" t="s">
        <v>736</v>
      </c>
    </row>
    <row r="258" spans="2:6">
      <c r="B258" s="86">
        <v>344</v>
      </c>
      <c r="D258" s="88" t="s">
        <v>177</v>
      </c>
      <c r="E258" s="88" t="s">
        <v>737</v>
      </c>
      <c r="F258" s="88" t="s">
        <v>737</v>
      </c>
    </row>
    <row r="259" spans="2:6">
      <c r="B259" s="86">
        <v>345</v>
      </c>
      <c r="D259" s="88" t="s">
        <v>457</v>
      </c>
      <c r="E259" s="88" t="s">
        <v>738</v>
      </c>
      <c r="F259" s="88" t="s">
        <v>738</v>
      </c>
    </row>
    <row r="260" spans="2:6">
      <c r="B260" s="86">
        <v>346</v>
      </c>
      <c r="C260" s="87" t="s">
        <v>1110</v>
      </c>
      <c r="D260" s="88" t="s">
        <v>1165</v>
      </c>
      <c r="E260" s="88" t="s">
        <v>1139</v>
      </c>
      <c r="F260" s="88" t="s">
        <v>1139</v>
      </c>
    </row>
    <row r="261" spans="2:6">
      <c r="B261" s="86">
        <v>347</v>
      </c>
      <c r="C261" s="87" t="s">
        <v>585</v>
      </c>
      <c r="D261" s="85" t="s">
        <v>958</v>
      </c>
      <c r="E261" s="158" t="s">
        <v>959</v>
      </c>
      <c r="F261" s="158" t="s">
        <v>959</v>
      </c>
    </row>
    <row r="262" spans="2:6" ht="26.4">
      <c r="B262" s="86">
        <v>348</v>
      </c>
      <c r="C262" s="87" t="s">
        <v>1110</v>
      </c>
      <c r="D262" s="88" t="s">
        <v>1157</v>
      </c>
      <c r="E262" s="88" t="s">
        <v>1118</v>
      </c>
      <c r="F262" s="88" t="s">
        <v>1118</v>
      </c>
    </row>
    <row r="263" spans="2:6" ht="26.4">
      <c r="B263" s="86">
        <v>349</v>
      </c>
      <c r="D263" s="88" t="s">
        <v>178</v>
      </c>
      <c r="F263" s="88"/>
    </row>
    <row r="264" spans="2:6">
      <c r="B264" s="86">
        <v>350</v>
      </c>
      <c r="D264" s="88" t="s">
        <v>179</v>
      </c>
      <c r="E264" s="88" t="s">
        <v>739</v>
      </c>
      <c r="F264" s="88" t="s">
        <v>739</v>
      </c>
    </row>
    <row r="265" spans="2:6">
      <c r="B265" s="86">
        <v>351</v>
      </c>
      <c r="D265" s="88" t="s">
        <v>180</v>
      </c>
      <c r="E265" s="88" t="s">
        <v>740</v>
      </c>
      <c r="F265" s="88" t="s">
        <v>740</v>
      </c>
    </row>
    <row r="266" spans="2:6">
      <c r="B266" s="86">
        <v>352</v>
      </c>
      <c r="D266" s="88" t="s">
        <v>181</v>
      </c>
      <c r="E266" s="88" t="s">
        <v>741</v>
      </c>
      <c r="F266" s="88" t="s">
        <v>741</v>
      </c>
    </row>
    <row r="267" spans="2:6">
      <c r="B267" s="86">
        <v>353</v>
      </c>
      <c r="C267" s="87" t="s">
        <v>1110</v>
      </c>
      <c r="D267" s="88" t="s">
        <v>1160</v>
      </c>
      <c r="E267" s="88" t="s">
        <v>1124</v>
      </c>
      <c r="F267" s="88" t="s">
        <v>1124</v>
      </c>
    </row>
    <row r="268" spans="2:6">
      <c r="B268" s="86">
        <v>354</v>
      </c>
      <c r="D268" s="88" t="s">
        <v>182</v>
      </c>
      <c r="E268" s="88" t="s">
        <v>742</v>
      </c>
      <c r="F268" s="88" t="s">
        <v>742</v>
      </c>
    </row>
    <row r="269" spans="2:6">
      <c r="B269" s="86">
        <v>355</v>
      </c>
      <c r="D269" s="88" t="s">
        <v>458</v>
      </c>
      <c r="E269" s="88" t="s">
        <v>743</v>
      </c>
      <c r="F269" s="88" t="s">
        <v>743</v>
      </c>
    </row>
    <row r="270" spans="2:6">
      <c r="B270" s="86">
        <v>356</v>
      </c>
      <c r="D270" s="88" t="s">
        <v>183</v>
      </c>
      <c r="E270" s="88" t="s">
        <v>744</v>
      </c>
      <c r="F270" s="88" t="s">
        <v>744</v>
      </c>
    </row>
    <row r="271" spans="2:6" ht="26.4">
      <c r="B271" s="86">
        <v>357</v>
      </c>
      <c r="C271" s="87" t="s">
        <v>1110</v>
      </c>
      <c r="D271" s="88" t="s">
        <v>1156</v>
      </c>
      <c r="E271" s="88" t="s">
        <v>1155</v>
      </c>
      <c r="F271" s="88" t="s">
        <v>1155</v>
      </c>
    </row>
    <row r="272" spans="2:6" ht="39.6">
      <c r="B272" s="86">
        <v>358</v>
      </c>
      <c r="C272" s="87" t="s">
        <v>1110</v>
      </c>
      <c r="D272" s="88" t="s">
        <v>1173</v>
      </c>
      <c r="E272" s="88" t="s">
        <v>1133</v>
      </c>
      <c r="F272" s="88" t="s">
        <v>1133</v>
      </c>
    </row>
    <row r="273" spans="2:6">
      <c r="B273" s="86">
        <v>359</v>
      </c>
      <c r="D273" s="88" t="s">
        <v>184</v>
      </c>
      <c r="E273" s="88" t="s">
        <v>745</v>
      </c>
      <c r="F273" s="88" t="s">
        <v>745</v>
      </c>
    </row>
    <row r="274" spans="2:6">
      <c r="B274" s="86">
        <v>360</v>
      </c>
      <c r="D274" s="88" t="s">
        <v>1</v>
      </c>
      <c r="E274" s="88" t="s">
        <v>1</v>
      </c>
      <c r="F274" s="88" t="s">
        <v>1</v>
      </c>
    </row>
    <row r="275" spans="2:6">
      <c r="B275" s="86">
        <v>361</v>
      </c>
      <c r="D275" s="88" t="s">
        <v>2</v>
      </c>
      <c r="E275" s="88" t="s">
        <v>2</v>
      </c>
      <c r="F275" s="88" t="s">
        <v>2</v>
      </c>
    </row>
    <row r="276" spans="2:6">
      <c r="B276" s="86">
        <v>362</v>
      </c>
      <c r="D276" s="88" t="s">
        <v>545</v>
      </c>
      <c r="E276" s="88" t="s">
        <v>549</v>
      </c>
      <c r="F276" s="88" t="s">
        <v>549</v>
      </c>
    </row>
    <row r="277" spans="2:6">
      <c r="B277" s="86">
        <v>363</v>
      </c>
      <c r="D277" s="88" t="s">
        <v>185</v>
      </c>
      <c r="E277" s="88" t="s">
        <v>186</v>
      </c>
      <c r="F277" s="88" t="s">
        <v>186</v>
      </c>
    </row>
    <row r="278" spans="2:6">
      <c r="B278" s="86">
        <v>364</v>
      </c>
      <c r="D278" s="88" t="s">
        <v>1245</v>
      </c>
      <c r="E278" s="88" t="s">
        <v>1246</v>
      </c>
      <c r="F278" s="88" t="s">
        <v>1246</v>
      </c>
    </row>
    <row r="279" spans="2:6">
      <c r="B279" s="86">
        <v>365</v>
      </c>
      <c r="D279" s="88" t="s">
        <v>187</v>
      </c>
      <c r="E279" s="88" t="s">
        <v>516</v>
      </c>
      <c r="F279" s="88" t="s">
        <v>516</v>
      </c>
    </row>
    <row r="280" spans="2:6">
      <c r="B280" s="86">
        <v>366</v>
      </c>
      <c r="D280" s="88" t="s">
        <v>188</v>
      </c>
      <c r="E280" s="88" t="s">
        <v>746</v>
      </c>
      <c r="F280" s="88" t="s">
        <v>746</v>
      </c>
    </row>
    <row r="281" spans="2:6">
      <c r="B281" s="86">
        <v>367</v>
      </c>
      <c r="D281" s="88" t="s">
        <v>189</v>
      </c>
      <c r="E281" s="88" t="s">
        <v>747</v>
      </c>
      <c r="F281" s="88" t="s">
        <v>747</v>
      </c>
    </row>
    <row r="282" spans="2:6">
      <c r="B282" s="86">
        <v>368</v>
      </c>
      <c r="D282" s="88" t="s">
        <v>459</v>
      </c>
      <c r="E282" s="88" t="s">
        <v>748</v>
      </c>
      <c r="F282" s="88" t="s">
        <v>748</v>
      </c>
    </row>
    <row r="283" spans="2:6">
      <c r="B283" s="86">
        <v>369</v>
      </c>
      <c r="D283" s="88" t="s">
        <v>460</v>
      </c>
      <c r="E283" s="88" t="s">
        <v>749</v>
      </c>
      <c r="F283" s="88" t="s">
        <v>749</v>
      </c>
    </row>
    <row r="284" spans="2:6">
      <c r="B284" s="86">
        <v>370</v>
      </c>
      <c r="D284" s="88" t="s">
        <v>461</v>
      </c>
      <c r="E284" s="88" t="s">
        <v>748</v>
      </c>
      <c r="F284" s="88" t="s">
        <v>748</v>
      </c>
    </row>
    <row r="285" spans="2:6">
      <c r="B285" s="86">
        <v>371</v>
      </c>
      <c r="C285" s="87" t="s">
        <v>1110</v>
      </c>
      <c r="D285" s="88" t="s">
        <v>1147</v>
      </c>
      <c r="E285" s="88" t="s">
        <v>1127</v>
      </c>
      <c r="F285" s="88" t="s">
        <v>1127</v>
      </c>
    </row>
    <row r="286" spans="2:6">
      <c r="B286" s="86">
        <v>372</v>
      </c>
      <c r="D286" s="88" t="s">
        <v>190</v>
      </c>
      <c r="E286" s="88" t="s">
        <v>750</v>
      </c>
      <c r="F286" s="88" t="s">
        <v>750</v>
      </c>
    </row>
    <row r="287" spans="2:6">
      <c r="B287" s="86">
        <v>373</v>
      </c>
      <c r="D287" s="88" t="s">
        <v>462</v>
      </c>
      <c r="E287" s="88" t="s">
        <v>751</v>
      </c>
      <c r="F287" s="88" t="s">
        <v>751</v>
      </c>
    </row>
    <row r="288" spans="2:6">
      <c r="B288" s="86">
        <v>374</v>
      </c>
      <c r="D288" s="88" t="s">
        <v>191</v>
      </c>
      <c r="E288" s="88" t="s">
        <v>752</v>
      </c>
      <c r="F288" s="88" t="s">
        <v>752</v>
      </c>
    </row>
    <row r="289" spans="2:6">
      <c r="B289" s="86">
        <v>375</v>
      </c>
      <c r="C289" s="87" t="s">
        <v>585</v>
      </c>
      <c r="D289" s="85" t="s">
        <v>982</v>
      </c>
      <c r="E289" s="158" t="s">
        <v>983</v>
      </c>
      <c r="F289" s="158" t="s">
        <v>983</v>
      </c>
    </row>
    <row r="290" spans="2:6">
      <c r="B290" s="86">
        <v>376</v>
      </c>
      <c r="D290" s="88" t="s">
        <v>491</v>
      </c>
      <c r="E290" s="88" t="s">
        <v>753</v>
      </c>
      <c r="F290" s="88" t="s">
        <v>753</v>
      </c>
    </row>
    <row r="291" spans="2:6">
      <c r="B291" s="86">
        <v>377</v>
      </c>
      <c r="D291" s="88" t="s">
        <v>492</v>
      </c>
      <c r="E291" s="88" t="s">
        <v>754</v>
      </c>
      <c r="F291" s="88" t="s">
        <v>754</v>
      </c>
    </row>
    <row r="292" spans="2:6">
      <c r="B292" s="86">
        <v>378</v>
      </c>
      <c r="C292" s="87" t="s">
        <v>994</v>
      </c>
      <c r="D292" s="88" t="s">
        <v>995</v>
      </c>
      <c r="E292" s="88" t="s">
        <v>996</v>
      </c>
      <c r="F292" s="88" t="s">
        <v>996</v>
      </c>
    </row>
    <row r="293" spans="2:6">
      <c r="B293" s="86">
        <v>379</v>
      </c>
      <c r="D293" s="88" t="s">
        <v>192</v>
      </c>
      <c r="E293" s="88" t="s">
        <v>755</v>
      </c>
      <c r="F293" s="88" t="s">
        <v>755</v>
      </c>
    </row>
    <row r="294" spans="2:6">
      <c r="B294" s="86">
        <v>380</v>
      </c>
      <c r="D294" s="88" t="s">
        <v>463</v>
      </c>
      <c r="E294" s="88" t="s">
        <v>756</v>
      </c>
      <c r="F294" s="88" t="s">
        <v>756</v>
      </c>
    </row>
    <row r="295" spans="2:6">
      <c r="B295" s="86">
        <v>381</v>
      </c>
      <c r="D295" s="88" t="s">
        <v>193</v>
      </c>
      <c r="E295" s="88" t="s">
        <v>757</v>
      </c>
      <c r="F295" s="88" t="s">
        <v>757</v>
      </c>
    </row>
    <row r="296" spans="2:6">
      <c r="B296" s="86">
        <v>382</v>
      </c>
      <c r="D296" s="88" t="s">
        <v>194</v>
      </c>
      <c r="E296" s="88" t="s">
        <v>758</v>
      </c>
      <c r="F296" s="88" t="s">
        <v>758</v>
      </c>
    </row>
    <row r="297" spans="2:6">
      <c r="B297" s="86">
        <v>383</v>
      </c>
      <c r="D297" s="88" t="s">
        <v>195</v>
      </c>
      <c r="E297" s="88" t="s">
        <v>531</v>
      </c>
      <c r="F297" s="88" t="s">
        <v>531</v>
      </c>
    </row>
    <row r="298" spans="2:6">
      <c r="B298" s="86">
        <v>384</v>
      </c>
      <c r="D298" s="88" t="s">
        <v>972</v>
      </c>
      <c r="E298" s="88" t="s">
        <v>973</v>
      </c>
      <c r="F298" s="88" t="s">
        <v>973</v>
      </c>
    </row>
    <row r="299" spans="2:6" ht="26.4">
      <c r="B299" s="86">
        <v>385</v>
      </c>
      <c r="D299" s="88" t="s">
        <v>196</v>
      </c>
      <c r="E299" s="88" t="s">
        <v>759</v>
      </c>
      <c r="F299" s="88" t="s">
        <v>759</v>
      </c>
    </row>
    <row r="300" spans="2:6">
      <c r="B300" s="86">
        <v>386</v>
      </c>
      <c r="D300" s="88" t="s">
        <v>1336</v>
      </c>
      <c r="E300" s="88" t="s">
        <v>1420</v>
      </c>
      <c r="F300" s="88" t="s">
        <v>1420</v>
      </c>
    </row>
    <row r="301" spans="2:6" ht="26.4">
      <c r="B301" s="86">
        <v>387</v>
      </c>
      <c r="D301" s="88" t="s">
        <v>493</v>
      </c>
      <c r="E301" s="88" t="s">
        <v>760</v>
      </c>
      <c r="F301" s="88" t="s">
        <v>760</v>
      </c>
    </row>
    <row r="302" spans="2:6">
      <c r="B302" s="86">
        <v>388</v>
      </c>
      <c r="D302" s="88" t="s">
        <v>494</v>
      </c>
      <c r="E302" s="88" t="s">
        <v>761</v>
      </c>
      <c r="F302" s="88" t="s">
        <v>761</v>
      </c>
    </row>
    <row r="303" spans="2:6">
      <c r="B303" s="86">
        <v>389</v>
      </c>
      <c r="D303" s="88" t="s">
        <v>464</v>
      </c>
      <c r="E303" s="88" t="s">
        <v>762</v>
      </c>
      <c r="F303" s="88" t="s">
        <v>762</v>
      </c>
    </row>
    <row r="304" spans="2:6">
      <c r="B304" s="86">
        <v>390</v>
      </c>
      <c r="D304" s="88" t="s">
        <v>197</v>
      </c>
      <c r="E304" s="88" t="s">
        <v>763</v>
      </c>
      <c r="F304" s="88" t="s">
        <v>763</v>
      </c>
    </row>
    <row r="305" spans="2:6">
      <c r="B305" s="86">
        <v>391</v>
      </c>
      <c r="D305" s="88" t="s">
        <v>465</v>
      </c>
      <c r="E305" s="88" t="s">
        <v>764</v>
      </c>
      <c r="F305" s="88" t="s">
        <v>764</v>
      </c>
    </row>
    <row r="306" spans="2:6">
      <c r="B306" s="86">
        <v>392</v>
      </c>
      <c r="D306" s="88" t="s">
        <v>466</v>
      </c>
      <c r="E306" s="88" t="s">
        <v>765</v>
      </c>
      <c r="F306" s="88" t="s">
        <v>765</v>
      </c>
    </row>
    <row r="307" spans="2:6">
      <c r="B307" s="86">
        <v>393</v>
      </c>
      <c r="D307" s="88" t="s">
        <v>198</v>
      </c>
      <c r="E307" s="88" t="s">
        <v>766</v>
      </c>
      <c r="F307" s="88" t="s">
        <v>766</v>
      </c>
    </row>
    <row r="308" spans="2:6">
      <c r="B308" s="86">
        <v>394</v>
      </c>
      <c r="D308" s="88" t="s">
        <v>199</v>
      </c>
      <c r="E308" s="88" t="s">
        <v>767</v>
      </c>
      <c r="F308" s="88" t="s">
        <v>767</v>
      </c>
    </row>
    <row r="309" spans="2:6">
      <c r="B309" s="86">
        <v>395</v>
      </c>
      <c r="D309" s="88" t="s">
        <v>467</v>
      </c>
      <c r="E309" s="88" t="s">
        <v>768</v>
      </c>
      <c r="F309" s="88" t="s">
        <v>768</v>
      </c>
    </row>
    <row r="310" spans="2:6">
      <c r="B310" s="86">
        <v>396</v>
      </c>
      <c r="D310" s="88" t="s">
        <v>200</v>
      </c>
      <c r="E310" s="88" t="s">
        <v>769</v>
      </c>
      <c r="F310" s="88" t="s">
        <v>769</v>
      </c>
    </row>
    <row r="311" spans="2:6">
      <c r="B311" s="86">
        <v>397</v>
      </c>
      <c r="C311" s="87" t="s">
        <v>508</v>
      </c>
      <c r="D311" s="88" t="s">
        <v>517</v>
      </c>
      <c r="E311" s="88" t="s">
        <v>518</v>
      </c>
      <c r="F311" s="88" t="s">
        <v>518</v>
      </c>
    </row>
    <row r="312" spans="2:6">
      <c r="B312" s="86">
        <v>398</v>
      </c>
      <c r="C312" s="87" t="s">
        <v>585</v>
      </c>
      <c r="D312" s="85" t="s">
        <v>584</v>
      </c>
      <c r="E312" s="158" t="s">
        <v>957</v>
      </c>
      <c r="F312" s="158" t="s">
        <v>957</v>
      </c>
    </row>
    <row r="313" spans="2:6">
      <c r="B313" s="86">
        <v>399</v>
      </c>
      <c r="D313" s="88" t="s">
        <v>201</v>
      </c>
      <c r="E313" s="88" t="s">
        <v>770</v>
      </c>
      <c r="F313" s="88" t="s">
        <v>770</v>
      </c>
    </row>
    <row r="314" spans="2:6">
      <c r="B314" s="86">
        <v>400</v>
      </c>
      <c r="D314" s="88" t="s">
        <v>202</v>
      </c>
      <c r="E314" s="88" t="s">
        <v>771</v>
      </c>
      <c r="F314" s="88" t="s">
        <v>771</v>
      </c>
    </row>
    <row r="315" spans="2:6">
      <c r="B315" s="86">
        <v>401</v>
      </c>
      <c r="D315" s="88" t="s">
        <v>203</v>
      </c>
      <c r="E315" s="88" t="s">
        <v>772</v>
      </c>
      <c r="F315" s="88" t="s">
        <v>772</v>
      </c>
    </row>
    <row r="316" spans="2:6">
      <c r="B316" s="86">
        <v>402</v>
      </c>
      <c r="D316" s="88" t="s">
        <v>204</v>
      </c>
      <c r="E316" s="88" t="s">
        <v>773</v>
      </c>
      <c r="F316" s="88" t="s">
        <v>773</v>
      </c>
    </row>
    <row r="317" spans="2:6">
      <c r="B317" s="86">
        <v>403</v>
      </c>
      <c r="C317" s="87" t="s">
        <v>585</v>
      </c>
      <c r="D317" s="85" t="s">
        <v>581</v>
      </c>
      <c r="E317" s="158" t="s">
        <v>572</v>
      </c>
      <c r="F317" s="158" t="s">
        <v>572</v>
      </c>
    </row>
    <row r="318" spans="2:6">
      <c r="B318" s="86">
        <v>404</v>
      </c>
      <c r="D318" s="88" t="s">
        <v>205</v>
      </c>
      <c r="E318" s="88" t="s">
        <v>774</v>
      </c>
      <c r="F318" s="88" t="s">
        <v>774</v>
      </c>
    </row>
    <row r="319" spans="2:6">
      <c r="B319" s="86">
        <v>405</v>
      </c>
      <c r="C319" s="87" t="s">
        <v>585</v>
      </c>
      <c r="D319" s="88" t="s">
        <v>579</v>
      </c>
      <c r="E319" s="158" t="s">
        <v>570</v>
      </c>
      <c r="F319" s="158" t="s">
        <v>570</v>
      </c>
    </row>
    <row r="320" spans="2:6">
      <c r="B320" s="86">
        <v>406</v>
      </c>
      <c r="D320" s="88" t="s">
        <v>206</v>
      </c>
      <c r="E320" s="88" t="s">
        <v>775</v>
      </c>
      <c r="F320" s="88" t="s">
        <v>775</v>
      </c>
    </row>
    <row r="321" spans="1:6" ht="39.6">
      <c r="B321" s="86">
        <v>407</v>
      </c>
      <c r="D321" s="88" t="s">
        <v>207</v>
      </c>
      <c r="E321" s="88" t="s">
        <v>776</v>
      </c>
      <c r="F321" s="88" t="s">
        <v>776</v>
      </c>
    </row>
    <row r="322" spans="1:6">
      <c r="B322" s="86">
        <v>408</v>
      </c>
      <c r="D322" s="88" t="s">
        <v>208</v>
      </c>
      <c r="E322" s="88" t="s">
        <v>777</v>
      </c>
      <c r="F322" s="88" t="s">
        <v>777</v>
      </c>
    </row>
    <row r="323" spans="1:6">
      <c r="B323" s="86">
        <v>409</v>
      </c>
      <c r="D323" s="88" t="s">
        <v>1042</v>
      </c>
      <c r="E323" s="88" t="s">
        <v>1043</v>
      </c>
      <c r="F323" s="88" t="s">
        <v>1043</v>
      </c>
    </row>
    <row r="324" spans="1:6" ht="26.4">
      <c r="B324" s="86">
        <v>410</v>
      </c>
      <c r="D324" s="88" t="s">
        <v>209</v>
      </c>
      <c r="E324" s="88" t="s">
        <v>778</v>
      </c>
      <c r="F324" s="88" t="s">
        <v>778</v>
      </c>
    </row>
    <row r="325" spans="1:6">
      <c r="B325" s="86">
        <v>411</v>
      </c>
      <c r="D325" s="88" t="s">
        <v>1050</v>
      </c>
      <c r="E325" s="88" t="s">
        <v>1051</v>
      </c>
      <c r="F325" s="88" t="s">
        <v>1051</v>
      </c>
    </row>
    <row r="326" spans="1:6">
      <c r="B326" s="86">
        <v>412</v>
      </c>
      <c r="D326" s="88" t="s">
        <v>1040</v>
      </c>
      <c r="E326" s="88" t="s">
        <v>1041</v>
      </c>
      <c r="F326" s="88" t="s">
        <v>1041</v>
      </c>
    </row>
    <row r="327" spans="1:6">
      <c r="A327" s="155"/>
      <c r="B327" s="86">
        <v>413</v>
      </c>
      <c r="C327" s="156" t="s">
        <v>490</v>
      </c>
      <c r="D327" s="154" t="s">
        <v>519</v>
      </c>
      <c r="E327" s="154" t="s">
        <v>534</v>
      </c>
      <c r="F327" s="154" t="s">
        <v>534</v>
      </c>
    </row>
    <row r="328" spans="1:6">
      <c r="A328" s="155"/>
      <c r="B328" s="86">
        <v>414</v>
      </c>
      <c r="C328" s="156" t="s">
        <v>490</v>
      </c>
      <c r="D328" s="154" t="s">
        <v>520</v>
      </c>
      <c r="E328" s="154" t="s">
        <v>779</v>
      </c>
      <c r="F328" s="154" t="s">
        <v>779</v>
      </c>
    </row>
    <row r="329" spans="1:6">
      <c r="A329" s="155"/>
      <c r="B329" s="86">
        <v>415</v>
      </c>
      <c r="C329" s="156" t="s">
        <v>490</v>
      </c>
      <c r="D329" s="154" t="s">
        <v>521</v>
      </c>
      <c r="E329" s="154" t="s">
        <v>780</v>
      </c>
      <c r="F329" s="154" t="s">
        <v>780</v>
      </c>
    </row>
    <row r="330" spans="1:6">
      <c r="B330" s="86">
        <v>416</v>
      </c>
      <c r="D330" s="88" t="s">
        <v>210</v>
      </c>
      <c r="E330" s="88" t="s">
        <v>534</v>
      </c>
      <c r="F330" s="88" t="s">
        <v>534</v>
      </c>
    </row>
    <row r="331" spans="1:6">
      <c r="B331" s="86">
        <v>417</v>
      </c>
      <c r="D331" s="88" t="s">
        <v>211</v>
      </c>
      <c r="E331" s="154" t="s">
        <v>781</v>
      </c>
      <c r="F331" s="154" t="s">
        <v>781</v>
      </c>
    </row>
    <row r="332" spans="1:6">
      <c r="B332" s="86">
        <v>418</v>
      </c>
      <c r="D332" s="88" t="s">
        <v>212</v>
      </c>
      <c r="E332" s="88" t="s">
        <v>782</v>
      </c>
      <c r="F332" s="88" t="s">
        <v>782</v>
      </c>
    </row>
    <row r="333" spans="1:6">
      <c r="B333" s="86">
        <v>419</v>
      </c>
      <c r="D333" s="88" t="s">
        <v>213</v>
      </c>
      <c r="E333" s="88" t="s">
        <v>783</v>
      </c>
      <c r="F333" s="88" t="s">
        <v>783</v>
      </c>
    </row>
    <row r="334" spans="1:6">
      <c r="B334" s="86">
        <v>420</v>
      </c>
      <c r="D334" s="88" t="s">
        <v>214</v>
      </c>
      <c r="E334" s="88" t="s">
        <v>784</v>
      </c>
      <c r="F334" s="88" t="s">
        <v>784</v>
      </c>
    </row>
    <row r="335" spans="1:6">
      <c r="B335" s="86">
        <v>421</v>
      </c>
      <c r="D335" s="88" t="s">
        <v>215</v>
      </c>
      <c r="E335" s="88" t="s">
        <v>785</v>
      </c>
      <c r="F335" s="88" t="s">
        <v>785</v>
      </c>
    </row>
    <row r="336" spans="1:6">
      <c r="B336" s="86">
        <v>422</v>
      </c>
      <c r="D336" s="88" t="s">
        <v>216</v>
      </c>
      <c r="E336" s="88" t="s">
        <v>786</v>
      </c>
      <c r="F336" s="88" t="s">
        <v>786</v>
      </c>
    </row>
    <row r="337" spans="2:6">
      <c r="B337" s="86">
        <v>423</v>
      </c>
      <c r="D337" s="88" t="s">
        <v>217</v>
      </c>
      <c r="E337" s="88" t="s">
        <v>787</v>
      </c>
      <c r="F337" s="88" t="s">
        <v>787</v>
      </c>
    </row>
    <row r="338" spans="2:6">
      <c r="B338" s="86">
        <v>424</v>
      </c>
      <c r="D338" s="88" t="s">
        <v>218</v>
      </c>
      <c r="E338" s="88" t="s">
        <v>788</v>
      </c>
      <c r="F338" s="88" t="s">
        <v>788</v>
      </c>
    </row>
    <row r="339" spans="2:6">
      <c r="B339" s="86">
        <v>425</v>
      </c>
      <c r="D339" s="88" t="s">
        <v>219</v>
      </c>
      <c r="E339" s="88" t="s">
        <v>789</v>
      </c>
      <c r="F339" s="88" t="s">
        <v>789</v>
      </c>
    </row>
    <row r="340" spans="2:6">
      <c r="B340" s="86">
        <v>426</v>
      </c>
      <c r="D340" s="88" t="s">
        <v>220</v>
      </c>
      <c r="E340" s="88" t="s">
        <v>790</v>
      </c>
      <c r="F340" s="88" t="s">
        <v>790</v>
      </c>
    </row>
    <row r="341" spans="2:6">
      <c r="B341" s="86">
        <v>427</v>
      </c>
      <c r="D341" s="88" t="s">
        <v>221</v>
      </c>
      <c r="E341" s="88" t="s">
        <v>791</v>
      </c>
      <c r="F341" s="88" t="s">
        <v>791</v>
      </c>
    </row>
    <row r="342" spans="2:6">
      <c r="B342" s="86">
        <v>428</v>
      </c>
      <c r="D342" s="88" t="s">
        <v>222</v>
      </c>
      <c r="E342" s="88" t="s">
        <v>792</v>
      </c>
      <c r="F342" s="88" t="s">
        <v>792</v>
      </c>
    </row>
    <row r="343" spans="2:6">
      <c r="B343" s="86">
        <v>429</v>
      </c>
      <c r="D343" s="88" t="s">
        <v>223</v>
      </c>
      <c r="E343" s="88" t="s">
        <v>793</v>
      </c>
      <c r="F343" s="88" t="s">
        <v>793</v>
      </c>
    </row>
    <row r="344" spans="2:6">
      <c r="B344" s="86">
        <v>430</v>
      </c>
      <c r="D344" s="88" t="s">
        <v>1055</v>
      </c>
      <c r="E344" s="88" t="s">
        <v>1056</v>
      </c>
      <c r="F344" s="88" t="s">
        <v>1056</v>
      </c>
    </row>
    <row r="345" spans="2:6">
      <c r="B345" s="86">
        <v>431</v>
      </c>
      <c r="D345" s="88" t="s">
        <v>1053</v>
      </c>
      <c r="E345" s="88" t="s">
        <v>1054</v>
      </c>
      <c r="F345" s="88" t="s">
        <v>1054</v>
      </c>
    </row>
    <row r="346" spans="2:6">
      <c r="B346" s="86">
        <v>432</v>
      </c>
      <c r="D346" s="88" t="s">
        <v>224</v>
      </c>
      <c r="E346" s="88" t="s">
        <v>1011</v>
      </c>
      <c r="F346" s="88" t="s">
        <v>1011</v>
      </c>
    </row>
    <row r="347" spans="2:6">
      <c r="B347" s="86">
        <v>433</v>
      </c>
      <c r="D347" s="88" t="s">
        <v>225</v>
      </c>
      <c r="E347" s="88" t="s">
        <v>794</v>
      </c>
      <c r="F347" s="88" t="s">
        <v>794</v>
      </c>
    </row>
    <row r="348" spans="2:6">
      <c r="B348" s="86">
        <v>434</v>
      </c>
      <c r="D348" s="88" t="s">
        <v>226</v>
      </c>
      <c r="E348" s="88" t="s">
        <v>795</v>
      </c>
      <c r="F348" s="88" t="s">
        <v>795</v>
      </c>
    </row>
    <row r="349" spans="2:6">
      <c r="B349" s="86">
        <v>435</v>
      </c>
      <c r="D349" s="88" t="s">
        <v>227</v>
      </c>
      <c r="E349" s="88" t="s">
        <v>796</v>
      </c>
      <c r="F349" s="88" t="s">
        <v>796</v>
      </c>
    </row>
    <row r="350" spans="2:6">
      <c r="B350" s="86">
        <v>436</v>
      </c>
      <c r="D350" s="88" t="s">
        <v>228</v>
      </c>
      <c r="E350" s="88" t="s">
        <v>1034</v>
      </c>
      <c r="F350" s="88" t="s">
        <v>1034</v>
      </c>
    </row>
    <row r="351" spans="2:6">
      <c r="B351" s="86">
        <v>437</v>
      </c>
      <c r="D351" s="88" t="s">
        <v>229</v>
      </c>
      <c r="E351" s="88" t="s">
        <v>1035</v>
      </c>
      <c r="F351" s="88" t="s">
        <v>1035</v>
      </c>
    </row>
    <row r="352" spans="2:6">
      <c r="B352" s="86">
        <v>438</v>
      </c>
      <c r="D352" s="88" t="s">
        <v>1057</v>
      </c>
      <c r="E352" s="88" t="s">
        <v>1058</v>
      </c>
      <c r="F352" s="88" t="s">
        <v>1058</v>
      </c>
    </row>
    <row r="353" spans="2:6">
      <c r="B353" s="86">
        <v>439</v>
      </c>
      <c r="D353" s="88" t="s">
        <v>1030</v>
      </c>
      <c r="E353" s="88" t="s">
        <v>1031</v>
      </c>
      <c r="F353" s="88" t="s">
        <v>1031</v>
      </c>
    </row>
    <row r="354" spans="2:6">
      <c r="B354" s="86">
        <v>440</v>
      </c>
      <c r="D354" s="88" t="s">
        <v>468</v>
      </c>
      <c r="E354" s="88" t="s">
        <v>468</v>
      </c>
      <c r="F354" s="88" t="s">
        <v>468</v>
      </c>
    </row>
    <row r="355" spans="2:6" ht="26.4">
      <c r="B355" s="86">
        <v>441</v>
      </c>
      <c r="C355" s="87" t="s">
        <v>1110</v>
      </c>
      <c r="D355" s="88" t="s">
        <v>1172</v>
      </c>
      <c r="E355" s="88" t="s">
        <v>1171</v>
      </c>
      <c r="F355" s="88" t="s">
        <v>1171</v>
      </c>
    </row>
    <row r="356" spans="2:6">
      <c r="B356" s="86">
        <v>442</v>
      </c>
      <c r="D356" s="88" t="s">
        <v>1225</v>
      </c>
      <c r="E356" s="88" t="s">
        <v>1230</v>
      </c>
      <c r="F356" s="88" t="s">
        <v>1230</v>
      </c>
    </row>
    <row r="357" spans="2:6">
      <c r="B357" s="86">
        <v>443</v>
      </c>
      <c r="C357" s="87" t="s">
        <v>585</v>
      </c>
      <c r="D357" s="88" t="s">
        <v>968</v>
      </c>
      <c r="E357" s="88" t="s">
        <v>970</v>
      </c>
      <c r="F357" s="88" t="s">
        <v>970</v>
      </c>
    </row>
    <row r="358" spans="2:6">
      <c r="B358" s="86">
        <v>444</v>
      </c>
      <c r="D358" s="88" t="s">
        <v>230</v>
      </c>
      <c r="E358" s="88" t="s">
        <v>1012</v>
      </c>
      <c r="F358" s="88" t="s">
        <v>1012</v>
      </c>
    </row>
    <row r="359" spans="2:6" ht="26.4">
      <c r="B359" s="86">
        <v>445</v>
      </c>
      <c r="D359" s="88" t="s">
        <v>231</v>
      </c>
      <c r="E359" s="88" t="s">
        <v>797</v>
      </c>
      <c r="F359" s="88" t="s">
        <v>797</v>
      </c>
    </row>
    <row r="360" spans="2:6">
      <c r="B360" s="86">
        <v>446</v>
      </c>
      <c r="D360" s="88" t="s">
        <v>232</v>
      </c>
      <c r="E360" s="88" t="s">
        <v>798</v>
      </c>
      <c r="F360" s="88" t="s">
        <v>798</v>
      </c>
    </row>
    <row r="361" spans="2:6">
      <c r="B361" s="86">
        <v>447</v>
      </c>
      <c r="D361" s="88" t="s">
        <v>1238</v>
      </c>
      <c r="E361" s="88" t="s">
        <v>1235</v>
      </c>
      <c r="F361" s="88" t="s">
        <v>1235</v>
      </c>
    </row>
    <row r="362" spans="2:6" ht="26.4">
      <c r="B362" s="86">
        <v>448</v>
      </c>
      <c r="D362" s="88" t="s">
        <v>233</v>
      </c>
      <c r="E362" s="88" t="s">
        <v>799</v>
      </c>
      <c r="F362" s="88" t="s">
        <v>799</v>
      </c>
    </row>
    <row r="363" spans="2:6">
      <c r="B363" s="86">
        <v>449</v>
      </c>
      <c r="D363" s="154" t="s">
        <v>522</v>
      </c>
      <c r="E363" s="88" t="s">
        <v>523</v>
      </c>
      <c r="F363" s="88" t="s">
        <v>523</v>
      </c>
    </row>
    <row r="364" spans="2:6">
      <c r="B364" s="86">
        <v>450</v>
      </c>
      <c r="D364" s="88" t="s">
        <v>469</v>
      </c>
      <c r="E364" s="88" t="s">
        <v>800</v>
      </c>
      <c r="F364" s="88" t="s">
        <v>800</v>
      </c>
    </row>
    <row r="365" spans="2:6">
      <c r="B365" s="86">
        <v>451</v>
      </c>
      <c r="D365" s="88" t="s">
        <v>234</v>
      </c>
      <c r="E365" s="88" t="s">
        <v>801</v>
      </c>
      <c r="F365" s="88" t="s">
        <v>801</v>
      </c>
    </row>
    <row r="366" spans="2:6">
      <c r="B366" s="86">
        <v>452</v>
      </c>
      <c r="D366" s="88" t="s">
        <v>470</v>
      </c>
      <c r="E366" s="88" t="s">
        <v>966</v>
      </c>
      <c r="F366" s="88" t="s">
        <v>966</v>
      </c>
    </row>
    <row r="367" spans="2:6">
      <c r="B367" s="86">
        <v>453</v>
      </c>
      <c r="D367" s="88" t="s">
        <v>235</v>
      </c>
      <c r="E367" s="88" t="s">
        <v>802</v>
      </c>
      <c r="F367" s="88" t="s">
        <v>802</v>
      </c>
    </row>
    <row r="368" spans="2:6">
      <c r="B368" s="86">
        <v>454</v>
      </c>
      <c r="D368" s="88" t="s">
        <v>236</v>
      </c>
      <c r="E368" s="88" t="s">
        <v>803</v>
      </c>
      <c r="F368" s="88" t="s">
        <v>803</v>
      </c>
    </row>
    <row r="369" spans="2:6">
      <c r="B369" s="86">
        <v>455</v>
      </c>
      <c r="C369" s="87" t="s">
        <v>1110</v>
      </c>
      <c r="D369" s="88" t="s">
        <v>1162</v>
      </c>
      <c r="E369" s="88" t="s">
        <v>568</v>
      </c>
      <c r="F369" s="88" t="s">
        <v>568</v>
      </c>
    </row>
    <row r="370" spans="2:6">
      <c r="B370" s="86">
        <v>456</v>
      </c>
      <c r="D370" s="88" t="s">
        <v>237</v>
      </c>
      <c r="E370" s="88" t="s">
        <v>568</v>
      </c>
      <c r="F370" s="88" t="s">
        <v>568</v>
      </c>
    </row>
    <row r="371" spans="2:6">
      <c r="B371" s="86">
        <v>457</v>
      </c>
      <c r="D371" s="88" t="s">
        <v>238</v>
      </c>
      <c r="E371" s="88" t="s">
        <v>804</v>
      </c>
      <c r="F371" s="88" t="s">
        <v>804</v>
      </c>
    </row>
    <row r="372" spans="2:6">
      <c r="B372" s="86">
        <v>458</v>
      </c>
      <c r="D372" s="88" t="s">
        <v>1417</v>
      </c>
      <c r="E372" s="88" t="s">
        <v>1416</v>
      </c>
      <c r="F372" s="88" t="s">
        <v>1416</v>
      </c>
    </row>
    <row r="373" spans="2:6">
      <c r="B373" s="86">
        <v>459</v>
      </c>
      <c r="D373" s="88" t="s">
        <v>239</v>
      </c>
      <c r="E373" s="88" t="s">
        <v>805</v>
      </c>
      <c r="F373" s="88" t="s">
        <v>805</v>
      </c>
    </row>
    <row r="374" spans="2:6">
      <c r="B374" s="86">
        <v>460</v>
      </c>
      <c r="D374" s="88" t="s">
        <v>240</v>
      </c>
      <c r="F374" s="88"/>
    </row>
    <row r="375" spans="2:6">
      <c r="B375" s="86">
        <v>461</v>
      </c>
      <c r="D375" s="88" t="s">
        <v>471</v>
      </c>
      <c r="E375" s="88" t="s">
        <v>806</v>
      </c>
      <c r="F375" s="88" t="s">
        <v>806</v>
      </c>
    </row>
    <row r="376" spans="2:6" ht="26.4">
      <c r="B376" s="86">
        <v>462</v>
      </c>
      <c r="D376" s="88" t="s">
        <v>1327</v>
      </c>
      <c r="E376" s="88" t="s">
        <v>807</v>
      </c>
      <c r="F376" s="88" t="s">
        <v>807</v>
      </c>
    </row>
    <row r="377" spans="2:6" ht="26.4">
      <c r="B377" s="86">
        <v>463</v>
      </c>
      <c r="D377" s="88" t="s">
        <v>241</v>
      </c>
      <c r="E377" s="88" t="s">
        <v>808</v>
      </c>
      <c r="F377" s="88" t="s">
        <v>808</v>
      </c>
    </row>
    <row r="378" spans="2:6">
      <c r="B378" s="86">
        <v>464</v>
      </c>
      <c r="D378" s="88" t="s">
        <v>242</v>
      </c>
      <c r="E378" s="88" t="s">
        <v>809</v>
      </c>
      <c r="F378" s="88" t="s">
        <v>809</v>
      </c>
    </row>
    <row r="379" spans="2:6">
      <c r="B379" s="86">
        <v>465</v>
      </c>
      <c r="D379" s="88" t="s">
        <v>243</v>
      </c>
      <c r="E379" s="88" t="s">
        <v>810</v>
      </c>
      <c r="F379" s="88" t="s">
        <v>810</v>
      </c>
    </row>
    <row r="380" spans="2:6">
      <c r="B380" s="86">
        <v>466</v>
      </c>
      <c r="C380" s="87" t="s">
        <v>1110</v>
      </c>
      <c r="D380" s="88" t="s">
        <v>1154</v>
      </c>
      <c r="E380" s="88" t="s">
        <v>1117</v>
      </c>
      <c r="F380" s="88" t="s">
        <v>1117</v>
      </c>
    </row>
    <row r="381" spans="2:6">
      <c r="B381" s="86">
        <v>467</v>
      </c>
      <c r="C381" s="87" t="s">
        <v>1110</v>
      </c>
      <c r="D381" s="88" t="s">
        <v>1159</v>
      </c>
      <c r="E381" s="88" t="s">
        <v>1123</v>
      </c>
      <c r="F381" s="88" t="s">
        <v>1123</v>
      </c>
    </row>
    <row r="382" spans="2:6">
      <c r="B382" s="86">
        <v>468</v>
      </c>
      <c r="D382" s="88" t="s">
        <v>244</v>
      </c>
      <c r="E382" s="88" t="s">
        <v>811</v>
      </c>
      <c r="F382" s="88" t="s">
        <v>811</v>
      </c>
    </row>
    <row r="383" spans="2:6">
      <c r="B383" s="86">
        <v>469</v>
      </c>
      <c r="C383" s="87" t="s">
        <v>1110</v>
      </c>
      <c r="D383" s="88" t="s">
        <v>1150</v>
      </c>
      <c r="E383" s="88" t="s">
        <v>1113</v>
      </c>
      <c r="F383" s="88" t="s">
        <v>1113</v>
      </c>
    </row>
    <row r="384" spans="2:6" ht="26.4">
      <c r="B384" s="86">
        <v>470</v>
      </c>
      <c r="C384" s="87" t="s">
        <v>1110</v>
      </c>
      <c r="D384" s="88" t="s">
        <v>1152</v>
      </c>
      <c r="E384" s="88" t="s">
        <v>1116</v>
      </c>
      <c r="F384" s="88" t="s">
        <v>1116</v>
      </c>
    </row>
    <row r="385" spans="2:6">
      <c r="B385" s="86">
        <v>471</v>
      </c>
      <c r="C385" s="87" t="s">
        <v>1110</v>
      </c>
      <c r="D385" s="88" t="s">
        <v>1153</v>
      </c>
      <c r="E385" s="88" t="s">
        <v>1115</v>
      </c>
      <c r="F385" s="88" t="s">
        <v>1115</v>
      </c>
    </row>
    <row r="386" spans="2:6">
      <c r="B386" s="86">
        <v>472</v>
      </c>
      <c r="D386" s="88" t="s">
        <v>245</v>
      </c>
      <c r="E386" s="88" t="s">
        <v>812</v>
      </c>
      <c r="F386" s="88" t="s">
        <v>812</v>
      </c>
    </row>
    <row r="387" spans="2:6">
      <c r="B387" s="86">
        <v>473</v>
      </c>
      <c r="D387" s="88" t="s">
        <v>246</v>
      </c>
      <c r="E387" s="88" t="s">
        <v>813</v>
      </c>
      <c r="F387" s="88" t="s">
        <v>813</v>
      </c>
    </row>
    <row r="388" spans="2:6" ht="39.6">
      <c r="B388" s="86">
        <v>474</v>
      </c>
      <c r="C388" s="87" t="s">
        <v>1110</v>
      </c>
      <c r="D388" s="88" t="s">
        <v>1174</v>
      </c>
      <c r="E388" s="88" t="s">
        <v>1134</v>
      </c>
      <c r="F388" s="88" t="s">
        <v>1134</v>
      </c>
    </row>
    <row r="389" spans="2:6">
      <c r="B389" s="86">
        <v>475</v>
      </c>
      <c r="D389" s="88" t="s">
        <v>247</v>
      </c>
      <c r="E389" s="88" t="s">
        <v>814</v>
      </c>
      <c r="F389" s="88" t="s">
        <v>814</v>
      </c>
    </row>
    <row r="390" spans="2:6">
      <c r="B390" s="86">
        <v>476</v>
      </c>
      <c r="D390" s="88" t="s">
        <v>1427</v>
      </c>
      <c r="E390" s="88" t="s">
        <v>1428</v>
      </c>
      <c r="F390" s="88" t="s">
        <v>1428</v>
      </c>
    </row>
    <row r="391" spans="2:6">
      <c r="B391" s="86">
        <v>477</v>
      </c>
      <c r="D391" s="88" t="s">
        <v>248</v>
      </c>
      <c r="E391" s="88" t="s">
        <v>559</v>
      </c>
      <c r="F391" s="88" t="s">
        <v>559</v>
      </c>
    </row>
    <row r="392" spans="2:6">
      <c r="B392" s="86">
        <v>478</v>
      </c>
      <c r="D392" s="88" t="s">
        <v>249</v>
      </c>
      <c r="E392" s="88" t="s">
        <v>815</v>
      </c>
      <c r="F392" s="88" t="s">
        <v>815</v>
      </c>
    </row>
    <row r="393" spans="2:6">
      <c r="B393" s="86">
        <v>479</v>
      </c>
      <c r="D393" s="88" t="s">
        <v>250</v>
      </c>
      <c r="E393" s="88" t="s">
        <v>816</v>
      </c>
      <c r="F393" s="88" t="s">
        <v>816</v>
      </c>
    </row>
    <row r="394" spans="2:6">
      <c r="B394" s="86">
        <v>480</v>
      </c>
      <c r="D394" s="88" t="s">
        <v>251</v>
      </c>
      <c r="E394" s="88" t="s">
        <v>817</v>
      </c>
      <c r="F394" s="88" t="s">
        <v>817</v>
      </c>
    </row>
    <row r="395" spans="2:6" ht="26.4">
      <c r="B395" s="86">
        <v>481</v>
      </c>
      <c r="D395" s="88" t="s">
        <v>252</v>
      </c>
      <c r="E395" s="88" t="s">
        <v>818</v>
      </c>
      <c r="F395" s="88" t="s">
        <v>818</v>
      </c>
    </row>
    <row r="396" spans="2:6">
      <c r="B396" s="86">
        <v>482</v>
      </c>
      <c r="D396" s="88" t="s">
        <v>1423</v>
      </c>
      <c r="E396" s="88" t="s">
        <v>1343</v>
      </c>
      <c r="F396" s="88" t="s">
        <v>1343</v>
      </c>
    </row>
    <row r="397" spans="2:6">
      <c r="B397" s="86">
        <v>483</v>
      </c>
      <c r="D397" s="88" t="s">
        <v>1421</v>
      </c>
      <c r="E397" s="88" t="s">
        <v>1338</v>
      </c>
      <c r="F397" s="88" t="s">
        <v>1338</v>
      </c>
    </row>
    <row r="398" spans="2:6">
      <c r="B398" s="86">
        <v>484</v>
      </c>
      <c r="D398" s="88" t="s">
        <v>1422</v>
      </c>
      <c r="E398" s="88" t="s">
        <v>1339</v>
      </c>
      <c r="F398" s="88" t="s">
        <v>1339</v>
      </c>
    </row>
    <row r="399" spans="2:6">
      <c r="B399" s="86">
        <v>485</v>
      </c>
      <c r="D399" s="88" t="s">
        <v>253</v>
      </c>
      <c r="E399" s="88" t="s">
        <v>819</v>
      </c>
      <c r="F399" s="88" t="s">
        <v>819</v>
      </c>
    </row>
    <row r="400" spans="2:6">
      <c r="B400" s="86">
        <v>486</v>
      </c>
      <c r="C400" s="87" t="s">
        <v>585</v>
      </c>
      <c r="D400" s="88" t="s">
        <v>964</v>
      </c>
      <c r="E400" s="88" t="s">
        <v>965</v>
      </c>
      <c r="F400" s="88" t="s">
        <v>965</v>
      </c>
    </row>
    <row r="401" spans="2:6">
      <c r="B401" s="86">
        <v>487</v>
      </c>
      <c r="D401" s="88" t="s">
        <v>254</v>
      </c>
      <c r="E401" s="88" t="s">
        <v>820</v>
      </c>
      <c r="F401" s="88" t="s">
        <v>820</v>
      </c>
    </row>
    <row r="402" spans="2:6">
      <c r="B402" s="86">
        <v>488</v>
      </c>
      <c r="C402" s="87" t="s">
        <v>994</v>
      </c>
      <c r="D402" s="88" t="s">
        <v>990</v>
      </c>
      <c r="E402" s="88" t="s">
        <v>986</v>
      </c>
      <c r="F402" s="88" t="s">
        <v>986</v>
      </c>
    </row>
    <row r="403" spans="2:6">
      <c r="B403" s="86">
        <v>489</v>
      </c>
      <c r="C403" s="87" t="s">
        <v>994</v>
      </c>
      <c r="D403" s="88" t="s">
        <v>989</v>
      </c>
      <c r="E403" s="88" t="s">
        <v>987</v>
      </c>
      <c r="F403" s="88" t="s">
        <v>987</v>
      </c>
    </row>
    <row r="404" spans="2:6">
      <c r="B404" s="86">
        <v>490</v>
      </c>
      <c r="D404" s="88" t="s">
        <v>255</v>
      </c>
      <c r="E404" s="88" t="s">
        <v>566</v>
      </c>
      <c r="F404" s="88" t="s">
        <v>566</v>
      </c>
    </row>
    <row r="405" spans="2:6">
      <c r="B405" s="86">
        <v>491</v>
      </c>
      <c r="D405" s="88" t="s">
        <v>256</v>
      </c>
      <c r="E405" s="88" t="s">
        <v>821</v>
      </c>
      <c r="F405" s="88" t="s">
        <v>821</v>
      </c>
    </row>
    <row r="406" spans="2:6">
      <c r="B406" s="86">
        <v>492</v>
      </c>
      <c r="C406" s="87" t="s">
        <v>1110</v>
      </c>
      <c r="D406" s="88" t="s">
        <v>1158</v>
      </c>
      <c r="E406" s="88" t="s">
        <v>1122</v>
      </c>
      <c r="F406" s="88" t="s">
        <v>1122</v>
      </c>
    </row>
    <row r="407" spans="2:6">
      <c r="B407" s="86">
        <v>493</v>
      </c>
      <c r="D407" s="88" t="s">
        <v>257</v>
      </c>
      <c r="E407" s="88" t="s">
        <v>822</v>
      </c>
      <c r="F407" s="88" t="s">
        <v>822</v>
      </c>
    </row>
    <row r="408" spans="2:6" ht="52.8">
      <c r="B408" s="86">
        <v>494</v>
      </c>
      <c r="D408" s="88" t="s">
        <v>258</v>
      </c>
      <c r="E408" s="88" t="s">
        <v>823</v>
      </c>
      <c r="F408" s="88" t="s">
        <v>823</v>
      </c>
    </row>
    <row r="409" spans="2:6">
      <c r="B409" s="86">
        <v>495</v>
      </c>
      <c r="D409" s="88" t="s">
        <v>259</v>
      </c>
      <c r="E409" s="88" t="s">
        <v>824</v>
      </c>
      <c r="F409" s="88" t="s">
        <v>824</v>
      </c>
    </row>
    <row r="410" spans="2:6" ht="26.4">
      <c r="B410" s="86">
        <v>496</v>
      </c>
      <c r="D410" s="88" t="s">
        <v>260</v>
      </c>
      <c r="E410" s="88" t="s">
        <v>825</v>
      </c>
      <c r="F410" s="88" t="s">
        <v>825</v>
      </c>
    </row>
    <row r="411" spans="2:6" ht="26.4">
      <c r="B411" s="86">
        <v>497</v>
      </c>
      <c r="D411" s="88" t="s">
        <v>261</v>
      </c>
      <c r="E411" s="88" t="s">
        <v>826</v>
      </c>
      <c r="F411" s="88" t="s">
        <v>826</v>
      </c>
    </row>
    <row r="412" spans="2:6" ht="26.4">
      <c r="B412" s="86">
        <v>498</v>
      </c>
      <c r="D412" s="88" t="s">
        <v>262</v>
      </c>
      <c r="E412" s="88" t="s">
        <v>827</v>
      </c>
      <c r="F412" s="88" t="s">
        <v>827</v>
      </c>
    </row>
    <row r="413" spans="2:6" ht="26.4">
      <c r="B413" s="86">
        <v>499</v>
      </c>
      <c r="D413" s="88" t="s">
        <v>263</v>
      </c>
      <c r="E413" s="88" t="s">
        <v>828</v>
      </c>
      <c r="F413" s="88" t="s">
        <v>828</v>
      </c>
    </row>
    <row r="414" spans="2:6" ht="26.4">
      <c r="B414" s="86">
        <v>500</v>
      </c>
      <c r="D414" s="88" t="s">
        <v>264</v>
      </c>
      <c r="E414" s="88" t="s">
        <v>829</v>
      </c>
      <c r="F414" s="88" t="s">
        <v>829</v>
      </c>
    </row>
    <row r="415" spans="2:6" ht="26.4">
      <c r="B415" s="86">
        <v>501</v>
      </c>
      <c r="D415" s="88" t="s">
        <v>265</v>
      </c>
      <c r="E415" s="88" t="s">
        <v>830</v>
      </c>
      <c r="F415" s="88" t="s">
        <v>830</v>
      </c>
    </row>
    <row r="416" spans="2:6" ht="26.4">
      <c r="B416" s="86">
        <v>502</v>
      </c>
      <c r="D416" s="88" t="s">
        <v>266</v>
      </c>
      <c r="E416" s="88" t="s">
        <v>831</v>
      </c>
      <c r="F416" s="88" t="s">
        <v>831</v>
      </c>
    </row>
    <row r="417" spans="2:6" ht="26.4">
      <c r="B417" s="86">
        <v>503</v>
      </c>
      <c r="D417" s="88" t="s">
        <v>267</v>
      </c>
      <c r="E417" s="88" t="s">
        <v>832</v>
      </c>
      <c r="F417" s="88" t="s">
        <v>832</v>
      </c>
    </row>
    <row r="418" spans="2:6" ht="26.4">
      <c r="B418" s="86">
        <v>504</v>
      </c>
      <c r="D418" s="88" t="s">
        <v>268</v>
      </c>
      <c r="E418" s="88" t="s">
        <v>833</v>
      </c>
      <c r="F418" s="88" t="s">
        <v>833</v>
      </c>
    </row>
    <row r="419" spans="2:6" ht="26.4">
      <c r="B419" s="86">
        <v>505</v>
      </c>
      <c r="D419" s="88" t="s">
        <v>269</v>
      </c>
      <c r="E419" s="88" t="s">
        <v>834</v>
      </c>
      <c r="F419" s="88" t="s">
        <v>834</v>
      </c>
    </row>
    <row r="420" spans="2:6" ht="26.4">
      <c r="B420" s="86">
        <v>506</v>
      </c>
      <c r="D420" s="88" t="s">
        <v>270</v>
      </c>
      <c r="E420" s="88" t="s">
        <v>835</v>
      </c>
      <c r="F420" s="88" t="s">
        <v>835</v>
      </c>
    </row>
    <row r="421" spans="2:6" ht="26.4">
      <c r="B421" s="86">
        <v>507</v>
      </c>
      <c r="D421" s="88" t="s">
        <v>271</v>
      </c>
      <c r="E421" s="88" t="s">
        <v>836</v>
      </c>
      <c r="F421" s="88" t="s">
        <v>836</v>
      </c>
    </row>
    <row r="422" spans="2:6" ht="26.4">
      <c r="B422" s="86">
        <v>508</v>
      </c>
      <c r="D422" s="88" t="s">
        <v>272</v>
      </c>
      <c r="E422" s="88" t="s">
        <v>837</v>
      </c>
      <c r="F422" s="88" t="s">
        <v>837</v>
      </c>
    </row>
    <row r="423" spans="2:6" ht="26.4">
      <c r="B423" s="86">
        <v>509</v>
      </c>
      <c r="D423" s="88" t="s">
        <v>273</v>
      </c>
      <c r="E423" s="88" t="s">
        <v>838</v>
      </c>
      <c r="F423" s="88" t="s">
        <v>838</v>
      </c>
    </row>
    <row r="424" spans="2:6" ht="26.4">
      <c r="B424" s="86">
        <v>510</v>
      </c>
      <c r="D424" s="88" t="s">
        <v>274</v>
      </c>
      <c r="E424" s="88" t="s">
        <v>839</v>
      </c>
      <c r="F424" s="88" t="s">
        <v>839</v>
      </c>
    </row>
    <row r="425" spans="2:6" ht="26.4">
      <c r="B425" s="86">
        <v>511</v>
      </c>
      <c r="D425" s="88" t="s">
        <v>275</v>
      </c>
      <c r="E425" s="88" t="s">
        <v>840</v>
      </c>
      <c r="F425" s="88" t="s">
        <v>840</v>
      </c>
    </row>
    <row r="426" spans="2:6" ht="26.4">
      <c r="B426" s="86">
        <v>512</v>
      </c>
      <c r="D426" s="88" t="s">
        <v>276</v>
      </c>
      <c r="E426" s="88" t="s">
        <v>841</v>
      </c>
      <c r="F426" s="88" t="s">
        <v>841</v>
      </c>
    </row>
    <row r="427" spans="2:6" ht="26.4">
      <c r="B427" s="86">
        <v>513</v>
      </c>
      <c r="D427" s="88" t="s">
        <v>277</v>
      </c>
      <c r="E427" s="88" t="s">
        <v>842</v>
      </c>
      <c r="F427" s="88" t="s">
        <v>842</v>
      </c>
    </row>
    <row r="428" spans="2:6" ht="26.4">
      <c r="B428" s="86">
        <v>514</v>
      </c>
      <c r="D428" s="88" t="s">
        <v>278</v>
      </c>
      <c r="E428" s="88" t="s">
        <v>843</v>
      </c>
      <c r="F428" s="88" t="s">
        <v>843</v>
      </c>
    </row>
    <row r="429" spans="2:6" ht="26.4">
      <c r="B429" s="86">
        <v>515</v>
      </c>
      <c r="D429" s="88" t="s">
        <v>279</v>
      </c>
      <c r="E429" s="88" t="s">
        <v>844</v>
      </c>
      <c r="F429" s="88" t="s">
        <v>844</v>
      </c>
    </row>
    <row r="430" spans="2:6" ht="26.4">
      <c r="B430" s="86">
        <v>516</v>
      </c>
      <c r="D430" s="88" t="s">
        <v>280</v>
      </c>
      <c r="E430" s="88" t="s">
        <v>845</v>
      </c>
      <c r="F430" s="88" t="s">
        <v>845</v>
      </c>
    </row>
    <row r="431" spans="2:6" ht="26.4">
      <c r="B431" s="86">
        <v>517</v>
      </c>
      <c r="D431" s="88" t="s">
        <v>472</v>
      </c>
      <c r="E431" s="88" t="s">
        <v>846</v>
      </c>
      <c r="F431" s="88" t="s">
        <v>846</v>
      </c>
    </row>
    <row r="432" spans="2:6" ht="26.4">
      <c r="B432" s="86">
        <v>518</v>
      </c>
      <c r="D432" s="88" t="s">
        <v>473</v>
      </c>
      <c r="E432" s="88" t="s">
        <v>846</v>
      </c>
      <c r="F432" s="88" t="s">
        <v>846</v>
      </c>
    </row>
    <row r="433" spans="1:27" ht="26.4">
      <c r="B433" s="86">
        <v>519</v>
      </c>
      <c r="D433" s="88" t="s">
        <v>281</v>
      </c>
      <c r="E433" s="88" t="s">
        <v>847</v>
      </c>
      <c r="F433" s="88" t="s">
        <v>847</v>
      </c>
    </row>
    <row r="434" spans="1:27" ht="26.4">
      <c r="B434" s="86">
        <v>520</v>
      </c>
      <c r="D434" s="88" t="s">
        <v>282</v>
      </c>
      <c r="E434" s="88" t="s">
        <v>848</v>
      </c>
      <c r="F434" s="88" t="s">
        <v>848</v>
      </c>
    </row>
    <row r="435" spans="1:27" ht="26.4">
      <c r="B435" s="86">
        <v>521</v>
      </c>
      <c r="D435" s="88" t="s">
        <v>283</v>
      </c>
      <c r="E435" s="88" t="s">
        <v>849</v>
      </c>
      <c r="F435" s="88" t="s">
        <v>849</v>
      </c>
    </row>
    <row r="436" spans="1:27" ht="26.4">
      <c r="B436" s="86">
        <v>522</v>
      </c>
      <c r="D436" s="88" t="s">
        <v>284</v>
      </c>
      <c r="E436" s="88" t="s">
        <v>850</v>
      </c>
      <c r="F436" s="88" t="s">
        <v>850</v>
      </c>
    </row>
    <row r="437" spans="1:27" ht="26.4">
      <c r="B437" s="86">
        <v>523</v>
      </c>
      <c r="D437" s="88" t="s">
        <v>474</v>
      </c>
      <c r="E437" s="88" t="s">
        <v>851</v>
      </c>
      <c r="F437" s="88" t="s">
        <v>851</v>
      </c>
    </row>
    <row r="438" spans="1:27" s="154" customFormat="1" ht="26.4">
      <c r="A438" s="85"/>
      <c r="B438" s="86">
        <v>524</v>
      </c>
      <c r="C438" s="87"/>
      <c r="D438" s="88" t="s">
        <v>475</v>
      </c>
      <c r="E438" s="88" t="s">
        <v>852</v>
      </c>
      <c r="F438" s="88" t="s">
        <v>852</v>
      </c>
      <c r="G438" s="85"/>
      <c r="H438" s="85"/>
      <c r="I438" s="85"/>
      <c r="J438" s="85"/>
      <c r="K438" s="85"/>
      <c r="L438" s="85"/>
      <c r="M438" s="85"/>
      <c r="N438" s="85"/>
      <c r="O438" s="85"/>
      <c r="P438" s="85"/>
      <c r="Q438" s="85"/>
      <c r="R438" s="85"/>
      <c r="S438" s="85"/>
      <c r="T438" s="85"/>
      <c r="U438" s="85"/>
      <c r="V438" s="85"/>
      <c r="W438" s="85"/>
      <c r="X438" s="85"/>
      <c r="Y438" s="85"/>
      <c r="Z438" s="85"/>
      <c r="AA438" s="85"/>
    </row>
    <row r="439" spans="1:27" s="154" customFormat="1">
      <c r="A439" s="85"/>
      <c r="B439" s="86">
        <v>525</v>
      </c>
      <c r="C439" s="87"/>
      <c r="D439" s="88" t="s">
        <v>285</v>
      </c>
      <c r="E439" s="88" t="s">
        <v>853</v>
      </c>
      <c r="F439" s="88" t="s">
        <v>853</v>
      </c>
      <c r="G439" s="85"/>
      <c r="H439" s="85"/>
      <c r="I439" s="85"/>
      <c r="J439" s="85"/>
      <c r="K439" s="85"/>
      <c r="L439" s="85"/>
      <c r="M439" s="85"/>
      <c r="N439" s="85"/>
      <c r="O439" s="85"/>
      <c r="P439" s="85"/>
      <c r="Q439" s="85"/>
      <c r="R439" s="85"/>
      <c r="S439" s="85"/>
      <c r="T439" s="85"/>
      <c r="U439" s="85"/>
      <c r="V439" s="85"/>
      <c r="W439" s="85"/>
      <c r="X439" s="85"/>
      <c r="Y439" s="85"/>
      <c r="Z439" s="85"/>
      <c r="AA439" s="85"/>
    </row>
    <row r="440" spans="1:27" s="155" customFormat="1" ht="39.6">
      <c r="A440" s="85"/>
      <c r="B440" s="86">
        <v>526</v>
      </c>
      <c r="C440" s="87"/>
      <c r="D440" s="88" t="s">
        <v>286</v>
      </c>
      <c r="E440" s="88" t="s">
        <v>854</v>
      </c>
      <c r="F440" s="88" t="s">
        <v>854</v>
      </c>
      <c r="G440" s="85"/>
      <c r="H440" s="85"/>
      <c r="I440" s="85"/>
      <c r="J440" s="85"/>
      <c r="K440" s="85"/>
      <c r="L440" s="85"/>
      <c r="M440" s="85"/>
      <c r="N440" s="85"/>
      <c r="O440" s="85"/>
      <c r="P440" s="85"/>
      <c r="Q440" s="85"/>
      <c r="R440" s="85"/>
      <c r="S440" s="85"/>
      <c r="T440" s="85"/>
      <c r="U440" s="85"/>
      <c r="V440" s="85"/>
      <c r="W440" s="85"/>
      <c r="X440" s="85"/>
      <c r="Y440" s="85"/>
      <c r="Z440" s="85"/>
      <c r="AA440" s="85"/>
    </row>
    <row r="441" spans="1:27" s="155" customFormat="1">
      <c r="A441" s="85"/>
      <c r="B441" s="86">
        <v>527</v>
      </c>
      <c r="C441" s="87"/>
      <c r="D441" s="88" t="s">
        <v>287</v>
      </c>
      <c r="E441" s="88" t="s">
        <v>855</v>
      </c>
      <c r="F441" s="88" t="s">
        <v>855</v>
      </c>
      <c r="G441" s="85"/>
      <c r="H441" s="85"/>
      <c r="I441" s="85"/>
      <c r="J441" s="85"/>
      <c r="K441" s="85"/>
      <c r="L441" s="85"/>
      <c r="M441" s="85"/>
      <c r="N441" s="85"/>
      <c r="O441" s="85"/>
      <c r="P441" s="85"/>
      <c r="Q441" s="85"/>
      <c r="R441" s="85"/>
      <c r="S441" s="85"/>
      <c r="T441" s="85"/>
      <c r="U441" s="85"/>
      <c r="V441" s="85"/>
      <c r="W441" s="85"/>
      <c r="X441" s="85"/>
      <c r="Y441" s="85"/>
      <c r="Z441" s="85"/>
      <c r="AA441" s="85"/>
    </row>
    <row r="442" spans="1:27" s="155" customFormat="1" ht="52.8">
      <c r="A442" s="85"/>
      <c r="B442" s="86">
        <v>528</v>
      </c>
      <c r="C442" s="87"/>
      <c r="D442" s="88" t="s">
        <v>288</v>
      </c>
      <c r="E442" s="88" t="s">
        <v>856</v>
      </c>
      <c r="F442" s="88" t="s">
        <v>856</v>
      </c>
      <c r="G442" s="85"/>
      <c r="H442" s="85"/>
      <c r="I442" s="85"/>
      <c r="J442" s="85"/>
      <c r="K442" s="85"/>
      <c r="L442" s="85"/>
      <c r="M442" s="85"/>
      <c r="N442" s="85"/>
      <c r="O442" s="85"/>
      <c r="P442" s="85"/>
      <c r="Q442" s="85"/>
      <c r="R442" s="85"/>
      <c r="S442" s="85"/>
      <c r="T442" s="85"/>
      <c r="U442" s="85"/>
      <c r="V442" s="85"/>
      <c r="W442" s="85"/>
      <c r="X442" s="85"/>
      <c r="Y442" s="85"/>
      <c r="Z442" s="85"/>
      <c r="AA442" s="85"/>
    </row>
    <row r="443" spans="1:27" s="155" customFormat="1" ht="26.4">
      <c r="A443" s="85"/>
      <c r="B443" s="86">
        <v>529</v>
      </c>
      <c r="C443" s="87"/>
      <c r="D443" s="88" t="s">
        <v>289</v>
      </c>
      <c r="E443" s="88" t="s">
        <v>857</v>
      </c>
      <c r="F443" s="88" t="s">
        <v>857</v>
      </c>
      <c r="G443" s="85"/>
      <c r="H443" s="85"/>
      <c r="I443" s="85"/>
      <c r="J443" s="85"/>
      <c r="K443" s="85"/>
      <c r="L443" s="85"/>
      <c r="M443" s="85"/>
      <c r="N443" s="85"/>
      <c r="O443" s="85"/>
      <c r="P443" s="85"/>
      <c r="Q443" s="85"/>
      <c r="R443" s="85"/>
      <c r="S443" s="85"/>
      <c r="T443" s="85"/>
      <c r="U443" s="85"/>
      <c r="V443" s="85"/>
      <c r="W443" s="85"/>
      <c r="X443" s="85"/>
      <c r="Y443" s="85"/>
      <c r="Z443" s="85"/>
      <c r="AA443" s="85"/>
    </row>
    <row r="444" spans="1:27" s="155" customFormat="1" ht="26.4">
      <c r="A444" s="85"/>
      <c r="B444" s="86">
        <v>530</v>
      </c>
      <c r="C444" s="87"/>
      <c r="D444" s="88" t="s">
        <v>290</v>
      </c>
      <c r="E444" s="88" t="s">
        <v>858</v>
      </c>
      <c r="F444" s="88" t="s">
        <v>858</v>
      </c>
      <c r="G444" s="85"/>
      <c r="H444" s="85"/>
      <c r="I444" s="85"/>
      <c r="J444" s="85"/>
      <c r="K444" s="85"/>
      <c r="L444" s="85"/>
      <c r="M444" s="85"/>
      <c r="N444" s="85"/>
      <c r="O444" s="85"/>
      <c r="P444" s="85"/>
      <c r="Q444" s="85"/>
      <c r="R444" s="85"/>
      <c r="S444" s="85"/>
      <c r="T444" s="85"/>
      <c r="U444" s="85"/>
      <c r="V444" s="85"/>
      <c r="W444" s="85"/>
      <c r="X444" s="85"/>
      <c r="Y444" s="85"/>
      <c r="Z444" s="85"/>
      <c r="AA444" s="85"/>
    </row>
    <row r="445" spans="1:27" s="155" customFormat="1" ht="26.4">
      <c r="A445" s="85"/>
      <c r="B445" s="86">
        <v>531</v>
      </c>
      <c r="C445" s="87"/>
      <c r="D445" s="88" t="s">
        <v>291</v>
      </c>
      <c r="E445" s="88" t="s">
        <v>859</v>
      </c>
      <c r="F445" s="88" t="s">
        <v>859</v>
      </c>
      <c r="G445" s="85"/>
      <c r="H445" s="85"/>
      <c r="I445" s="85"/>
      <c r="J445" s="85"/>
      <c r="K445" s="85"/>
      <c r="L445" s="85"/>
      <c r="M445" s="85"/>
      <c r="N445" s="85"/>
      <c r="O445" s="85"/>
      <c r="P445" s="85"/>
      <c r="Q445" s="85"/>
      <c r="R445" s="85"/>
      <c r="S445" s="85"/>
      <c r="T445" s="85"/>
      <c r="U445" s="85"/>
      <c r="V445" s="85"/>
      <c r="W445" s="85"/>
      <c r="X445" s="85"/>
      <c r="Y445" s="85"/>
      <c r="Z445" s="85"/>
      <c r="AA445" s="85"/>
    </row>
    <row r="446" spans="1:27" s="155" customFormat="1" ht="26.4">
      <c r="A446" s="85"/>
      <c r="B446" s="86">
        <v>532</v>
      </c>
      <c r="C446" s="87"/>
      <c r="D446" s="88" t="s">
        <v>292</v>
      </c>
      <c r="E446" s="88" t="s">
        <v>860</v>
      </c>
      <c r="F446" s="88" t="s">
        <v>860</v>
      </c>
      <c r="G446" s="85"/>
      <c r="H446" s="85"/>
      <c r="I446" s="85"/>
      <c r="J446" s="85"/>
      <c r="K446" s="85"/>
      <c r="L446" s="85"/>
      <c r="M446" s="85"/>
      <c r="N446" s="85"/>
      <c r="O446" s="85"/>
      <c r="P446" s="85"/>
      <c r="Q446" s="85"/>
      <c r="R446" s="85"/>
      <c r="S446" s="85"/>
      <c r="T446" s="85"/>
      <c r="U446" s="85"/>
      <c r="V446" s="85"/>
      <c r="W446" s="85"/>
      <c r="X446" s="85"/>
      <c r="Y446" s="85"/>
      <c r="Z446" s="85"/>
      <c r="AA446" s="85"/>
    </row>
    <row r="447" spans="1:27" s="155" customFormat="1">
      <c r="A447" s="85"/>
      <c r="B447" s="86">
        <v>533</v>
      </c>
      <c r="C447" s="87"/>
      <c r="D447" s="88" t="s">
        <v>293</v>
      </c>
      <c r="E447" s="88" t="s">
        <v>861</v>
      </c>
      <c r="F447" s="88" t="s">
        <v>861</v>
      </c>
      <c r="G447" s="85"/>
      <c r="H447" s="85"/>
      <c r="I447" s="85"/>
      <c r="J447" s="85"/>
      <c r="K447" s="85"/>
      <c r="L447" s="85"/>
      <c r="M447" s="85"/>
      <c r="N447" s="85"/>
      <c r="O447" s="85"/>
      <c r="P447" s="85"/>
      <c r="Q447" s="85"/>
      <c r="R447" s="85"/>
      <c r="S447" s="85"/>
      <c r="T447" s="85"/>
      <c r="U447" s="85"/>
      <c r="V447" s="85"/>
      <c r="W447" s="85"/>
      <c r="X447" s="85"/>
      <c r="Y447" s="85"/>
      <c r="Z447" s="85"/>
      <c r="AA447" s="85"/>
    </row>
    <row r="448" spans="1:27" s="155" customFormat="1">
      <c r="A448" s="85"/>
      <c r="B448" s="86">
        <v>534</v>
      </c>
      <c r="C448" s="87"/>
      <c r="D448" s="88" t="s">
        <v>294</v>
      </c>
      <c r="E448" s="88" t="s">
        <v>862</v>
      </c>
      <c r="F448" s="88" t="s">
        <v>862</v>
      </c>
      <c r="G448" s="85"/>
      <c r="H448" s="85"/>
      <c r="I448" s="85"/>
      <c r="J448" s="85"/>
      <c r="K448" s="85"/>
      <c r="L448" s="85"/>
      <c r="M448" s="85"/>
      <c r="N448" s="85"/>
      <c r="O448" s="85"/>
      <c r="P448" s="85"/>
      <c r="Q448" s="85"/>
      <c r="R448" s="85"/>
      <c r="S448" s="85"/>
      <c r="T448" s="85"/>
      <c r="U448" s="85"/>
      <c r="V448" s="85"/>
      <c r="W448" s="85"/>
      <c r="X448" s="85"/>
      <c r="Y448" s="85"/>
      <c r="Z448" s="85"/>
      <c r="AA448" s="85"/>
    </row>
    <row r="449" spans="1:27" s="155" customFormat="1" ht="26.4">
      <c r="A449" s="85"/>
      <c r="B449" s="86">
        <v>535</v>
      </c>
      <c r="C449" s="87"/>
      <c r="D449" s="88" t="s">
        <v>295</v>
      </c>
      <c r="E449" s="88" t="s">
        <v>863</v>
      </c>
      <c r="F449" s="88" t="s">
        <v>863</v>
      </c>
      <c r="G449" s="85"/>
      <c r="H449" s="85"/>
      <c r="I449" s="85"/>
      <c r="J449" s="85"/>
      <c r="K449" s="85"/>
      <c r="L449" s="85"/>
      <c r="M449" s="85"/>
      <c r="N449" s="85"/>
      <c r="O449" s="85"/>
      <c r="P449" s="85"/>
      <c r="Q449" s="85"/>
      <c r="R449" s="85"/>
      <c r="S449" s="85"/>
      <c r="T449" s="85"/>
      <c r="U449" s="85"/>
      <c r="V449" s="85"/>
      <c r="W449" s="85"/>
      <c r="X449" s="85"/>
      <c r="Y449" s="85"/>
      <c r="Z449" s="85"/>
      <c r="AA449" s="85"/>
    </row>
    <row r="450" spans="1:27" s="155" customFormat="1">
      <c r="A450" s="85"/>
      <c r="B450" s="86">
        <v>536</v>
      </c>
      <c r="C450" s="87"/>
      <c r="D450" s="88" t="s">
        <v>296</v>
      </c>
      <c r="E450" s="88" t="s">
        <v>864</v>
      </c>
      <c r="F450" s="88" t="s">
        <v>864</v>
      </c>
      <c r="G450" s="85"/>
      <c r="H450" s="85"/>
      <c r="I450" s="85"/>
      <c r="J450" s="85"/>
      <c r="K450" s="85"/>
      <c r="L450" s="85"/>
      <c r="M450" s="85"/>
      <c r="N450" s="85"/>
      <c r="O450" s="85"/>
      <c r="P450" s="85"/>
      <c r="Q450" s="85"/>
      <c r="R450" s="85"/>
      <c r="S450" s="85"/>
      <c r="T450" s="85"/>
      <c r="U450" s="85"/>
      <c r="V450" s="85"/>
      <c r="W450" s="85"/>
      <c r="X450" s="85"/>
      <c r="Y450" s="85"/>
      <c r="Z450" s="85"/>
      <c r="AA450" s="85"/>
    </row>
    <row r="451" spans="1:27">
      <c r="B451" s="86">
        <v>537</v>
      </c>
      <c r="D451" s="88" t="s">
        <v>297</v>
      </c>
      <c r="E451" s="88" t="s">
        <v>865</v>
      </c>
      <c r="F451" s="88" t="s">
        <v>865</v>
      </c>
    </row>
    <row r="452" spans="1:27">
      <c r="B452" s="86">
        <v>538</v>
      </c>
      <c r="D452" s="88" t="s">
        <v>298</v>
      </c>
      <c r="E452" s="88" t="s">
        <v>866</v>
      </c>
      <c r="F452" s="88" t="s">
        <v>866</v>
      </c>
    </row>
    <row r="453" spans="1:27" ht="26.4">
      <c r="B453" s="86">
        <v>539</v>
      </c>
      <c r="D453" s="88" t="s">
        <v>476</v>
      </c>
      <c r="E453" s="88" t="s">
        <v>867</v>
      </c>
      <c r="F453" s="88" t="s">
        <v>867</v>
      </c>
    </row>
    <row r="454" spans="1:27" ht="52.8">
      <c r="A454" s="154"/>
      <c r="B454" s="86">
        <v>540</v>
      </c>
      <c r="C454" s="160" t="s">
        <v>508</v>
      </c>
      <c r="D454" s="154" t="s">
        <v>524</v>
      </c>
      <c r="E454" s="154" t="s">
        <v>868</v>
      </c>
      <c r="F454" s="154" t="s">
        <v>868</v>
      </c>
    </row>
    <row r="455" spans="1:27" ht="52.8">
      <c r="B455" s="86">
        <v>541</v>
      </c>
      <c r="D455" s="88" t="s">
        <v>299</v>
      </c>
      <c r="E455" s="88" t="s">
        <v>869</v>
      </c>
      <c r="F455" s="88" t="s">
        <v>869</v>
      </c>
    </row>
    <row r="456" spans="1:27">
      <c r="B456" s="86">
        <v>542</v>
      </c>
      <c r="D456" s="88" t="s">
        <v>300</v>
      </c>
      <c r="E456" s="88" t="s">
        <v>870</v>
      </c>
      <c r="F456" s="88" t="s">
        <v>870</v>
      </c>
    </row>
    <row r="457" spans="1:27">
      <c r="B457" s="86">
        <v>543</v>
      </c>
      <c r="D457" s="88" t="s">
        <v>301</v>
      </c>
      <c r="E457" s="88" t="s">
        <v>871</v>
      </c>
      <c r="F457" s="88" t="s">
        <v>871</v>
      </c>
    </row>
    <row r="458" spans="1:27">
      <c r="B458" s="86">
        <v>544</v>
      </c>
      <c r="D458" s="88" t="s">
        <v>302</v>
      </c>
      <c r="E458" s="88" t="s">
        <v>872</v>
      </c>
      <c r="F458" s="88" t="s">
        <v>872</v>
      </c>
    </row>
    <row r="459" spans="1:27" ht="26.4">
      <c r="B459" s="86">
        <v>545</v>
      </c>
      <c r="D459" s="88" t="s">
        <v>984</v>
      </c>
      <c r="E459" s="88" t="s">
        <v>985</v>
      </c>
      <c r="F459" s="88" t="s">
        <v>985</v>
      </c>
    </row>
    <row r="460" spans="1:27">
      <c r="B460" s="86">
        <v>546</v>
      </c>
      <c r="D460" s="88" t="s">
        <v>303</v>
      </c>
      <c r="E460" s="88" t="s">
        <v>873</v>
      </c>
      <c r="F460" s="88" t="s">
        <v>873</v>
      </c>
    </row>
    <row r="461" spans="1:27">
      <c r="B461" s="86">
        <v>547</v>
      </c>
      <c r="D461" s="88" t="s">
        <v>304</v>
      </c>
      <c r="E461" s="88" t="s">
        <v>874</v>
      </c>
      <c r="F461" s="88" t="s">
        <v>874</v>
      </c>
    </row>
    <row r="462" spans="1:27">
      <c r="B462" s="86">
        <v>548</v>
      </c>
      <c r="D462" s="88" t="s">
        <v>305</v>
      </c>
      <c r="E462" s="88" t="s">
        <v>875</v>
      </c>
      <c r="F462" s="88" t="s">
        <v>875</v>
      </c>
    </row>
    <row r="463" spans="1:27" ht="26.4">
      <c r="B463" s="86">
        <v>549</v>
      </c>
      <c r="D463" s="88" t="s">
        <v>1239</v>
      </c>
      <c r="E463" s="88" t="s">
        <v>1240</v>
      </c>
      <c r="F463" s="88" t="s">
        <v>1240</v>
      </c>
    </row>
    <row r="464" spans="1:27">
      <c r="B464" s="86">
        <v>550</v>
      </c>
      <c r="D464" s="88" t="s">
        <v>1241</v>
      </c>
      <c r="E464" s="88" t="s">
        <v>1242</v>
      </c>
      <c r="F464" s="88" t="s">
        <v>1242</v>
      </c>
    </row>
    <row r="465" spans="2:6" ht="26.4">
      <c r="B465" s="86">
        <v>551</v>
      </c>
      <c r="D465" s="88" t="s">
        <v>306</v>
      </c>
      <c r="E465" s="88" t="s">
        <v>876</v>
      </c>
      <c r="F465" s="88" t="s">
        <v>876</v>
      </c>
    </row>
    <row r="466" spans="2:6">
      <c r="B466" s="86">
        <v>552</v>
      </c>
      <c r="D466" s="88" t="s">
        <v>477</v>
      </c>
      <c r="E466" s="88" t="s">
        <v>877</v>
      </c>
      <c r="F466" s="88" t="s">
        <v>877</v>
      </c>
    </row>
    <row r="467" spans="2:6" ht="26.4">
      <c r="B467" s="86">
        <v>553</v>
      </c>
      <c r="D467" s="88" t="s">
        <v>307</v>
      </c>
      <c r="E467" s="88" t="s">
        <v>878</v>
      </c>
      <c r="F467" s="88" t="s">
        <v>878</v>
      </c>
    </row>
    <row r="468" spans="2:6" ht="26.4">
      <c r="B468" s="86">
        <v>554</v>
      </c>
      <c r="D468" s="88" t="s">
        <v>478</v>
      </c>
      <c r="E468" s="88" t="s">
        <v>879</v>
      </c>
      <c r="F468" s="88" t="s">
        <v>879</v>
      </c>
    </row>
    <row r="469" spans="2:6" ht="26.4">
      <c r="B469" s="86">
        <v>555</v>
      </c>
      <c r="D469" s="88" t="s">
        <v>308</v>
      </c>
      <c r="E469" s="88" t="s">
        <v>880</v>
      </c>
      <c r="F469" s="88" t="s">
        <v>880</v>
      </c>
    </row>
    <row r="470" spans="2:6">
      <c r="B470" s="86">
        <v>556</v>
      </c>
      <c r="D470" s="88" t="s">
        <v>309</v>
      </c>
      <c r="E470" s="88" t="s">
        <v>881</v>
      </c>
      <c r="F470" s="88" t="s">
        <v>881</v>
      </c>
    </row>
    <row r="471" spans="2:6">
      <c r="B471" s="86">
        <v>557</v>
      </c>
      <c r="C471" s="87" t="s">
        <v>994</v>
      </c>
      <c r="D471" s="88" t="s">
        <v>991</v>
      </c>
      <c r="E471" s="88" t="s">
        <v>992</v>
      </c>
      <c r="F471" s="88" t="s">
        <v>992</v>
      </c>
    </row>
    <row r="472" spans="2:6" ht="26.4">
      <c r="B472" s="86">
        <v>558</v>
      </c>
      <c r="C472" s="87" t="s">
        <v>994</v>
      </c>
      <c r="D472" s="88" t="s">
        <v>988</v>
      </c>
      <c r="E472" s="88" t="s">
        <v>993</v>
      </c>
      <c r="F472" s="88" t="s">
        <v>993</v>
      </c>
    </row>
    <row r="473" spans="2:6">
      <c r="B473" s="86">
        <v>559</v>
      </c>
      <c r="D473" s="88" t="s">
        <v>310</v>
      </c>
      <c r="E473" s="88" t="s">
        <v>882</v>
      </c>
      <c r="F473" s="88" t="s">
        <v>882</v>
      </c>
    </row>
    <row r="474" spans="2:6">
      <c r="B474" s="86">
        <v>560</v>
      </c>
      <c r="D474" s="88" t="s">
        <v>311</v>
      </c>
      <c r="E474" s="88" t="s">
        <v>883</v>
      </c>
      <c r="F474" s="88" t="s">
        <v>883</v>
      </c>
    </row>
    <row r="475" spans="2:6" ht="39.6">
      <c r="B475" s="86">
        <v>561</v>
      </c>
      <c r="D475" s="88" t="s">
        <v>378</v>
      </c>
      <c r="E475" s="88" t="s">
        <v>884</v>
      </c>
      <c r="F475" s="88" t="s">
        <v>884</v>
      </c>
    </row>
    <row r="476" spans="2:6">
      <c r="B476" s="86">
        <v>562</v>
      </c>
      <c r="D476" s="88" t="s">
        <v>312</v>
      </c>
      <c r="E476" s="88" t="s">
        <v>885</v>
      </c>
      <c r="F476" s="88" t="s">
        <v>885</v>
      </c>
    </row>
    <row r="477" spans="2:6">
      <c r="B477" s="86">
        <v>563</v>
      </c>
      <c r="D477" s="88" t="s">
        <v>313</v>
      </c>
      <c r="E477" s="88" t="s">
        <v>886</v>
      </c>
      <c r="F477" s="88" t="s">
        <v>886</v>
      </c>
    </row>
    <row r="478" spans="2:6">
      <c r="B478" s="86">
        <v>564</v>
      </c>
      <c r="D478" s="88" t="s">
        <v>314</v>
      </c>
      <c r="E478" s="88" t="s">
        <v>887</v>
      </c>
      <c r="F478" s="88" t="s">
        <v>887</v>
      </c>
    </row>
    <row r="479" spans="2:6">
      <c r="B479" s="86">
        <v>565</v>
      </c>
      <c r="D479" s="88" t="s">
        <v>315</v>
      </c>
      <c r="E479" s="88" t="s">
        <v>888</v>
      </c>
      <c r="F479" s="88" t="s">
        <v>888</v>
      </c>
    </row>
    <row r="480" spans="2:6">
      <c r="B480" s="86">
        <v>566</v>
      </c>
      <c r="D480" s="88" t="s">
        <v>316</v>
      </c>
      <c r="E480" s="88" t="s">
        <v>889</v>
      </c>
      <c r="F480" s="88" t="s">
        <v>889</v>
      </c>
    </row>
    <row r="481" spans="2:6" ht="39.6">
      <c r="B481" s="86">
        <v>567</v>
      </c>
      <c r="D481" s="88" t="s">
        <v>317</v>
      </c>
      <c r="E481" s="88" t="s">
        <v>890</v>
      </c>
      <c r="F481" s="88" t="s">
        <v>890</v>
      </c>
    </row>
    <row r="482" spans="2:6" ht="26.4">
      <c r="B482" s="86">
        <v>568</v>
      </c>
      <c r="D482" s="88" t="s">
        <v>318</v>
      </c>
      <c r="E482" s="88" t="s">
        <v>891</v>
      </c>
      <c r="F482" s="88" t="s">
        <v>891</v>
      </c>
    </row>
    <row r="483" spans="2:6">
      <c r="B483" s="86">
        <v>569</v>
      </c>
      <c r="D483" s="88" t="s">
        <v>319</v>
      </c>
      <c r="E483" s="88" t="s">
        <v>892</v>
      </c>
      <c r="F483" s="88" t="s">
        <v>892</v>
      </c>
    </row>
    <row r="484" spans="2:6">
      <c r="B484" s="86">
        <v>570</v>
      </c>
      <c r="D484" s="88" t="s">
        <v>320</v>
      </c>
      <c r="E484" s="88" t="s">
        <v>893</v>
      </c>
      <c r="F484" s="88" t="s">
        <v>893</v>
      </c>
    </row>
    <row r="485" spans="2:6" ht="26.4">
      <c r="B485" s="86">
        <v>571</v>
      </c>
      <c r="D485" s="88" t="s">
        <v>479</v>
      </c>
      <c r="E485" s="88" t="s">
        <v>894</v>
      </c>
      <c r="F485" s="88" t="s">
        <v>894</v>
      </c>
    </row>
    <row r="486" spans="2:6">
      <c r="B486" s="86">
        <v>572</v>
      </c>
      <c r="D486" s="88" t="s">
        <v>321</v>
      </c>
      <c r="E486" s="88" t="s">
        <v>895</v>
      </c>
      <c r="F486" s="88" t="s">
        <v>895</v>
      </c>
    </row>
    <row r="487" spans="2:6">
      <c r="B487" s="86">
        <v>573</v>
      </c>
      <c r="D487" s="88" t="s">
        <v>322</v>
      </c>
      <c r="E487" s="88" t="s">
        <v>896</v>
      </c>
      <c r="F487" s="88" t="s">
        <v>896</v>
      </c>
    </row>
    <row r="488" spans="2:6">
      <c r="B488" s="86">
        <v>574</v>
      </c>
      <c r="D488" s="88" t="s">
        <v>1255</v>
      </c>
      <c r="E488" s="88" t="s">
        <v>1256</v>
      </c>
      <c r="F488" s="88" t="s">
        <v>1256</v>
      </c>
    </row>
    <row r="489" spans="2:6">
      <c r="B489" s="86">
        <v>575</v>
      </c>
      <c r="D489" s="88" t="s">
        <v>1249</v>
      </c>
      <c r="E489" s="88" t="s">
        <v>1250</v>
      </c>
      <c r="F489" s="88" t="s">
        <v>1250</v>
      </c>
    </row>
    <row r="490" spans="2:6">
      <c r="B490" s="86">
        <v>576</v>
      </c>
      <c r="D490" s="88" t="s">
        <v>323</v>
      </c>
      <c r="E490" s="88" t="s">
        <v>897</v>
      </c>
      <c r="F490" s="88" t="s">
        <v>897</v>
      </c>
    </row>
    <row r="491" spans="2:6">
      <c r="B491" s="86">
        <v>577</v>
      </c>
      <c r="D491" s="88" t="s">
        <v>480</v>
      </c>
      <c r="E491" s="88" t="s">
        <v>898</v>
      </c>
      <c r="F491" s="88" t="s">
        <v>898</v>
      </c>
    </row>
    <row r="492" spans="2:6" ht="39.6">
      <c r="B492" s="86">
        <v>578</v>
      </c>
      <c r="D492" s="88" t="s">
        <v>481</v>
      </c>
      <c r="E492" s="88" t="s">
        <v>899</v>
      </c>
      <c r="F492" s="88" t="s">
        <v>899</v>
      </c>
    </row>
    <row r="493" spans="2:6">
      <c r="B493" s="86">
        <v>579</v>
      </c>
      <c r="D493" s="88" t="s">
        <v>324</v>
      </c>
      <c r="E493" s="88" t="s">
        <v>900</v>
      </c>
      <c r="F493" s="88" t="s">
        <v>900</v>
      </c>
    </row>
    <row r="494" spans="2:6">
      <c r="B494" s="86">
        <v>580</v>
      </c>
      <c r="D494" s="88" t="s">
        <v>325</v>
      </c>
      <c r="E494" s="88" t="s">
        <v>901</v>
      </c>
      <c r="F494" s="88" t="s">
        <v>901</v>
      </c>
    </row>
    <row r="495" spans="2:6">
      <c r="B495" s="86">
        <v>581</v>
      </c>
      <c r="C495" s="87" t="s">
        <v>585</v>
      </c>
      <c r="D495" s="85" t="s">
        <v>580</v>
      </c>
      <c r="E495" s="158" t="s">
        <v>571</v>
      </c>
      <c r="F495" s="158" t="s">
        <v>571</v>
      </c>
    </row>
    <row r="496" spans="2:6">
      <c r="B496" s="86">
        <v>582</v>
      </c>
      <c r="C496" s="87" t="s">
        <v>585</v>
      </c>
      <c r="D496" s="88" t="s">
        <v>578</v>
      </c>
      <c r="E496" s="158" t="s">
        <v>569</v>
      </c>
      <c r="F496" s="158" t="s">
        <v>569</v>
      </c>
    </row>
    <row r="497" spans="1:6">
      <c r="B497" s="86">
        <v>583</v>
      </c>
      <c r="D497" s="88" t="s">
        <v>326</v>
      </c>
      <c r="E497" s="88" t="s">
        <v>902</v>
      </c>
      <c r="F497" s="88" t="s">
        <v>902</v>
      </c>
    </row>
    <row r="498" spans="1:6" ht="39.6">
      <c r="B498" s="86">
        <v>584</v>
      </c>
      <c r="D498" s="88" t="s">
        <v>327</v>
      </c>
      <c r="E498" s="88" t="s">
        <v>903</v>
      </c>
      <c r="F498" s="88" t="s">
        <v>903</v>
      </c>
    </row>
    <row r="499" spans="1:6">
      <c r="B499" s="86">
        <v>585</v>
      </c>
      <c r="D499" s="88" t="s">
        <v>328</v>
      </c>
      <c r="E499" s="88" t="s">
        <v>904</v>
      </c>
      <c r="F499" s="88" t="s">
        <v>904</v>
      </c>
    </row>
    <row r="500" spans="1:6">
      <c r="A500" s="155"/>
      <c r="B500" s="86">
        <v>586</v>
      </c>
      <c r="C500" s="156" t="s">
        <v>490</v>
      </c>
      <c r="D500" s="154" t="s">
        <v>496</v>
      </c>
      <c r="E500" s="154" t="s">
        <v>905</v>
      </c>
      <c r="F500" s="154" t="s">
        <v>905</v>
      </c>
    </row>
    <row r="501" spans="1:6">
      <c r="A501" s="155"/>
      <c r="B501" s="86">
        <v>587</v>
      </c>
      <c r="C501" s="156" t="s">
        <v>490</v>
      </c>
      <c r="D501" s="154" t="s">
        <v>525</v>
      </c>
      <c r="E501" s="154" t="s">
        <v>906</v>
      </c>
      <c r="F501" s="154" t="s">
        <v>906</v>
      </c>
    </row>
    <row r="502" spans="1:6">
      <c r="B502" s="86">
        <v>588</v>
      </c>
      <c r="D502" s="88" t="s">
        <v>329</v>
      </c>
      <c r="E502" s="154" t="s">
        <v>907</v>
      </c>
      <c r="F502" s="154" t="s">
        <v>907</v>
      </c>
    </row>
    <row r="503" spans="1:6">
      <c r="B503" s="86">
        <v>589</v>
      </c>
      <c r="D503" s="88" t="s">
        <v>330</v>
      </c>
      <c r="E503" s="88" t="s">
        <v>908</v>
      </c>
      <c r="F503" s="88" t="s">
        <v>908</v>
      </c>
    </row>
    <row r="504" spans="1:6">
      <c r="B504" s="86">
        <v>590</v>
      </c>
      <c r="D504" s="88" t="s">
        <v>331</v>
      </c>
      <c r="E504" s="88" t="s">
        <v>909</v>
      </c>
      <c r="F504" s="88" t="s">
        <v>909</v>
      </c>
    </row>
    <row r="505" spans="1:6" ht="26.4">
      <c r="B505" s="86">
        <v>591</v>
      </c>
      <c r="D505" s="88" t="s">
        <v>332</v>
      </c>
      <c r="E505" s="88" t="s">
        <v>910</v>
      </c>
      <c r="F505" s="88" t="s">
        <v>910</v>
      </c>
    </row>
    <row r="506" spans="1:6">
      <c r="B506" s="86">
        <v>592</v>
      </c>
      <c r="D506" s="88" t="s">
        <v>333</v>
      </c>
      <c r="E506" s="88" t="s">
        <v>911</v>
      </c>
      <c r="F506" s="88" t="s">
        <v>911</v>
      </c>
    </row>
    <row r="507" spans="1:6" ht="39.6">
      <c r="B507" s="86">
        <v>593</v>
      </c>
      <c r="D507" s="88" t="s">
        <v>334</v>
      </c>
      <c r="E507" s="88" t="s">
        <v>912</v>
      </c>
      <c r="F507" s="88" t="s">
        <v>912</v>
      </c>
    </row>
    <row r="508" spans="1:6">
      <c r="B508" s="86">
        <v>594</v>
      </c>
      <c r="D508" s="88" t="s">
        <v>335</v>
      </c>
      <c r="E508" s="88" t="s">
        <v>1010</v>
      </c>
      <c r="F508" s="88" t="s">
        <v>1010</v>
      </c>
    </row>
    <row r="509" spans="1:6">
      <c r="B509" s="86">
        <v>595</v>
      </c>
      <c r="D509" s="88" t="s">
        <v>336</v>
      </c>
      <c r="E509" s="88" t="s">
        <v>913</v>
      </c>
      <c r="F509" s="88" t="s">
        <v>913</v>
      </c>
    </row>
    <row r="510" spans="1:6">
      <c r="B510" s="86">
        <v>596</v>
      </c>
      <c r="D510" s="88" t="s">
        <v>337</v>
      </c>
      <c r="E510" s="88" t="s">
        <v>914</v>
      </c>
      <c r="F510" s="88" t="s">
        <v>914</v>
      </c>
    </row>
    <row r="511" spans="1:6">
      <c r="B511" s="86">
        <v>597</v>
      </c>
      <c r="D511" s="88" t="s">
        <v>338</v>
      </c>
      <c r="E511" s="88" t="s">
        <v>915</v>
      </c>
      <c r="F511" s="88" t="s">
        <v>915</v>
      </c>
    </row>
    <row r="512" spans="1:6">
      <c r="B512" s="86">
        <v>598</v>
      </c>
      <c r="D512" s="88" t="s">
        <v>339</v>
      </c>
      <c r="E512" s="88" t="s">
        <v>916</v>
      </c>
      <c r="F512" s="88" t="s">
        <v>916</v>
      </c>
    </row>
    <row r="513" spans="2:6">
      <c r="B513" s="86">
        <v>599</v>
      </c>
      <c r="D513" s="88" t="s">
        <v>340</v>
      </c>
      <c r="E513" s="88" t="s">
        <v>917</v>
      </c>
      <c r="F513" s="88" t="s">
        <v>917</v>
      </c>
    </row>
    <row r="514" spans="2:6">
      <c r="B514" s="86">
        <v>600</v>
      </c>
      <c r="D514" s="88" t="s">
        <v>341</v>
      </c>
      <c r="E514" s="88" t="s">
        <v>341</v>
      </c>
      <c r="F514" s="88" t="s">
        <v>341</v>
      </c>
    </row>
    <row r="515" spans="2:6">
      <c r="B515" s="86">
        <v>601</v>
      </c>
      <c r="D515" s="88" t="s">
        <v>482</v>
      </c>
      <c r="E515" s="88" t="s">
        <v>918</v>
      </c>
      <c r="F515" s="88" t="s">
        <v>918</v>
      </c>
    </row>
    <row r="516" spans="2:6" ht="26.4">
      <c r="B516" s="86">
        <v>602</v>
      </c>
      <c r="D516" s="88" t="s">
        <v>342</v>
      </c>
      <c r="E516" s="88" t="s">
        <v>919</v>
      </c>
      <c r="F516" s="88" t="s">
        <v>919</v>
      </c>
    </row>
    <row r="517" spans="2:6">
      <c r="B517" s="86">
        <v>603</v>
      </c>
      <c r="D517" s="88" t="s">
        <v>343</v>
      </c>
      <c r="E517" s="88" t="s">
        <v>343</v>
      </c>
      <c r="F517" s="88" t="s">
        <v>343</v>
      </c>
    </row>
    <row r="518" spans="2:6">
      <c r="B518" s="86">
        <v>604</v>
      </c>
      <c r="D518" s="88" t="s">
        <v>1209</v>
      </c>
      <c r="E518" s="88" t="s">
        <v>1211</v>
      </c>
      <c r="F518" s="88" t="s">
        <v>1211</v>
      </c>
    </row>
    <row r="519" spans="2:6">
      <c r="B519" s="86">
        <v>605</v>
      </c>
      <c r="D519" s="88" t="s">
        <v>1208</v>
      </c>
      <c r="E519" s="88" t="s">
        <v>1210</v>
      </c>
      <c r="F519" s="88" t="s">
        <v>1210</v>
      </c>
    </row>
    <row r="520" spans="2:6">
      <c r="B520" s="86">
        <v>606</v>
      </c>
      <c r="D520" s="88" t="s">
        <v>483</v>
      </c>
      <c r="F520" s="88"/>
    </row>
    <row r="521" spans="2:6">
      <c r="B521" s="86">
        <v>607</v>
      </c>
      <c r="D521" s="88" t="s">
        <v>344</v>
      </c>
      <c r="E521" s="88" t="s">
        <v>920</v>
      </c>
      <c r="F521" s="88" t="s">
        <v>920</v>
      </c>
    </row>
    <row r="522" spans="2:6">
      <c r="B522" s="86">
        <v>608</v>
      </c>
      <c r="C522" s="87" t="s">
        <v>994</v>
      </c>
      <c r="D522" s="88" t="s">
        <v>998</v>
      </c>
      <c r="E522" s="88" t="s">
        <v>999</v>
      </c>
      <c r="F522" s="88" t="s">
        <v>999</v>
      </c>
    </row>
    <row r="523" spans="2:6">
      <c r="B523" s="86">
        <v>609</v>
      </c>
      <c r="D523" s="88" t="s">
        <v>484</v>
      </c>
      <c r="E523" s="88" t="s">
        <v>921</v>
      </c>
      <c r="F523" s="88" t="s">
        <v>921</v>
      </c>
    </row>
    <row r="524" spans="2:6">
      <c r="B524" s="86">
        <v>610</v>
      </c>
      <c r="D524" s="88" t="s">
        <v>485</v>
      </c>
      <c r="E524" s="88" t="s">
        <v>922</v>
      </c>
      <c r="F524" s="88" t="s">
        <v>922</v>
      </c>
    </row>
    <row r="525" spans="2:6">
      <c r="B525" s="86">
        <v>611</v>
      </c>
      <c r="D525" s="88" t="s">
        <v>486</v>
      </c>
      <c r="E525" s="88" t="s">
        <v>921</v>
      </c>
      <c r="F525" s="88" t="s">
        <v>921</v>
      </c>
    </row>
    <row r="526" spans="2:6">
      <c r="B526" s="86">
        <v>612</v>
      </c>
      <c r="D526" s="88" t="s">
        <v>345</v>
      </c>
      <c r="E526" s="88" t="s">
        <v>532</v>
      </c>
      <c r="F526" s="88" t="s">
        <v>532</v>
      </c>
    </row>
    <row r="527" spans="2:6">
      <c r="B527" s="86">
        <v>613</v>
      </c>
      <c r="D527" s="88" t="s">
        <v>346</v>
      </c>
      <c r="E527" s="88" t="s">
        <v>923</v>
      </c>
      <c r="F527" s="88" t="s">
        <v>923</v>
      </c>
    </row>
    <row r="528" spans="2:6">
      <c r="B528" s="86">
        <v>614</v>
      </c>
      <c r="D528" s="88" t="s">
        <v>347</v>
      </c>
      <c r="E528" s="88" t="s">
        <v>924</v>
      </c>
      <c r="F528" s="88" t="s">
        <v>924</v>
      </c>
    </row>
    <row r="529" spans="1:6">
      <c r="B529" s="86">
        <v>615</v>
      </c>
      <c r="D529" s="88" t="s">
        <v>1332</v>
      </c>
      <c r="E529" s="88" t="s">
        <v>1334</v>
      </c>
      <c r="F529" s="88" t="s">
        <v>1334</v>
      </c>
    </row>
    <row r="530" spans="1:6">
      <c r="B530" s="86">
        <v>616</v>
      </c>
      <c r="D530" s="88" t="s">
        <v>1331</v>
      </c>
      <c r="E530" s="88" t="s">
        <v>1333</v>
      </c>
      <c r="F530" s="88" t="s">
        <v>1333</v>
      </c>
    </row>
    <row r="531" spans="1:6" ht="39.6">
      <c r="B531" s="86">
        <v>617</v>
      </c>
      <c r="C531" s="87" t="s">
        <v>1110</v>
      </c>
      <c r="D531" s="88" t="s">
        <v>1151</v>
      </c>
      <c r="E531" s="88" t="s">
        <v>1114</v>
      </c>
      <c r="F531" s="88" t="s">
        <v>1114</v>
      </c>
    </row>
    <row r="532" spans="1:6" ht="39.6">
      <c r="B532" s="86">
        <v>618</v>
      </c>
      <c r="C532" s="87" t="s">
        <v>1110</v>
      </c>
      <c r="D532" s="88" t="s">
        <v>1167</v>
      </c>
      <c r="E532" s="88" t="s">
        <v>1131</v>
      </c>
      <c r="F532" s="88" t="s">
        <v>1131</v>
      </c>
    </row>
    <row r="533" spans="1:6">
      <c r="B533" s="86">
        <v>619</v>
      </c>
      <c r="D533" s="88" t="s">
        <v>348</v>
      </c>
      <c r="E533" s="88" t="s">
        <v>925</v>
      </c>
      <c r="F533" s="88" t="s">
        <v>925</v>
      </c>
    </row>
    <row r="534" spans="1:6">
      <c r="B534" s="86">
        <v>620</v>
      </c>
      <c r="D534" s="88" t="s">
        <v>1215</v>
      </c>
      <c r="E534" s="88" t="s">
        <v>1216</v>
      </c>
      <c r="F534" s="88" t="s">
        <v>1216</v>
      </c>
    </row>
    <row r="535" spans="1:6">
      <c r="B535" s="86">
        <v>621</v>
      </c>
      <c r="D535" s="88" t="s">
        <v>1090</v>
      </c>
      <c r="E535" s="88" t="s">
        <v>1090</v>
      </c>
      <c r="F535" s="88" t="s">
        <v>1090</v>
      </c>
    </row>
    <row r="536" spans="1:6">
      <c r="B536" s="86">
        <v>622</v>
      </c>
      <c r="D536" s="88" t="s">
        <v>349</v>
      </c>
      <c r="F536" s="88"/>
    </row>
    <row r="537" spans="1:6">
      <c r="B537" s="86">
        <v>623</v>
      </c>
      <c r="D537" s="88" t="s">
        <v>350</v>
      </c>
      <c r="F537" s="88"/>
    </row>
    <row r="538" spans="1:6">
      <c r="B538" s="86">
        <v>624</v>
      </c>
      <c r="D538" s="88" t="s">
        <v>1088</v>
      </c>
      <c r="E538" s="88" t="s">
        <v>1089</v>
      </c>
      <c r="F538" s="88" t="s">
        <v>1089</v>
      </c>
    </row>
    <row r="539" spans="1:6">
      <c r="B539" s="86">
        <v>625</v>
      </c>
      <c r="D539" s="88" t="s">
        <v>351</v>
      </c>
      <c r="E539" s="88" t="s">
        <v>926</v>
      </c>
      <c r="F539" s="88" t="s">
        <v>926</v>
      </c>
    </row>
    <row r="540" spans="1:6">
      <c r="B540" s="86">
        <v>626</v>
      </c>
      <c r="D540" s="88" t="s">
        <v>487</v>
      </c>
      <c r="E540" s="88" t="s">
        <v>927</v>
      </c>
      <c r="F540" s="88" t="s">
        <v>927</v>
      </c>
    </row>
    <row r="541" spans="1:6">
      <c r="B541" s="86">
        <v>627</v>
      </c>
      <c r="D541" s="88" t="s">
        <v>352</v>
      </c>
      <c r="E541" s="88" t="s">
        <v>928</v>
      </c>
      <c r="F541" s="88" t="s">
        <v>928</v>
      </c>
    </row>
    <row r="542" spans="1:6">
      <c r="B542" s="86">
        <v>628</v>
      </c>
      <c r="D542" s="88" t="s">
        <v>415</v>
      </c>
      <c r="E542" s="88" t="s">
        <v>929</v>
      </c>
      <c r="F542" s="88" t="s">
        <v>929</v>
      </c>
    </row>
    <row r="543" spans="1:6">
      <c r="B543" s="86">
        <v>629</v>
      </c>
      <c r="D543" s="88" t="s">
        <v>353</v>
      </c>
      <c r="E543" s="88" t="s">
        <v>928</v>
      </c>
      <c r="F543" s="88" t="s">
        <v>928</v>
      </c>
    </row>
    <row r="544" spans="1:6" ht="26.4">
      <c r="A544" s="154"/>
      <c r="B544" s="86">
        <v>630</v>
      </c>
      <c r="C544" s="154"/>
      <c r="D544" s="154" t="s">
        <v>526</v>
      </c>
      <c r="E544" s="154" t="s">
        <v>930</v>
      </c>
      <c r="F544" s="154" t="s">
        <v>930</v>
      </c>
    </row>
    <row r="545" spans="2:6">
      <c r="B545" s="86">
        <v>631</v>
      </c>
      <c r="C545" s="87" t="s">
        <v>1110</v>
      </c>
      <c r="D545" s="88" t="s">
        <v>1148</v>
      </c>
      <c r="E545" s="88" t="s">
        <v>1109</v>
      </c>
      <c r="F545" s="88" t="s">
        <v>1109</v>
      </c>
    </row>
    <row r="546" spans="2:6">
      <c r="B546" s="86">
        <v>632</v>
      </c>
      <c r="C546" s="87" t="s">
        <v>1110</v>
      </c>
      <c r="D546" s="88" t="s">
        <v>1460</v>
      </c>
      <c r="E546" s="88" t="s">
        <v>1461</v>
      </c>
      <c r="F546" s="88" t="s">
        <v>1461</v>
      </c>
    </row>
    <row r="547" spans="2:6">
      <c r="B547" s="86">
        <v>633</v>
      </c>
      <c r="D547" s="88" t="s">
        <v>354</v>
      </c>
      <c r="E547" s="88" t="s">
        <v>354</v>
      </c>
      <c r="F547" s="88" t="s">
        <v>354</v>
      </c>
    </row>
    <row r="548" spans="2:6">
      <c r="B548" s="86">
        <v>634</v>
      </c>
      <c r="D548" s="88" t="s">
        <v>355</v>
      </c>
      <c r="E548" s="88" t="s">
        <v>931</v>
      </c>
      <c r="F548" s="88" t="s">
        <v>931</v>
      </c>
    </row>
    <row r="549" spans="2:6">
      <c r="B549" s="86">
        <v>635</v>
      </c>
      <c r="D549" s="88" t="s">
        <v>356</v>
      </c>
      <c r="E549" s="88" t="s">
        <v>932</v>
      </c>
      <c r="F549" s="88" t="s">
        <v>932</v>
      </c>
    </row>
    <row r="550" spans="2:6">
      <c r="B550" s="86">
        <v>636</v>
      </c>
      <c r="D550" s="88" t="s">
        <v>488</v>
      </c>
      <c r="E550" s="88" t="s">
        <v>933</v>
      </c>
      <c r="F550" s="88" t="s">
        <v>933</v>
      </c>
    </row>
    <row r="551" spans="2:6" ht="26.4">
      <c r="B551" s="86">
        <v>637</v>
      </c>
      <c r="C551" s="87" t="s">
        <v>1110</v>
      </c>
      <c r="D551" s="88" t="s">
        <v>1169</v>
      </c>
      <c r="E551" s="88" t="s">
        <v>1168</v>
      </c>
      <c r="F551" s="88" t="s">
        <v>1168</v>
      </c>
    </row>
    <row r="552" spans="2:6">
      <c r="B552" s="86">
        <v>638</v>
      </c>
      <c r="D552" s="88" t="s">
        <v>357</v>
      </c>
      <c r="E552" s="88" t="s">
        <v>934</v>
      </c>
      <c r="F552" s="88" t="s">
        <v>934</v>
      </c>
    </row>
    <row r="553" spans="2:6" ht="39.6">
      <c r="B553" s="86">
        <v>639</v>
      </c>
      <c r="C553" s="87" t="s">
        <v>1110</v>
      </c>
      <c r="D553" s="88" t="s">
        <v>1178</v>
      </c>
      <c r="E553" s="88" t="s">
        <v>1138</v>
      </c>
      <c r="F553" s="88" t="s">
        <v>1138</v>
      </c>
    </row>
    <row r="554" spans="2:6">
      <c r="B554" s="86">
        <v>640</v>
      </c>
      <c r="D554" s="88" t="s">
        <v>358</v>
      </c>
      <c r="E554" s="88" t="s">
        <v>935</v>
      </c>
      <c r="F554" s="88" t="s">
        <v>935</v>
      </c>
    </row>
    <row r="555" spans="2:6">
      <c r="B555" s="86">
        <v>641</v>
      </c>
      <c r="D555" s="88" t="s">
        <v>359</v>
      </c>
      <c r="E555" s="88" t="s">
        <v>936</v>
      </c>
      <c r="F555" s="88" t="s">
        <v>936</v>
      </c>
    </row>
    <row r="556" spans="2:6">
      <c r="B556" s="86">
        <v>642</v>
      </c>
      <c r="D556" s="88" t="s">
        <v>489</v>
      </c>
      <c r="E556" s="88" t="s">
        <v>937</v>
      </c>
      <c r="F556" s="88" t="s">
        <v>937</v>
      </c>
    </row>
    <row r="557" spans="2:6" ht="26.4">
      <c r="B557" s="86">
        <v>643</v>
      </c>
      <c r="D557" s="88" t="s">
        <v>360</v>
      </c>
      <c r="E557" s="88" t="s">
        <v>938</v>
      </c>
      <c r="F557" s="88" t="s">
        <v>938</v>
      </c>
    </row>
    <row r="558" spans="2:6">
      <c r="B558" s="86">
        <v>644</v>
      </c>
      <c r="D558" s="88" t="s">
        <v>361</v>
      </c>
      <c r="E558" s="88" t="s">
        <v>936</v>
      </c>
      <c r="F558" s="88" t="s">
        <v>936</v>
      </c>
    </row>
    <row r="559" spans="2:6">
      <c r="B559" s="86">
        <v>645</v>
      </c>
      <c r="D559" s="88" t="s">
        <v>362</v>
      </c>
      <c r="E559" s="88" t="s">
        <v>939</v>
      </c>
      <c r="F559" s="88" t="s">
        <v>939</v>
      </c>
    </row>
    <row r="560" spans="2:6">
      <c r="B560" s="86">
        <v>646</v>
      </c>
      <c r="D560" s="88" t="s">
        <v>363</v>
      </c>
      <c r="E560" s="88" t="s">
        <v>940</v>
      </c>
      <c r="F560" s="88" t="s">
        <v>940</v>
      </c>
    </row>
    <row r="561" spans="2:27">
      <c r="B561" s="86">
        <v>647</v>
      </c>
      <c r="D561" s="88" t="s">
        <v>364</v>
      </c>
      <c r="E561" s="88" t="s">
        <v>941</v>
      </c>
      <c r="F561" s="88" t="s">
        <v>941</v>
      </c>
    </row>
    <row r="562" spans="2:27">
      <c r="B562" s="86">
        <v>648</v>
      </c>
      <c r="D562" s="88" t="s">
        <v>365</v>
      </c>
      <c r="E562" s="88" t="s">
        <v>942</v>
      </c>
      <c r="F562" s="88" t="s">
        <v>942</v>
      </c>
      <c r="G562" s="154"/>
      <c r="H562" s="154"/>
      <c r="I562" s="154"/>
      <c r="J562" s="154"/>
      <c r="K562" s="154"/>
      <c r="L562" s="154"/>
      <c r="M562" s="154"/>
      <c r="N562" s="154"/>
      <c r="O562" s="154"/>
      <c r="P562" s="154"/>
      <c r="Q562" s="154"/>
      <c r="R562" s="154"/>
      <c r="S562" s="154"/>
      <c r="T562" s="154"/>
      <c r="U562" s="154"/>
      <c r="V562" s="154"/>
      <c r="W562" s="154"/>
      <c r="X562" s="154"/>
      <c r="Y562" s="154"/>
      <c r="Z562" s="154"/>
      <c r="AA562" s="154"/>
    </row>
    <row r="563" spans="2:27" ht="26.4">
      <c r="B563" s="86">
        <v>649</v>
      </c>
      <c r="D563" s="88" t="s">
        <v>366</v>
      </c>
      <c r="E563" s="88" t="s">
        <v>943</v>
      </c>
      <c r="F563" s="88" t="s">
        <v>943</v>
      </c>
      <c r="G563" s="154"/>
      <c r="H563" s="154"/>
      <c r="I563" s="154"/>
      <c r="J563" s="154"/>
      <c r="K563" s="154"/>
      <c r="L563" s="154"/>
      <c r="M563" s="154"/>
      <c r="N563" s="154"/>
      <c r="O563" s="154"/>
      <c r="P563" s="154"/>
      <c r="Q563" s="154"/>
      <c r="R563" s="154"/>
      <c r="S563" s="154"/>
      <c r="T563" s="154"/>
      <c r="U563" s="154"/>
      <c r="V563" s="154"/>
      <c r="W563" s="154"/>
      <c r="X563" s="154"/>
      <c r="Y563" s="154"/>
      <c r="Z563" s="154"/>
      <c r="AA563" s="154"/>
    </row>
    <row r="564" spans="2:27">
      <c r="B564" s="86">
        <v>650</v>
      </c>
      <c r="D564" s="88" t="s">
        <v>367</v>
      </c>
      <c r="E564" s="88" t="s">
        <v>935</v>
      </c>
      <c r="F564" s="88" t="s">
        <v>935</v>
      </c>
      <c r="G564" s="155"/>
      <c r="H564" s="155"/>
      <c r="I564" s="155"/>
      <c r="J564" s="155"/>
      <c r="K564" s="155"/>
      <c r="L564" s="155"/>
      <c r="M564" s="155"/>
      <c r="N564" s="155"/>
      <c r="O564" s="155"/>
      <c r="P564" s="155"/>
      <c r="Q564" s="155"/>
      <c r="R564" s="155"/>
      <c r="S564" s="155"/>
      <c r="T564" s="155"/>
      <c r="U564" s="155"/>
      <c r="V564" s="155"/>
      <c r="W564" s="155"/>
      <c r="X564" s="155"/>
      <c r="Y564" s="155"/>
      <c r="Z564" s="155"/>
      <c r="AA564" s="155"/>
    </row>
    <row r="565" spans="2:27" ht="26.4">
      <c r="B565" s="86">
        <v>651</v>
      </c>
      <c r="C565" s="87" t="s">
        <v>1110</v>
      </c>
      <c r="D565" s="88" t="s">
        <v>1170</v>
      </c>
      <c r="E565" s="88" t="s">
        <v>1132</v>
      </c>
      <c r="F565" s="88" t="s">
        <v>1132</v>
      </c>
    </row>
    <row r="566" spans="2:27" ht="26.4">
      <c r="B566" s="86">
        <v>652</v>
      </c>
      <c r="D566" s="88" t="s">
        <v>368</v>
      </c>
      <c r="E566" s="88" t="s">
        <v>944</v>
      </c>
      <c r="F566" s="88" t="s">
        <v>944</v>
      </c>
      <c r="G566" s="155"/>
      <c r="H566" s="155"/>
      <c r="I566" s="155"/>
      <c r="J566" s="155"/>
      <c r="K566" s="155"/>
      <c r="L566" s="155"/>
      <c r="M566" s="155"/>
      <c r="N566" s="155"/>
      <c r="O566" s="155"/>
      <c r="P566" s="155"/>
      <c r="Q566" s="155"/>
      <c r="R566" s="155"/>
      <c r="S566" s="155"/>
      <c r="T566" s="155"/>
      <c r="U566" s="155"/>
      <c r="V566" s="155"/>
      <c r="W566" s="155"/>
      <c r="X566" s="155"/>
      <c r="Y566" s="155"/>
      <c r="Z566" s="155"/>
      <c r="AA566" s="155"/>
    </row>
    <row r="567" spans="2:27" ht="39.6">
      <c r="B567" s="86">
        <v>653</v>
      </c>
      <c r="D567" s="88" t="s">
        <v>369</v>
      </c>
      <c r="E567" s="88" t="s">
        <v>945</v>
      </c>
      <c r="F567" s="88" t="s">
        <v>945</v>
      </c>
      <c r="G567" s="155"/>
      <c r="H567" s="155"/>
      <c r="I567" s="155"/>
      <c r="J567" s="155"/>
      <c r="K567" s="155"/>
      <c r="L567" s="155"/>
      <c r="M567" s="155"/>
      <c r="N567" s="155"/>
      <c r="O567" s="155"/>
      <c r="P567" s="155"/>
      <c r="Q567" s="155"/>
      <c r="R567" s="155"/>
      <c r="S567" s="155"/>
      <c r="T567" s="155"/>
      <c r="U567" s="155"/>
      <c r="V567" s="155"/>
      <c r="W567" s="155"/>
      <c r="X567" s="155"/>
      <c r="Y567" s="155"/>
      <c r="Z567" s="155"/>
      <c r="AA567" s="155"/>
    </row>
    <row r="568" spans="2:27">
      <c r="B568" s="86">
        <v>654</v>
      </c>
      <c r="D568" s="88" t="s">
        <v>370</v>
      </c>
      <c r="E568" s="88" t="s">
        <v>946</v>
      </c>
      <c r="F568" s="88" t="s">
        <v>946</v>
      </c>
      <c r="G568" s="155"/>
      <c r="H568" s="155"/>
      <c r="I568" s="155"/>
      <c r="J568" s="155"/>
      <c r="K568" s="155"/>
      <c r="L568" s="155"/>
      <c r="M568" s="155"/>
      <c r="N568" s="155"/>
      <c r="O568" s="155"/>
      <c r="P568" s="155"/>
      <c r="Q568" s="155"/>
      <c r="R568" s="155"/>
      <c r="S568" s="155"/>
      <c r="T568" s="155"/>
      <c r="U568" s="155"/>
      <c r="V568" s="155"/>
      <c r="W568" s="155"/>
      <c r="X568" s="155"/>
      <c r="Y568" s="155"/>
      <c r="Z568" s="155"/>
      <c r="AA568" s="155"/>
    </row>
    <row r="569" spans="2:27" ht="39.6">
      <c r="B569" s="86">
        <v>655</v>
      </c>
      <c r="D569" s="88" t="s">
        <v>371</v>
      </c>
      <c r="E569" s="88" t="s">
        <v>947</v>
      </c>
      <c r="F569" s="88" t="s">
        <v>947</v>
      </c>
      <c r="G569" s="155"/>
      <c r="H569" s="155"/>
      <c r="I569" s="155"/>
      <c r="J569" s="155"/>
      <c r="K569" s="155"/>
      <c r="L569" s="155"/>
      <c r="M569" s="155"/>
      <c r="N569" s="155"/>
      <c r="O569" s="155"/>
      <c r="P569" s="155"/>
      <c r="Q569" s="155"/>
      <c r="R569" s="155"/>
      <c r="S569" s="155"/>
      <c r="T569" s="155"/>
      <c r="U569" s="155"/>
      <c r="V569" s="155"/>
      <c r="W569" s="155"/>
      <c r="X569" s="155"/>
      <c r="Y569" s="155"/>
      <c r="Z569" s="155"/>
      <c r="AA569" s="155"/>
    </row>
    <row r="570" spans="2:27">
      <c r="B570" s="86">
        <v>656</v>
      </c>
      <c r="D570" s="88" t="s">
        <v>372</v>
      </c>
      <c r="E570" s="88" t="s">
        <v>948</v>
      </c>
      <c r="F570" s="88" t="s">
        <v>948</v>
      </c>
      <c r="G570" s="155"/>
      <c r="H570" s="155"/>
      <c r="I570" s="155"/>
      <c r="J570" s="155"/>
      <c r="K570" s="155"/>
      <c r="L570" s="155"/>
      <c r="M570" s="155"/>
      <c r="N570" s="155"/>
      <c r="O570" s="155"/>
      <c r="P570" s="155"/>
      <c r="Q570" s="155"/>
      <c r="R570" s="155"/>
      <c r="S570" s="155"/>
      <c r="T570" s="155"/>
      <c r="U570" s="155"/>
      <c r="V570" s="155"/>
      <c r="W570" s="155"/>
      <c r="X570" s="155"/>
      <c r="Y570" s="155"/>
      <c r="Z570" s="155"/>
      <c r="AA570" s="155"/>
    </row>
    <row r="571" spans="2:27">
      <c r="B571" s="86">
        <v>657</v>
      </c>
      <c r="D571" s="88" t="s">
        <v>373</v>
      </c>
      <c r="E571" s="88" t="s">
        <v>949</v>
      </c>
      <c r="F571" s="88" t="s">
        <v>949</v>
      </c>
      <c r="G571" s="155"/>
      <c r="H571" s="155"/>
      <c r="I571" s="155"/>
      <c r="J571" s="155"/>
      <c r="K571" s="155"/>
      <c r="L571" s="155"/>
      <c r="M571" s="155"/>
      <c r="N571" s="155"/>
      <c r="O571" s="155"/>
      <c r="P571" s="155"/>
      <c r="Q571" s="155"/>
      <c r="R571" s="155"/>
      <c r="S571" s="155"/>
      <c r="T571" s="155"/>
      <c r="U571" s="155"/>
      <c r="V571" s="155"/>
      <c r="W571" s="155"/>
      <c r="X571" s="155"/>
      <c r="Y571" s="155"/>
      <c r="Z571" s="155"/>
      <c r="AA571" s="155"/>
    </row>
    <row r="572" spans="2:27">
      <c r="B572" s="86">
        <v>658</v>
      </c>
      <c r="D572" s="88" t="s">
        <v>374</v>
      </c>
      <c r="E572" s="88" t="s">
        <v>950</v>
      </c>
      <c r="F572" s="88" t="s">
        <v>950</v>
      </c>
      <c r="G572" s="155"/>
      <c r="H572" s="155"/>
      <c r="I572" s="155"/>
      <c r="J572" s="155"/>
      <c r="K572" s="155"/>
      <c r="L572" s="155"/>
      <c r="M572" s="155"/>
      <c r="N572" s="155"/>
      <c r="O572" s="155"/>
      <c r="P572" s="155"/>
      <c r="Q572" s="155"/>
      <c r="R572" s="155"/>
      <c r="S572" s="155"/>
      <c r="T572" s="155"/>
      <c r="U572" s="155"/>
      <c r="V572" s="155"/>
      <c r="W572" s="155"/>
      <c r="X572" s="155"/>
      <c r="Y572" s="155"/>
      <c r="Z572" s="155"/>
      <c r="AA572" s="155"/>
    </row>
    <row r="573" spans="2:27">
      <c r="B573" s="86">
        <v>659</v>
      </c>
      <c r="D573" s="88" t="s">
        <v>375</v>
      </c>
      <c r="E573" s="88" t="s">
        <v>951</v>
      </c>
      <c r="F573" s="88" t="s">
        <v>951</v>
      </c>
      <c r="G573" s="155"/>
      <c r="H573" s="155"/>
      <c r="I573" s="155"/>
      <c r="J573" s="155"/>
      <c r="K573" s="155"/>
      <c r="L573" s="155"/>
      <c r="M573" s="155"/>
      <c r="N573" s="155"/>
      <c r="O573" s="155"/>
      <c r="P573" s="155"/>
      <c r="Q573" s="155"/>
      <c r="R573" s="155"/>
      <c r="S573" s="155"/>
      <c r="T573" s="155"/>
      <c r="U573" s="155"/>
      <c r="V573" s="155"/>
      <c r="W573" s="155"/>
      <c r="X573" s="155"/>
      <c r="Y573" s="155"/>
      <c r="Z573" s="155"/>
      <c r="AA573" s="155"/>
    </row>
    <row r="574" spans="2:27">
      <c r="B574" s="86">
        <v>660</v>
      </c>
      <c r="D574" s="88" t="s">
        <v>376</v>
      </c>
      <c r="E574" s="88" t="s">
        <v>952</v>
      </c>
      <c r="F574" s="88" t="s">
        <v>952</v>
      </c>
      <c r="G574" s="155"/>
      <c r="H574" s="155"/>
      <c r="I574" s="155"/>
      <c r="J574" s="155"/>
      <c r="K574" s="155"/>
      <c r="L574" s="155"/>
      <c r="M574" s="155"/>
      <c r="N574" s="155"/>
      <c r="O574" s="155"/>
      <c r="P574" s="155"/>
      <c r="Q574" s="155"/>
      <c r="R574" s="155"/>
      <c r="S574" s="155"/>
      <c r="T574" s="155"/>
      <c r="U574" s="155"/>
      <c r="V574" s="155"/>
      <c r="W574" s="155"/>
      <c r="X574" s="155"/>
      <c r="Y574" s="155"/>
      <c r="Z574" s="155"/>
      <c r="AA574" s="155"/>
    </row>
    <row r="575" spans="2:27">
      <c r="B575" s="86">
        <v>661</v>
      </c>
      <c r="D575" s="88" t="s">
        <v>377</v>
      </c>
      <c r="E575" s="88" t="s">
        <v>953</v>
      </c>
      <c r="F575" s="88" t="s">
        <v>953</v>
      </c>
      <c r="G575" s="155"/>
      <c r="H575" s="155"/>
      <c r="I575" s="155"/>
      <c r="J575" s="155"/>
      <c r="K575" s="155"/>
      <c r="L575" s="155"/>
      <c r="M575" s="155"/>
      <c r="N575" s="155"/>
      <c r="O575" s="155"/>
      <c r="P575" s="155"/>
      <c r="Q575" s="155"/>
      <c r="R575" s="155"/>
      <c r="S575" s="155"/>
      <c r="T575" s="155"/>
      <c r="U575" s="155"/>
      <c r="V575" s="155"/>
      <c r="W575" s="155"/>
      <c r="X575" s="155"/>
      <c r="Y575" s="155"/>
      <c r="Z575" s="155"/>
      <c r="AA575" s="155"/>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663"/>
  <sheetViews>
    <sheetView topLeftCell="M1" zoomScale="81" zoomScaleNormal="81" workbookViewId="0">
      <selection activeCell="AA8" sqref="AA8"/>
    </sheetView>
  </sheetViews>
  <sheetFormatPr defaultColWidth="10.59765625" defaultRowHeight="14.4"/>
  <cols>
    <col min="1" max="1" width="9.5" style="124" bestFit="1" customWidth="1"/>
    <col min="2" max="2" width="8.19921875" style="124" bestFit="1" customWidth="1"/>
    <col min="3" max="12" width="11.3984375" style="124" bestFit="1" customWidth="1"/>
    <col min="13" max="13" width="32.3984375" style="124" bestFit="1" customWidth="1"/>
    <col min="14" max="14" width="14.59765625" style="124" bestFit="1" customWidth="1"/>
    <col min="15" max="16" width="10.5" style="124" bestFit="1" customWidth="1"/>
    <col min="17" max="17" width="15.5" style="124" bestFit="1" customWidth="1"/>
    <col min="18" max="18" width="17.09765625" style="124" bestFit="1" customWidth="1"/>
    <col min="19" max="19" width="13.19921875" style="124" bestFit="1" customWidth="1"/>
    <col min="20" max="20" width="19.8984375" style="124" bestFit="1" customWidth="1"/>
    <col min="21" max="21" width="14.3984375" style="124" bestFit="1" customWidth="1"/>
    <col min="22" max="22" width="14.09765625" style="125" bestFit="1" customWidth="1"/>
    <col min="23" max="23" width="15.5" style="124" bestFit="1" customWidth="1"/>
    <col min="24" max="24" width="19.3984375" style="126" bestFit="1" customWidth="1"/>
    <col min="25" max="25" width="9.5" style="126" bestFit="1" customWidth="1"/>
    <col min="26" max="26" width="10.8984375" style="126" bestFit="1" customWidth="1"/>
    <col min="27" max="27" width="10.8984375" style="125" bestFit="1" customWidth="1"/>
    <col min="28" max="28" width="12.5" style="125" bestFit="1" customWidth="1"/>
    <col min="29" max="29" width="12.8984375" style="125" bestFit="1" customWidth="1"/>
    <col min="30" max="30" width="15.69921875" style="124" bestFit="1" customWidth="1"/>
    <col min="31" max="32" width="10.59765625" style="124"/>
    <col min="33" max="16384" width="10.59765625" style="125"/>
  </cols>
  <sheetData>
    <row r="1" spans="1:30">
      <c r="A1" s="128" t="s">
        <v>1087</v>
      </c>
      <c r="B1" s="128" t="s">
        <v>379</v>
      </c>
      <c r="C1" s="128" t="s">
        <v>1075</v>
      </c>
      <c r="D1" s="128" t="s">
        <v>1076</v>
      </c>
      <c r="E1" s="128" t="s">
        <v>1077</v>
      </c>
      <c r="F1" s="128" t="s">
        <v>1078</v>
      </c>
      <c r="G1" s="128" t="s">
        <v>1079</v>
      </c>
      <c r="H1" s="128" t="s">
        <v>1080</v>
      </c>
      <c r="I1" s="128" t="s">
        <v>1081</v>
      </c>
      <c r="J1" s="128" t="s">
        <v>1082</v>
      </c>
      <c r="K1" s="128" t="s">
        <v>1083</v>
      </c>
      <c r="L1" s="128" t="s">
        <v>1084</v>
      </c>
      <c r="M1" s="128" t="s">
        <v>380</v>
      </c>
      <c r="N1" s="128" t="s">
        <v>381</v>
      </c>
      <c r="O1" s="128" t="s">
        <v>382</v>
      </c>
      <c r="P1" s="128" t="s">
        <v>383</v>
      </c>
      <c r="Q1" s="128" t="s">
        <v>1036</v>
      </c>
      <c r="R1" s="128" t="s">
        <v>1037</v>
      </c>
      <c r="S1" s="128" t="s">
        <v>1086</v>
      </c>
      <c r="T1" s="128" t="s">
        <v>1251</v>
      </c>
      <c r="U1" s="128" t="s">
        <v>1014</v>
      </c>
      <c r="V1" s="129" t="s">
        <v>1015</v>
      </c>
      <c r="W1" s="128" t="s">
        <v>1017</v>
      </c>
      <c r="X1" s="130" t="s">
        <v>1232</v>
      </c>
      <c r="Y1" s="130" t="s">
        <v>1018</v>
      </c>
      <c r="Z1" s="130" t="s">
        <v>1019</v>
      </c>
      <c r="AA1" s="129" t="s">
        <v>1038</v>
      </c>
      <c r="AB1" s="129" t="s">
        <v>1039</v>
      </c>
      <c r="AC1" s="129" t="s">
        <v>1072</v>
      </c>
      <c r="AD1" s="128" t="s">
        <v>1016</v>
      </c>
    </row>
    <row r="2" spans="1:30">
      <c r="A2" s="127" t="s">
        <v>1102</v>
      </c>
      <c r="B2" s="127" t="s">
        <v>1096</v>
      </c>
      <c r="C2" s="127" t="s">
        <v>1021</v>
      </c>
      <c r="D2" s="127" t="s">
        <v>1095</v>
      </c>
      <c r="E2" s="127" t="s">
        <v>1096</v>
      </c>
      <c r="M2" s="127" t="s">
        <v>1272</v>
      </c>
      <c r="N2" s="127" t="s">
        <v>1503</v>
      </c>
      <c r="O2" s="123">
        <v>44200</v>
      </c>
      <c r="P2" s="123">
        <v>44200</v>
      </c>
      <c r="Q2" s="123">
        <v>44200</v>
      </c>
      <c r="R2" s="123">
        <v>44206</v>
      </c>
      <c r="S2" s="124">
        <v>1</v>
      </c>
      <c r="T2" s="124">
        <v>1</v>
      </c>
      <c r="U2" s="124">
        <v>1</v>
      </c>
      <c r="V2" s="125">
        <v>1</v>
      </c>
      <c r="W2" s="124">
        <v>0</v>
      </c>
      <c r="X2" s="126">
        <v>1</v>
      </c>
      <c r="Y2" s="126">
        <v>1</v>
      </c>
      <c r="Z2" s="126">
        <v>1</v>
      </c>
      <c r="AA2" s="123">
        <v>44200</v>
      </c>
      <c r="AB2" s="123">
        <v>44200</v>
      </c>
      <c r="AC2" s="125">
        <v>1</v>
      </c>
      <c r="AD2" s="124">
        <v>1</v>
      </c>
    </row>
    <row r="3" spans="1:30">
      <c r="A3" s="127" t="s">
        <v>1102</v>
      </c>
      <c r="B3" s="127" t="s">
        <v>1096</v>
      </c>
      <c r="C3" s="127" t="s">
        <v>1021</v>
      </c>
      <c r="D3" s="127" t="s">
        <v>1095</v>
      </c>
      <c r="E3" s="127" t="s">
        <v>1096</v>
      </c>
      <c r="M3" s="127" t="s">
        <v>1272</v>
      </c>
      <c r="N3" s="127" t="s">
        <v>1500</v>
      </c>
      <c r="O3" s="123">
        <v>44200</v>
      </c>
      <c r="P3" s="123">
        <v>44200</v>
      </c>
      <c r="Q3" s="123">
        <v>44200</v>
      </c>
      <c r="R3" s="123">
        <v>44206</v>
      </c>
      <c r="S3" s="124">
        <v>1</v>
      </c>
      <c r="T3" s="124">
        <v>1</v>
      </c>
      <c r="U3" s="124">
        <v>1</v>
      </c>
      <c r="V3" s="125">
        <v>1</v>
      </c>
      <c r="W3" s="124">
        <v>0</v>
      </c>
      <c r="X3" s="126">
        <v>1</v>
      </c>
      <c r="Y3" s="126">
        <v>1</v>
      </c>
      <c r="Z3" s="126">
        <v>1</v>
      </c>
      <c r="AA3" s="123">
        <v>44200</v>
      </c>
      <c r="AB3" s="123">
        <v>44200</v>
      </c>
      <c r="AC3" s="125">
        <v>1</v>
      </c>
      <c r="AD3" s="124">
        <v>1</v>
      </c>
    </row>
    <row r="4" spans="1:30">
      <c r="A4" s="127" t="s">
        <v>1103</v>
      </c>
      <c r="B4" s="127" t="s">
        <v>1274</v>
      </c>
      <c r="C4" s="127" t="s">
        <v>1021</v>
      </c>
      <c r="D4" s="127" t="s">
        <v>1095</v>
      </c>
      <c r="E4" s="127" t="s">
        <v>1097</v>
      </c>
      <c r="F4" s="127" t="s">
        <v>1274</v>
      </c>
      <c r="M4" s="127" t="s">
        <v>1275</v>
      </c>
      <c r="N4" s="127" t="s">
        <v>1503</v>
      </c>
      <c r="O4" s="123">
        <v>44200</v>
      </c>
      <c r="P4" s="123">
        <v>44211</v>
      </c>
      <c r="Q4" s="123">
        <v>44200</v>
      </c>
      <c r="R4" s="123">
        <v>44206</v>
      </c>
      <c r="S4" s="124">
        <v>1</v>
      </c>
      <c r="T4" s="124">
        <v>1</v>
      </c>
      <c r="U4" s="124">
        <v>5</v>
      </c>
      <c r="V4" s="125">
        <v>5</v>
      </c>
      <c r="W4" s="124">
        <v>0</v>
      </c>
      <c r="X4" s="126">
        <v>1</v>
      </c>
      <c r="Y4" s="126">
        <v>0.9</v>
      </c>
      <c r="Z4" s="126">
        <v>0.7</v>
      </c>
      <c r="AA4" s="123">
        <v>44200</v>
      </c>
      <c r="AC4" s="125">
        <v>5</v>
      </c>
      <c r="AD4" s="124">
        <v>5</v>
      </c>
    </row>
    <row r="5" spans="1:30">
      <c r="A5" s="127" t="s">
        <v>1103</v>
      </c>
      <c r="B5" s="127" t="s">
        <v>1274</v>
      </c>
      <c r="C5" s="127" t="s">
        <v>1021</v>
      </c>
      <c r="D5" s="127" t="s">
        <v>1095</v>
      </c>
      <c r="E5" s="127" t="s">
        <v>1097</v>
      </c>
      <c r="F5" s="127" t="s">
        <v>1274</v>
      </c>
      <c r="M5" s="127" t="s">
        <v>1275</v>
      </c>
      <c r="N5" s="127" t="s">
        <v>1500</v>
      </c>
      <c r="O5" s="123">
        <v>44200</v>
      </c>
      <c r="P5" s="123">
        <v>44211</v>
      </c>
      <c r="Q5" s="123">
        <v>44200</v>
      </c>
      <c r="R5" s="123">
        <v>44206</v>
      </c>
      <c r="S5" s="124">
        <v>1</v>
      </c>
      <c r="T5" s="124">
        <v>1</v>
      </c>
      <c r="U5" s="124">
        <v>5</v>
      </c>
      <c r="V5" s="125">
        <v>5</v>
      </c>
      <c r="W5" s="124">
        <v>0</v>
      </c>
      <c r="X5" s="126">
        <v>1</v>
      </c>
      <c r="Y5" s="126">
        <v>0.9</v>
      </c>
      <c r="Z5" s="126">
        <v>0.7</v>
      </c>
      <c r="AA5" s="123">
        <v>44200</v>
      </c>
      <c r="AC5" s="125">
        <v>5</v>
      </c>
      <c r="AD5" s="124">
        <v>5</v>
      </c>
    </row>
    <row r="6" spans="1:30">
      <c r="A6" s="127" t="s">
        <v>1103</v>
      </c>
      <c r="B6" s="127" t="s">
        <v>1274</v>
      </c>
      <c r="C6" s="127" t="s">
        <v>1021</v>
      </c>
      <c r="D6" s="127" t="s">
        <v>1095</v>
      </c>
      <c r="E6" s="127" t="s">
        <v>1097</v>
      </c>
      <c r="F6" s="127" t="s">
        <v>1274</v>
      </c>
      <c r="M6" s="127" t="s">
        <v>1275</v>
      </c>
      <c r="N6" s="127" t="s">
        <v>1503</v>
      </c>
      <c r="O6" s="123">
        <v>44200</v>
      </c>
      <c r="P6" s="123">
        <v>44211</v>
      </c>
      <c r="Q6" s="123">
        <v>44207</v>
      </c>
      <c r="R6" s="123">
        <v>44213</v>
      </c>
      <c r="S6" s="124">
        <v>2</v>
      </c>
      <c r="T6" s="124">
        <v>2</v>
      </c>
      <c r="U6" s="124">
        <v>5</v>
      </c>
      <c r="V6" s="125">
        <v>4</v>
      </c>
      <c r="W6" s="124">
        <v>0</v>
      </c>
      <c r="X6" s="126">
        <v>1</v>
      </c>
      <c r="Y6" s="126">
        <v>0.9</v>
      </c>
      <c r="Z6" s="126">
        <v>0.7</v>
      </c>
      <c r="AA6" s="123">
        <v>44200</v>
      </c>
      <c r="AC6" s="125">
        <v>2</v>
      </c>
      <c r="AD6" s="124">
        <v>2</v>
      </c>
    </row>
    <row r="7" spans="1:30">
      <c r="A7" s="127" t="s">
        <v>1103</v>
      </c>
      <c r="B7" s="127" t="s">
        <v>1274</v>
      </c>
      <c r="C7" s="127" t="s">
        <v>1021</v>
      </c>
      <c r="D7" s="127" t="s">
        <v>1095</v>
      </c>
      <c r="E7" s="127" t="s">
        <v>1097</v>
      </c>
      <c r="F7" s="127" t="s">
        <v>1274</v>
      </c>
      <c r="M7" s="127" t="s">
        <v>1275</v>
      </c>
      <c r="N7" s="127" t="s">
        <v>1500</v>
      </c>
      <c r="O7" s="123">
        <v>44200</v>
      </c>
      <c r="P7" s="123">
        <v>44211</v>
      </c>
      <c r="Q7" s="123">
        <v>44207</v>
      </c>
      <c r="R7" s="123">
        <v>44213</v>
      </c>
      <c r="S7" s="124">
        <v>2</v>
      </c>
      <c r="T7" s="124">
        <v>2</v>
      </c>
      <c r="U7" s="124">
        <v>5</v>
      </c>
      <c r="V7" s="125">
        <v>4</v>
      </c>
      <c r="W7" s="124">
        <v>0</v>
      </c>
      <c r="X7" s="126">
        <v>1</v>
      </c>
      <c r="Y7" s="126">
        <v>0.9</v>
      </c>
      <c r="Z7" s="126">
        <v>0.7</v>
      </c>
      <c r="AA7" s="123">
        <v>44200</v>
      </c>
      <c r="AC7" s="125">
        <v>2</v>
      </c>
      <c r="AD7" s="124">
        <v>2</v>
      </c>
    </row>
    <row r="8" spans="1:30">
      <c r="A8" s="127" t="s">
        <v>1103</v>
      </c>
      <c r="B8" s="127" t="s">
        <v>1276</v>
      </c>
      <c r="C8" s="127" t="s">
        <v>1021</v>
      </c>
      <c r="D8" s="127" t="s">
        <v>1095</v>
      </c>
      <c r="E8" s="127" t="s">
        <v>1097</v>
      </c>
      <c r="F8" s="127" t="s">
        <v>1276</v>
      </c>
      <c r="M8" s="127" t="s">
        <v>1277</v>
      </c>
      <c r="N8" s="127" t="s">
        <v>1503</v>
      </c>
      <c r="O8" s="123">
        <v>44224</v>
      </c>
      <c r="P8" s="123">
        <v>44224</v>
      </c>
      <c r="Q8" s="123">
        <v>44221</v>
      </c>
      <c r="R8" s="123">
        <v>44227</v>
      </c>
      <c r="S8" s="124">
        <v>4</v>
      </c>
      <c r="T8" s="124">
        <v>4</v>
      </c>
      <c r="U8" s="124">
        <v>0</v>
      </c>
      <c r="V8" s="125">
        <v>0</v>
      </c>
      <c r="W8" s="124">
        <v>0</v>
      </c>
      <c r="X8" s="126">
        <v>0</v>
      </c>
      <c r="Y8" s="126">
        <v>0</v>
      </c>
      <c r="Z8" s="126">
        <v>0</v>
      </c>
      <c r="AC8" s="125">
        <v>0</v>
      </c>
      <c r="AD8" s="124">
        <v>0</v>
      </c>
    </row>
    <row r="9" spans="1:30">
      <c r="A9" s="127" t="s">
        <v>1102</v>
      </c>
      <c r="B9" s="127" t="s">
        <v>1099</v>
      </c>
      <c r="C9" s="127" t="s">
        <v>1021</v>
      </c>
      <c r="D9" s="127" t="s">
        <v>1098</v>
      </c>
      <c r="E9" s="127" t="s">
        <v>1099</v>
      </c>
      <c r="M9" s="127" t="s">
        <v>1670</v>
      </c>
      <c r="N9" s="127" t="s">
        <v>1503</v>
      </c>
      <c r="O9" s="123">
        <v>44428</v>
      </c>
      <c r="P9" s="123">
        <v>44428</v>
      </c>
      <c r="Q9" s="123">
        <v>44424</v>
      </c>
      <c r="R9" s="123">
        <v>44430</v>
      </c>
      <c r="S9" s="124">
        <v>33</v>
      </c>
      <c r="T9" s="124">
        <v>33</v>
      </c>
      <c r="U9" s="124">
        <v>0</v>
      </c>
      <c r="V9" s="125">
        <v>0</v>
      </c>
      <c r="W9" s="124">
        <v>0</v>
      </c>
      <c r="X9" s="126">
        <v>0</v>
      </c>
      <c r="Y9" s="126">
        <v>0</v>
      </c>
      <c r="Z9" s="126">
        <v>0</v>
      </c>
      <c r="AC9" s="125">
        <v>0</v>
      </c>
      <c r="AD9" s="124">
        <v>0</v>
      </c>
    </row>
    <row r="10" spans="1:30">
      <c r="A10" s="127" t="s">
        <v>1102</v>
      </c>
      <c r="B10" s="127" t="s">
        <v>1101</v>
      </c>
      <c r="C10" s="127" t="s">
        <v>1021</v>
      </c>
      <c r="D10" s="127" t="s">
        <v>1100</v>
      </c>
      <c r="E10" s="127" t="s">
        <v>1101</v>
      </c>
      <c r="M10" s="127" t="s">
        <v>1435</v>
      </c>
      <c r="N10" s="127" t="s">
        <v>1503</v>
      </c>
      <c r="O10" s="123">
        <v>44582</v>
      </c>
      <c r="P10" s="123">
        <v>44582</v>
      </c>
      <c r="Q10" s="123">
        <v>44578</v>
      </c>
      <c r="R10" s="123">
        <v>44584</v>
      </c>
      <c r="S10" s="124">
        <v>3</v>
      </c>
      <c r="T10" s="124">
        <v>55</v>
      </c>
      <c r="U10" s="124">
        <v>1</v>
      </c>
      <c r="V10" s="125">
        <v>0</v>
      </c>
      <c r="W10" s="124">
        <v>0</v>
      </c>
      <c r="X10" s="126">
        <v>1</v>
      </c>
      <c r="Y10" s="126">
        <v>0</v>
      </c>
      <c r="Z10" s="126">
        <v>0</v>
      </c>
      <c r="AC10" s="125">
        <v>0</v>
      </c>
      <c r="AD10" s="124">
        <v>0</v>
      </c>
    </row>
    <row r="11" spans="1:30">
      <c r="A11" s="127" t="s">
        <v>1102</v>
      </c>
      <c r="B11" s="127" t="s">
        <v>1105</v>
      </c>
      <c r="C11" s="127" t="s">
        <v>1021</v>
      </c>
      <c r="D11" s="127" t="s">
        <v>1100</v>
      </c>
      <c r="E11" s="127" t="s">
        <v>1105</v>
      </c>
      <c r="M11" s="127" t="s">
        <v>1436</v>
      </c>
      <c r="N11" s="127" t="s">
        <v>1503</v>
      </c>
      <c r="O11" s="123">
        <v>44585</v>
      </c>
      <c r="P11" s="123">
        <v>44589</v>
      </c>
      <c r="Q11" s="123">
        <v>44585</v>
      </c>
      <c r="R11" s="123">
        <v>44591</v>
      </c>
      <c r="S11" s="124">
        <v>4</v>
      </c>
      <c r="T11" s="124">
        <v>56</v>
      </c>
      <c r="U11" s="124">
        <v>0</v>
      </c>
      <c r="V11" s="125">
        <v>0</v>
      </c>
      <c r="W11" s="124">
        <v>0</v>
      </c>
      <c r="X11" s="126">
        <v>0</v>
      </c>
      <c r="Y11" s="126">
        <v>0</v>
      </c>
      <c r="Z11" s="126">
        <v>0</v>
      </c>
      <c r="AC11" s="125">
        <v>0</v>
      </c>
      <c r="AD11" s="124">
        <v>0</v>
      </c>
    </row>
    <row r="12" spans="1:30">
      <c r="A12" s="127" t="s">
        <v>1102</v>
      </c>
      <c r="B12" s="127" t="s">
        <v>1281</v>
      </c>
      <c r="C12" s="127" t="s">
        <v>1085</v>
      </c>
      <c r="D12" s="127" t="s">
        <v>1323</v>
      </c>
      <c r="E12" s="127" t="s">
        <v>1281</v>
      </c>
      <c r="M12" s="127" t="s">
        <v>1282</v>
      </c>
      <c r="N12" s="127" t="s">
        <v>1406</v>
      </c>
      <c r="O12" s="123">
        <v>44214</v>
      </c>
      <c r="P12" s="123">
        <v>44253</v>
      </c>
      <c r="Q12" s="123">
        <v>44214</v>
      </c>
      <c r="R12" s="123">
        <v>44220</v>
      </c>
      <c r="S12" s="124">
        <v>3</v>
      </c>
      <c r="T12" s="124">
        <v>3</v>
      </c>
      <c r="U12" s="124">
        <v>5</v>
      </c>
      <c r="V12" s="125">
        <v>0</v>
      </c>
      <c r="W12" s="124">
        <v>0</v>
      </c>
      <c r="X12" s="126">
        <v>1</v>
      </c>
      <c r="Y12" s="126">
        <v>0</v>
      </c>
      <c r="Z12" s="126">
        <v>0</v>
      </c>
      <c r="AC12" s="125">
        <v>0</v>
      </c>
      <c r="AD12" s="124">
        <v>0</v>
      </c>
    </row>
    <row r="13" spans="1:30">
      <c r="A13" s="127" t="s">
        <v>1102</v>
      </c>
      <c r="B13" s="127" t="s">
        <v>1281</v>
      </c>
      <c r="C13" s="127" t="s">
        <v>1085</v>
      </c>
      <c r="D13" s="127" t="s">
        <v>1323</v>
      </c>
      <c r="E13" s="127" t="s">
        <v>1281</v>
      </c>
      <c r="M13" s="127" t="s">
        <v>1282</v>
      </c>
      <c r="N13" s="127" t="s">
        <v>1406</v>
      </c>
      <c r="O13" s="123">
        <v>44214</v>
      </c>
      <c r="P13" s="123">
        <v>44253</v>
      </c>
      <c r="Q13" s="123">
        <v>44221</v>
      </c>
      <c r="R13" s="123">
        <v>44227</v>
      </c>
      <c r="S13" s="124">
        <v>4</v>
      </c>
      <c r="T13" s="124">
        <v>4</v>
      </c>
      <c r="U13" s="124">
        <v>5</v>
      </c>
      <c r="V13" s="125">
        <v>0</v>
      </c>
      <c r="W13" s="124">
        <v>0</v>
      </c>
      <c r="X13" s="126">
        <v>1</v>
      </c>
      <c r="Y13" s="126">
        <v>0</v>
      </c>
      <c r="Z13" s="126">
        <v>0</v>
      </c>
      <c r="AC13" s="125">
        <v>0</v>
      </c>
      <c r="AD13" s="124">
        <v>0</v>
      </c>
    </row>
    <row r="14" spans="1:30">
      <c r="A14" s="127" t="s">
        <v>1102</v>
      </c>
      <c r="B14" s="127" t="s">
        <v>1281</v>
      </c>
      <c r="C14" s="127" t="s">
        <v>1085</v>
      </c>
      <c r="D14" s="127" t="s">
        <v>1323</v>
      </c>
      <c r="E14" s="127" t="s">
        <v>1281</v>
      </c>
      <c r="M14" s="127" t="s">
        <v>1282</v>
      </c>
      <c r="N14" s="127" t="s">
        <v>1406</v>
      </c>
      <c r="O14" s="123">
        <v>44214</v>
      </c>
      <c r="P14" s="123">
        <v>44253</v>
      </c>
      <c r="Q14" s="123">
        <v>44228</v>
      </c>
      <c r="R14" s="123">
        <v>44234</v>
      </c>
      <c r="S14" s="124">
        <v>5</v>
      </c>
      <c r="T14" s="124">
        <v>5</v>
      </c>
      <c r="U14" s="124">
        <v>5</v>
      </c>
      <c r="V14" s="125">
        <v>0</v>
      </c>
      <c r="W14" s="124">
        <v>0</v>
      </c>
      <c r="X14" s="126">
        <v>1</v>
      </c>
      <c r="Y14" s="126">
        <v>0</v>
      </c>
      <c r="Z14" s="126">
        <v>0</v>
      </c>
      <c r="AC14" s="125">
        <v>0</v>
      </c>
      <c r="AD14" s="124">
        <v>0</v>
      </c>
    </row>
    <row r="15" spans="1:30">
      <c r="A15" s="127" t="s">
        <v>1102</v>
      </c>
      <c r="B15" s="127" t="s">
        <v>1281</v>
      </c>
      <c r="C15" s="127" t="s">
        <v>1085</v>
      </c>
      <c r="D15" s="127" t="s">
        <v>1323</v>
      </c>
      <c r="E15" s="127" t="s">
        <v>1281</v>
      </c>
      <c r="M15" s="127" t="s">
        <v>1282</v>
      </c>
      <c r="N15" s="127" t="s">
        <v>1406</v>
      </c>
      <c r="O15" s="123">
        <v>44214</v>
      </c>
      <c r="P15" s="123">
        <v>44253</v>
      </c>
      <c r="Q15" s="123">
        <v>44235</v>
      </c>
      <c r="R15" s="123">
        <v>44241</v>
      </c>
      <c r="S15" s="124">
        <v>6</v>
      </c>
      <c r="T15" s="124">
        <v>6</v>
      </c>
      <c r="U15" s="124">
        <v>3</v>
      </c>
      <c r="V15" s="125">
        <v>0</v>
      </c>
      <c r="W15" s="124">
        <v>0</v>
      </c>
      <c r="X15" s="126">
        <v>1</v>
      </c>
      <c r="Y15" s="126">
        <v>0</v>
      </c>
      <c r="Z15" s="126">
        <v>0</v>
      </c>
      <c r="AC15" s="125">
        <v>0</v>
      </c>
      <c r="AD15" s="124">
        <v>0</v>
      </c>
    </row>
    <row r="16" spans="1:30">
      <c r="A16" s="127" t="s">
        <v>1102</v>
      </c>
      <c r="B16" s="127" t="s">
        <v>1281</v>
      </c>
      <c r="C16" s="127" t="s">
        <v>1085</v>
      </c>
      <c r="D16" s="127" t="s">
        <v>1323</v>
      </c>
      <c r="E16" s="127" t="s">
        <v>1281</v>
      </c>
      <c r="M16" s="127" t="s">
        <v>1282</v>
      </c>
      <c r="N16" s="127" t="s">
        <v>1406</v>
      </c>
      <c r="O16" s="123">
        <v>44214</v>
      </c>
      <c r="P16" s="123">
        <v>44253</v>
      </c>
      <c r="Q16" s="123">
        <v>44242</v>
      </c>
      <c r="R16" s="123">
        <v>44248</v>
      </c>
      <c r="S16" s="124">
        <v>7</v>
      </c>
      <c r="T16" s="124">
        <v>7</v>
      </c>
      <c r="U16" s="124">
        <v>5</v>
      </c>
      <c r="V16" s="125">
        <v>0</v>
      </c>
      <c r="W16" s="124">
        <v>0</v>
      </c>
      <c r="X16" s="126">
        <v>1</v>
      </c>
      <c r="Y16" s="126">
        <v>0</v>
      </c>
      <c r="Z16" s="126">
        <v>0</v>
      </c>
      <c r="AC16" s="125">
        <v>0</v>
      </c>
      <c r="AD16" s="124">
        <v>0</v>
      </c>
    </row>
    <row r="17" spans="1:30">
      <c r="A17" s="127" t="s">
        <v>1102</v>
      </c>
      <c r="B17" s="127" t="s">
        <v>1281</v>
      </c>
      <c r="C17" s="127" t="s">
        <v>1085</v>
      </c>
      <c r="D17" s="127" t="s">
        <v>1323</v>
      </c>
      <c r="E17" s="127" t="s">
        <v>1281</v>
      </c>
      <c r="M17" s="127" t="s">
        <v>1282</v>
      </c>
      <c r="N17" s="127" t="s">
        <v>1406</v>
      </c>
      <c r="O17" s="123">
        <v>44214</v>
      </c>
      <c r="P17" s="123">
        <v>44253</v>
      </c>
      <c r="Q17" s="123">
        <v>44249</v>
      </c>
      <c r="R17" s="123">
        <v>44255</v>
      </c>
      <c r="S17" s="124">
        <v>8</v>
      </c>
      <c r="T17" s="124">
        <v>8</v>
      </c>
      <c r="U17" s="124">
        <v>5</v>
      </c>
      <c r="V17" s="125">
        <v>0</v>
      </c>
      <c r="W17" s="124">
        <v>0</v>
      </c>
      <c r="X17" s="126">
        <v>1</v>
      </c>
      <c r="Y17" s="126">
        <v>0</v>
      </c>
      <c r="Z17" s="126">
        <v>0</v>
      </c>
      <c r="AC17" s="125">
        <v>0</v>
      </c>
      <c r="AD17" s="124">
        <v>0</v>
      </c>
    </row>
    <row r="18" spans="1:30">
      <c r="A18" s="127" t="s">
        <v>1103</v>
      </c>
      <c r="B18" s="127" t="s">
        <v>1284</v>
      </c>
      <c r="C18" s="127" t="s">
        <v>1085</v>
      </c>
      <c r="D18" s="127" t="s">
        <v>1323</v>
      </c>
      <c r="E18" s="127" t="s">
        <v>1283</v>
      </c>
      <c r="F18" s="127" t="s">
        <v>1284</v>
      </c>
      <c r="M18" s="127" t="s">
        <v>1655</v>
      </c>
      <c r="N18" s="127" t="s">
        <v>1406</v>
      </c>
      <c r="O18" s="123">
        <v>44215</v>
      </c>
      <c r="P18" s="123">
        <v>44216</v>
      </c>
      <c r="Q18" s="123">
        <v>44214</v>
      </c>
      <c r="R18" s="123">
        <v>44220</v>
      </c>
      <c r="S18" s="124">
        <v>3</v>
      </c>
      <c r="T18" s="124">
        <v>3</v>
      </c>
      <c r="U18" s="124">
        <v>2</v>
      </c>
      <c r="V18" s="125">
        <v>0</v>
      </c>
      <c r="W18" s="124">
        <v>0</v>
      </c>
      <c r="X18" s="126">
        <v>1</v>
      </c>
      <c r="Y18" s="126">
        <v>0</v>
      </c>
      <c r="Z18" s="126">
        <v>0</v>
      </c>
      <c r="AC18" s="125">
        <v>0</v>
      </c>
      <c r="AD18" s="124">
        <v>0</v>
      </c>
    </row>
    <row r="19" spans="1:30">
      <c r="A19" s="127" t="s">
        <v>1103</v>
      </c>
      <c r="B19" s="127" t="s">
        <v>1285</v>
      </c>
      <c r="C19" s="127" t="s">
        <v>1085</v>
      </c>
      <c r="D19" s="127" t="s">
        <v>1323</v>
      </c>
      <c r="E19" s="127" t="s">
        <v>1283</v>
      </c>
      <c r="F19" s="127" t="s">
        <v>1285</v>
      </c>
      <c r="M19" s="127" t="s">
        <v>1656</v>
      </c>
      <c r="N19" s="127" t="s">
        <v>1406</v>
      </c>
      <c r="O19" s="123">
        <v>44218</v>
      </c>
      <c r="P19" s="123">
        <v>44218</v>
      </c>
      <c r="Q19" s="123">
        <v>44214</v>
      </c>
      <c r="R19" s="123">
        <v>44220</v>
      </c>
      <c r="S19" s="124">
        <v>3</v>
      </c>
      <c r="T19" s="124">
        <v>3</v>
      </c>
      <c r="U19" s="124">
        <v>1</v>
      </c>
      <c r="V19" s="125">
        <v>0</v>
      </c>
      <c r="W19" s="124">
        <v>0</v>
      </c>
      <c r="X19" s="126">
        <v>1</v>
      </c>
      <c r="Y19" s="126">
        <v>0</v>
      </c>
      <c r="Z19" s="126">
        <v>0</v>
      </c>
      <c r="AC19" s="125">
        <v>0</v>
      </c>
      <c r="AD19" s="124">
        <v>0</v>
      </c>
    </row>
    <row r="20" spans="1:30">
      <c r="A20" s="127" t="s">
        <v>1103</v>
      </c>
      <c r="B20" s="127" t="s">
        <v>1480</v>
      </c>
      <c r="C20" s="127" t="s">
        <v>1085</v>
      </c>
      <c r="D20" s="127" t="s">
        <v>1323</v>
      </c>
      <c r="E20" s="127" t="s">
        <v>1283</v>
      </c>
      <c r="F20" s="127" t="s">
        <v>1480</v>
      </c>
      <c r="M20" s="127" t="s">
        <v>1585</v>
      </c>
      <c r="N20" s="127" t="s">
        <v>1406</v>
      </c>
      <c r="O20" s="123">
        <v>44222</v>
      </c>
      <c r="P20" s="123">
        <v>44222</v>
      </c>
      <c r="Q20" s="123">
        <v>44221</v>
      </c>
      <c r="R20" s="123">
        <v>44227</v>
      </c>
      <c r="S20" s="124">
        <v>4</v>
      </c>
      <c r="T20" s="124">
        <v>4</v>
      </c>
      <c r="U20" s="124">
        <v>1</v>
      </c>
      <c r="V20" s="125">
        <v>0</v>
      </c>
      <c r="W20" s="124">
        <v>0</v>
      </c>
      <c r="X20" s="126">
        <v>1</v>
      </c>
      <c r="Y20" s="126">
        <v>0</v>
      </c>
      <c r="Z20" s="126">
        <v>0</v>
      </c>
      <c r="AC20" s="125">
        <v>0</v>
      </c>
      <c r="AD20" s="124">
        <v>0</v>
      </c>
    </row>
    <row r="21" spans="1:30">
      <c r="A21" s="127" t="s">
        <v>1103</v>
      </c>
      <c r="B21" s="127" t="s">
        <v>1481</v>
      </c>
      <c r="C21" s="127" t="s">
        <v>1085</v>
      </c>
      <c r="D21" s="127" t="s">
        <v>1323</v>
      </c>
      <c r="E21" s="127" t="s">
        <v>1283</v>
      </c>
      <c r="F21" s="127" t="s">
        <v>1481</v>
      </c>
      <c r="M21" s="127" t="s">
        <v>1657</v>
      </c>
      <c r="N21" s="127" t="s">
        <v>1406</v>
      </c>
      <c r="O21" s="123">
        <v>44224</v>
      </c>
      <c r="P21" s="123">
        <v>44224</v>
      </c>
      <c r="Q21" s="123">
        <v>44221</v>
      </c>
      <c r="R21" s="123">
        <v>44227</v>
      </c>
      <c r="S21" s="124">
        <v>4</v>
      </c>
      <c r="T21" s="124">
        <v>4</v>
      </c>
      <c r="U21" s="124">
        <v>1</v>
      </c>
      <c r="V21" s="125">
        <v>0</v>
      </c>
      <c r="W21" s="124">
        <v>0</v>
      </c>
      <c r="X21" s="126">
        <v>1</v>
      </c>
      <c r="Y21" s="126">
        <v>0</v>
      </c>
      <c r="Z21" s="126">
        <v>0</v>
      </c>
      <c r="AC21" s="125">
        <v>0</v>
      </c>
      <c r="AD21" s="124">
        <v>0</v>
      </c>
    </row>
    <row r="22" spans="1:30">
      <c r="A22" s="127" t="s">
        <v>1103</v>
      </c>
      <c r="B22" s="127" t="s">
        <v>1482</v>
      </c>
      <c r="C22" s="127" t="s">
        <v>1085</v>
      </c>
      <c r="D22" s="127" t="s">
        <v>1323</v>
      </c>
      <c r="E22" s="127" t="s">
        <v>1283</v>
      </c>
      <c r="F22" s="127" t="s">
        <v>1482</v>
      </c>
      <c r="M22" s="127" t="s">
        <v>1658</v>
      </c>
      <c r="N22" s="127" t="s">
        <v>1406</v>
      </c>
      <c r="O22" s="123">
        <v>44215</v>
      </c>
      <c r="P22" s="123">
        <v>44222</v>
      </c>
      <c r="Q22" s="123">
        <v>44214</v>
      </c>
      <c r="R22" s="123">
        <v>44220</v>
      </c>
      <c r="S22" s="124">
        <v>3</v>
      </c>
      <c r="T22" s="124">
        <v>3</v>
      </c>
      <c r="U22" s="124">
        <v>4</v>
      </c>
      <c r="V22" s="125">
        <v>0</v>
      </c>
      <c r="W22" s="124">
        <v>0</v>
      </c>
      <c r="X22" s="126">
        <v>1</v>
      </c>
      <c r="Y22" s="126">
        <v>0</v>
      </c>
      <c r="Z22" s="126">
        <v>0</v>
      </c>
      <c r="AC22" s="125">
        <v>0</v>
      </c>
      <c r="AD22" s="124">
        <v>0</v>
      </c>
    </row>
    <row r="23" spans="1:30">
      <c r="A23" s="127" t="s">
        <v>1103</v>
      </c>
      <c r="B23" s="127" t="s">
        <v>1482</v>
      </c>
      <c r="C23" s="127" t="s">
        <v>1085</v>
      </c>
      <c r="D23" s="127" t="s">
        <v>1323</v>
      </c>
      <c r="E23" s="127" t="s">
        <v>1283</v>
      </c>
      <c r="F23" s="127" t="s">
        <v>1482</v>
      </c>
      <c r="M23" s="127" t="s">
        <v>1658</v>
      </c>
      <c r="N23" s="127" t="s">
        <v>1406</v>
      </c>
      <c r="O23" s="123">
        <v>44215</v>
      </c>
      <c r="P23" s="123">
        <v>44222</v>
      </c>
      <c r="Q23" s="123">
        <v>44221</v>
      </c>
      <c r="R23" s="123">
        <v>44227</v>
      </c>
      <c r="S23" s="124">
        <v>4</v>
      </c>
      <c r="T23" s="124">
        <v>4</v>
      </c>
      <c r="U23" s="124">
        <v>2</v>
      </c>
      <c r="V23" s="125">
        <v>0</v>
      </c>
      <c r="W23" s="124">
        <v>0</v>
      </c>
      <c r="X23" s="126">
        <v>1</v>
      </c>
      <c r="Y23" s="126">
        <v>0</v>
      </c>
      <c r="Z23" s="126">
        <v>0</v>
      </c>
      <c r="AC23" s="125">
        <v>0</v>
      </c>
      <c r="AD23" s="124">
        <v>0</v>
      </c>
    </row>
    <row r="24" spans="1:30">
      <c r="A24" s="127" t="s">
        <v>1103</v>
      </c>
      <c r="B24" s="127" t="s">
        <v>1483</v>
      </c>
      <c r="C24" s="127" t="s">
        <v>1085</v>
      </c>
      <c r="D24" s="127" t="s">
        <v>1323</v>
      </c>
      <c r="E24" s="127" t="s">
        <v>1283</v>
      </c>
      <c r="F24" s="127" t="s">
        <v>1483</v>
      </c>
      <c r="M24" s="127" t="s">
        <v>1665</v>
      </c>
      <c r="N24" s="127" t="s">
        <v>1500</v>
      </c>
      <c r="O24" s="123">
        <v>44215</v>
      </c>
      <c r="P24" s="123">
        <v>44218</v>
      </c>
      <c r="Q24" s="123">
        <v>44214</v>
      </c>
      <c r="R24" s="123">
        <v>44220</v>
      </c>
      <c r="S24" s="124">
        <v>3</v>
      </c>
      <c r="T24" s="124">
        <v>3</v>
      </c>
      <c r="U24" s="124">
        <v>4</v>
      </c>
      <c r="V24" s="125">
        <v>0</v>
      </c>
      <c r="W24" s="124">
        <v>0</v>
      </c>
      <c r="X24" s="126">
        <v>1</v>
      </c>
      <c r="Y24" s="126">
        <v>0</v>
      </c>
      <c r="Z24" s="126">
        <v>0</v>
      </c>
      <c r="AC24" s="125">
        <v>0</v>
      </c>
      <c r="AD24" s="124">
        <v>0</v>
      </c>
    </row>
    <row r="25" spans="1:30">
      <c r="A25" s="127" t="s">
        <v>1103</v>
      </c>
      <c r="B25" s="127" t="s">
        <v>1484</v>
      </c>
      <c r="C25" s="127" t="s">
        <v>1085</v>
      </c>
      <c r="D25" s="127" t="s">
        <v>1323</v>
      </c>
      <c r="E25" s="127" t="s">
        <v>1283</v>
      </c>
      <c r="F25" s="127" t="s">
        <v>1484</v>
      </c>
      <c r="M25" s="127" t="s">
        <v>1666</v>
      </c>
      <c r="N25" s="127" t="s">
        <v>1500</v>
      </c>
      <c r="O25" s="123">
        <v>44218</v>
      </c>
      <c r="P25" s="123">
        <v>44218</v>
      </c>
      <c r="Q25" s="123">
        <v>44214</v>
      </c>
      <c r="R25" s="123">
        <v>44220</v>
      </c>
      <c r="S25" s="124">
        <v>3</v>
      </c>
      <c r="T25" s="124">
        <v>3</v>
      </c>
      <c r="U25" s="124">
        <v>1</v>
      </c>
      <c r="V25" s="125">
        <v>0</v>
      </c>
      <c r="W25" s="124">
        <v>0</v>
      </c>
      <c r="X25" s="126">
        <v>1</v>
      </c>
      <c r="Y25" s="126">
        <v>0</v>
      </c>
      <c r="Z25" s="126">
        <v>0</v>
      </c>
      <c r="AC25" s="125">
        <v>0</v>
      </c>
      <c r="AD25" s="124">
        <v>0</v>
      </c>
    </row>
    <row r="26" spans="1:30">
      <c r="A26" s="127" t="s">
        <v>1103</v>
      </c>
      <c r="B26" s="127" t="s">
        <v>1485</v>
      </c>
      <c r="C26" s="127" t="s">
        <v>1085</v>
      </c>
      <c r="D26" s="127" t="s">
        <v>1323</v>
      </c>
      <c r="E26" s="127" t="s">
        <v>1283</v>
      </c>
      <c r="F26" s="127" t="s">
        <v>1485</v>
      </c>
      <c r="M26" s="127" t="s">
        <v>1667</v>
      </c>
      <c r="N26" s="127" t="s">
        <v>1501</v>
      </c>
      <c r="O26" s="123">
        <v>44215</v>
      </c>
      <c r="P26" s="123">
        <v>44224</v>
      </c>
      <c r="Q26" s="123">
        <v>44214</v>
      </c>
      <c r="R26" s="123">
        <v>44220</v>
      </c>
      <c r="S26" s="124">
        <v>3</v>
      </c>
      <c r="T26" s="124">
        <v>3</v>
      </c>
      <c r="U26" s="124">
        <v>4</v>
      </c>
      <c r="V26" s="125">
        <v>0</v>
      </c>
      <c r="W26" s="124">
        <v>0</v>
      </c>
      <c r="X26" s="126">
        <v>1</v>
      </c>
      <c r="Y26" s="126">
        <v>0</v>
      </c>
      <c r="Z26" s="126">
        <v>0</v>
      </c>
      <c r="AC26" s="125">
        <v>0</v>
      </c>
      <c r="AD26" s="124">
        <v>0</v>
      </c>
    </row>
    <row r="27" spans="1:30">
      <c r="A27" s="127" t="s">
        <v>1103</v>
      </c>
      <c r="B27" s="127" t="s">
        <v>1485</v>
      </c>
      <c r="C27" s="127" t="s">
        <v>1085</v>
      </c>
      <c r="D27" s="127" t="s">
        <v>1323</v>
      </c>
      <c r="E27" s="127" t="s">
        <v>1283</v>
      </c>
      <c r="F27" s="127" t="s">
        <v>1485</v>
      </c>
      <c r="M27" s="127" t="s">
        <v>1667</v>
      </c>
      <c r="N27" s="127" t="s">
        <v>1501</v>
      </c>
      <c r="O27" s="123">
        <v>44215</v>
      </c>
      <c r="P27" s="123">
        <v>44224</v>
      </c>
      <c r="Q27" s="123">
        <v>44221</v>
      </c>
      <c r="R27" s="123">
        <v>44227</v>
      </c>
      <c r="S27" s="124">
        <v>4</v>
      </c>
      <c r="T27" s="124">
        <v>4</v>
      </c>
      <c r="U27" s="124">
        <v>4</v>
      </c>
      <c r="V27" s="125">
        <v>0</v>
      </c>
      <c r="W27" s="124">
        <v>0</v>
      </c>
      <c r="X27" s="126">
        <v>1</v>
      </c>
      <c r="Y27" s="126">
        <v>0</v>
      </c>
      <c r="Z27" s="126">
        <v>0</v>
      </c>
      <c r="AC27" s="125">
        <v>0</v>
      </c>
      <c r="AD27" s="124">
        <v>0</v>
      </c>
    </row>
    <row r="28" spans="1:30">
      <c r="A28" s="127" t="s">
        <v>1103</v>
      </c>
      <c r="B28" s="127" t="s">
        <v>1486</v>
      </c>
      <c r="C28" s="127" t="s">
        <v>1085</v>
      </c>
      <c r="D28" s="127" t="s">
        <v>1323</v>
      </c>
      <c r="E28" s="127" t="s">
        <v>1283</v>
      </c>
      <c r="F28" s="127" t="s">
        <v>1486</v>
      </c>
      <c r="M28" s="127" t="s">
        <v>1668</v>
      </c>
      <c r="N28" s="127" t="s">
        <v>1501</v>
      </c>
      <c r="O28" s="123">
        <v>44224</v>
      </c>
      <c r="P28" s="123">
        <v>44224</v>
      </c>
      <c r="Q28" s="123">
        <v>44221</v>
      </c>
      <c r="R28" s="123">
        <v>44227</v>
      </c>
      <c r="S28" s="124">
        <v>4</v>
      </c>
      <c r="T28" s="124">
        <v>4</v>
      </c>
      <c r="U28" s="124">
        <v>1</v>
      </c>
      <c r="V28" s="125">
        <v>0</v>
      </c>
      <c r="W28" s="124">
        <v>0</v>
      </c>
      <c r="X28" s="126">
        <v>1</v>
      </c>
      <c r="Y28" s="126">
        <v>0</v>
      </c>
      <c r="Z28" s="126">
        <v>0</v>
      </c>
      <c r="AC28" s="125">
        <v>0</v>
      </c>
      <c r="AD28" s="124">
        <v>0</v>
      </c>
    </row>
    <row r="29" spans="1:30">
      <c r="A29" s="127" t="s">
        <v>1103</v>
      </c>
      <c r="B29" s="127" t="s">
        <v>1487</v>
      </c>
      <c r="C29" s="127" t="s">
        <v>1085</v>
      </c>
      <c r="D29" s="127" t="s">
        <v>1323</v>
      </c>
      <c r="E29" s="127" t="s">
        <v>1283</v>
      </c>
      <c r="F29" s="127" t="s">
        <v>1487</v>
      </c>
      <c r="M29" s="127" t="s">
        <v>1479</v>
      </c>
      <c r="N29" s="127" t="s">
        <v>1500</v>
      </c>
      <c r="O29" s="123">
        <v>44215</v>
      </c>
      <c r="P29" s="123">
        <v>44224</v>
      </c>
      <c r="Q29" s="123">
        <v>44214</v>
      </c>
      <c r="R29" s="123">
        <v>44220</v>
      </c>
      <c r="S29" s="124">
        <v>3</v>
      </c>
      <c r="T29" s="124">
        <v>3</v>
      </c>
      <c r="U29" s="124">
        <v>4</v>
      </c>
      <c r="V29" s="125">
        <v>0</v>
      </c>
      <c r="W29" s="124">
        <v>0</v>
      </c>
      <c r="X29" s="126">
        <v>1</v>
      </c>
      <c r="Y29" s="126">
        <v>0</v>
      </c>
      <c r="Z29" s="126">
        <v>0</v>
      </c>
      <c r="AC29" s="125">
        <v>0</v>
      </c>
      <c r="AD29" s="124">
        <v>0</v>
      </c>
    </row>
    <row r="30" spans="1:30">
      <c r="A30" s="127" t="s">
        <v>1103</v>
      </c>
      <c r="B30" s="127" t="s">
        <v>1487</v>
      </c>
      <c r="C30" s="127" t="s">
        <v>1085</v>
      </c>
      <c r="D30" s="127" t="s">
        <v>1323</v>
      </c>
      <c r="E30" s="127" t="s">
        <v>1283</v>
      </c>
      <c r="F30" s="127" t="s">
        <v>1487</v>
      </c>
      <c r="M30" s="127" t="s">
        <v>1479</v>
      </c>
      <c r="N30" s="127" t="s">
        <v>1500</v>
      </c>
      <c r="O30" s="123">
        <v>44215</v>
      </c>
      <c r="P30" s="123">
        <v>44224</v>
      </c>
      <c r="Q30" s="123">
        <v>44221</v>
      </c>
      <c r="R30" s="123">
        <v>44227</v>
      </c>
      <c r="S30" s="124">
        <v>4</v>
      </c>
      <c r="T30" s="124">
        <v>4</v>
      </c>
      <c r="U30" s="124">
        <v>4</v>
      </c>
      <c r="V30" s="125">
        <v>0</v>
      </c>
      <c r="W30" s="124">
        <v>0</v>
      </c>
      <c r="X30" s="126">
        <v>1</v>
      </c>
      <c r="Y30" s="126">
        <v>0</v>
      </c>
      <c r="Z30" s="126">
        <v>0</v>
      </c>
      <c r="AC30" s="125">
        <v>0</v>
      </c>
      <c r="AD30" s="124">
        <v>0</v>
      </c>
    </row>
    <row r="31" spans="1:30">
      <c r="A31" s="127" t="s">
        <v>1103</v>
      </c>
      <c r="B31" s="127" t="s">
        <v>1488</v>
      </c>
      <c r="C31" s="127" t="s">
        <v>1085</v>
      </c>
      <c r="D31" s="127" t="s">
        <v>1323</v>
      </c>
      <c r="E31" s="127" t="s">
        <v>1283</v>
      </c>
      <c r="F31" s="127" t="s">
        <v>1488</v>
      </c>
      <c r="M31" s="127" t="s">
        <v>1669</v>
      </c>
      <c r="N31" s="127" t="s">
        <v>1502</v>
      </c>
      <c r="O31" s="123">
        <v>44228</v>
      </c>
      <c r="P31" s="123">
        <v>44228</v>
      </c>
      <c r="Q31" s="123">
        <v>44228</v>
      </c>
      <c r="R31" s="123">
        <v>44234</v>
      </c>
      <c r="S31" s="124">
        <v>5</v>
      </c>
      <c r="T31" s="124">
        <v>5</v>
      </c>
      <c r="U31" s="124">
        <v>1</v>
      </c>
      <c r="V31" s="125">
        <v>0</v>
      </c>
      <c r="W31" s="124">
        <v>0</v>
      </c>
      <c r="X31" s="126">
        <v>1</v>
      </c>
      <c r="Y31" s="126">
        <v>0</v>
      </c>
      <c r="Z31" s="126">
        <v>0</v>
      </c>
      <c r="AC31" s="125">
        <v>0</v>
      </c>
      <c r="AD31" s="124">
        <v>0</v>
      </c>
    </row>
    <row r="32" spans="1:30">
      <c r="A32" s="127" t="s">
        <v>1103</v>
      </c>
      <c r="B32" s="127" t="s">
        <v>1489</v>
      </c>
      <c r="C32" s="127" t="s">
        <v>1085</v>
      </c>
      <c r="D32" s="127" t="s">
        <v>1323</v>
      </c>
      <c r="E32" s="127" t="s">
        <v>1283</v>
      </c>
      <c r="F32" s="127" t="s">
        <v>1489</v>
      </c>
      <c r="M32" s="127" t="s">
        <v>1493</v>
      </c>
      <c r="N32" s="127" t="s">
        <v>1503</v>
      </c>
      <c r="O32" s="123">
        <v>44229</v>
      </c>
      <c r="P32" s="123">
        <v>44229</v>
      </c>
      <c r="Q32" s="123">
        <v>44228</v>
      </c>
      <c r="R32" s="123">
        <v>44234</v>
      </c>
      <c r="S32" s="124">
        <v>5</v>
      </c>
      <c r="T32" s="124">
        <v>5</v>
      </c>
      <c r="U32" s="124">
        <v>1</v>
      </c>
      <c r="V32" s="125">
        <v>0</v>
      </c>
      <c r="W32" s="124">
        <v>0</v>
      </c>
      <c r="X32" s="126">
        <v>1</v>
      </c>
      <c r="Y32" s="126">
        <v>0</v>
      </c>
      <c r="Z32" s="126">
        <v>0</v>
      </c>
      <c r="AC32" s="125">
        <v>0</v>
      </c>
      <c r="AD32" s="124">
        <v>0</v>
      </c>
    </row>
    <row r="33" spans="1:30">
      <c r="A33" s="127" t="s">
        <v>1103</v>
      </c>
      <c r="B33" s="127" t="s">
        <v>1490</v>
      </c>
      <c r="C33" s="127" t="s">
        <v>1085</v>
      </c>
      <c r="D33" s="127" t="s">
        <v>1323</v>
      </c>
      <c r="E33" s="127" t="s">
        <v>1283</v>
      </c>
      <c r="F33" s="127" t="s">
        <v>1490</v>
      </c>
      <c r="M33" s="127" t="s">
        <v>1492</v>
      </c>
      <c r="N33" s="127" t="s">
        <v>1502</v>
      </c>
      <c r="O33" s="123">
        <v>44215</v>
      </c>
      <c r="P33" s="123">
        <v>44228</v>
      </c>
      <c r="Q33" s="123">
        <v>44214</v>
      </c>
      <c r="R33" s="123">
        <v>44220</v>
      </c>
      <c r="S33" s="124">
        <v>3</v>
      </c>
      <c r="T33" s="124">
        <v>3</v>
      </c>
      <c r="U33" s="124">
        <v>4</v>
      </c>
      <c r="V33" s="125">
        <v>0</v>
      </c>
      <c r="W33" s="124">
        <v>0</v>
      </c>
      <c r="X33" s="126">
        <v>1</v>
      </c>
      <c r="Y33" s="126">
        <v>0</v>
      </c>
      <c r="Z33" s="126">
        <v>0</v>
      </c>
      <c r="AC33" s="125">
        <v>0</v>
      </c>
      <c r="AD33" s="124">
        <v>0</v>
      </c>
    </row>
    <row r="34" spans="1:30">
      <c r="A34" s="127" t="s">
        <v>1103</v>
      </c>
      <c r="B34" s="127" t="s">
        <v>1490</v>
      </c>
      <c r="C34" s="127" t="s">
        <v>1085</v>
      </c>
      <c r="D34" s="127" t="s">
        <v>1323</v>
      </c>
      <c r="E34" s="127" t="s">
        <v>1283</v>
      </c>
      <c r="F34" s="127" t="s">
        <v>1490</v>
      </c>
      <c r="M34" s="127" t="s">
        <v>1492</v>
      </c>
      <c r="N34" s="127" t="s">
        <v>1502</v>
      </c>
      <c r="O34" s="123">
        <v>44215</v>
      </c>
      <c r="P34" s="123">
        <v>44228</v>
      </c>
      <c r="Q34" s="123">
        <v>44221</v>
      </c>
      <c r="R34" s="123">
        <v>44227</v>
      </c>
      <c r="S34" s="124">
        <v>4</v>
      </c>
      <c r="T34" s="124">
        <v>4</v>
      </c>
      <c r="U34" s="124">
        <v>5</v>
      </c>
      <c r="V34" s="125">
        <v>0</v>
      </c>
      <c r="W34" s="124">
        <v>0</v>
      </c>
      <c r="X34" s="126">
        <v>1</v>
      </c>
      <c r="Y34" s="126">
        <v>0</v>
      </c>
      <c r="Z34" s="126">
        <v>0</v>
      </c>
      <c r="AC34" s="125">
        <v>0</v>
      </c>
      <c r="AD34" s="124">
        <v>0</v>
      </c>
    </row>
    <row r="35" spans="1:30">
      <c r="A35" s="127" t="s">
        <v>1103</v>
      </c>
      <c r="B35" s="127" t="s">
        <v>1490</v>
      </c>
      <c r="C35" s="127" t="s">
        <v>1085</v>
      </c>
      <c r="D35" s="127" t="s">
        <v>1323</v>
      </c>
      <c r="E35" s="127" t="s">
        <v>1283</v>
      </c>
      <c r="F35" s="127" t="s">
        <v>1490</v>
      </c>
      <c r="M35" s="127" t="s">
        <v>1492</v>
      </c>
      <c r="N35" s="127" t="s">
        <v>1502</v>
      </c>
      <c r="O35" s="123">
        <v>44215</v>
      </c>
      <c r="P35" s="123">
        <v>44228</v>
      </c>
      <c r="Q35" s="123">
        <v>44228</v>
      </c>
      <c r="R35" s="123">
        <v>44234</v>
      </c>
      <c r="S35" s="124">
        <v>5</v>
      </c>
      <c r="T35" s="124">
        <v>5</v>
      </c>
      <c r="U35" s="124">
        <v>1</v>
      </c>
      <c r="V35" s="125">
        <v>0</v>
      </c>
      <c r="W35" s="124">
        <v>0</v>
      </c>
      <c r="X35" s="126">
        <v>1</v>
      </c>
      <c r="Y35" s="126">
        <v>0</v>
      </c>
      <c r="Z35" s="126">
        <v>0</v>
      </c>
      <c r="AC35" s="125">
        <v>0</v>
      </c>
      <c r="AD35" s="124">
        <v>0</v>
      </c>
    </row>
    <row r="36" spans="1:30">
      <c r="A36" s="127" t="s">
        <v>1103</v>
      </c>
      <c r="B36" s="127" t="s">
        <v>1491</v>
      </c>
      <c r="C36" s="127" t="s">
        <v>1085</v>
      </c>
      <c r="D36" s="127" t="s">
        <v>1323</v>
      </c>
      <c r="E36" s="127" t="s">
        <v>1283</v>
      </c>
      <c r="F36" s="127" t="s">
        <v>1491</v>
      </c>
      <c r="M36" s="127" t="s">
        <v>1494</v>
      </c>
      <c r="N36" s="127" t="s">
        <v>1502</v>
      </c>
      <c r="O36" s="123">
        <v>44215</v>
      </c>
      <c r="P36" s="123">
        <v>44225</v>
      </c>
      <c r="Q36" s="123">
        <v>44214</v>
      </c>
      <c r="R36" s="123">
        <v>44220</v>
      </c>
      <c r="S36" s="124">
        <v>3</v>
      </c>
      <c r="T36" s="124">
        <v>3</v>
      </c>
      <c r="U36" s="124">
        <v>4</v>
      </c>
      <c r="V36" s="125">
        <v>0</v>
      </c>
      <c r="W36" s="124">
        <v>0</v>
      </c>
      <c r="X36" s="126">
        <v>1</v>
      </c>
      <c r="Y36" s="126">
        <v>0</v>
      </c>
      <c r="Z36" s="126">
        <v>0</v>
      </c>
      <c r="AC36" s="125">
        <v>0</v>
      </c>
      <c r="AD36" s="124">
        <v>0</v>
      </c>
    </row>
    <row r="37" spans="1:30">
      <c r="A37" s="127" t="s">
        <v>1103</v>
      </c>
      <c r="B37" s="127" t="s">
        <v>1491</v>
      </c>
      <c r="C37" s="127" t="s">
        <v>1085</v>
      </c>
      <c r="D37" s="127" t="s">
        <v>1323</v>
      </c>
      <c r="E37" s="127" t="s">
        <v>1283</v>
      </c>
      <c r="F37" s="127" t="s">
        <v>1491</v>
      </c>
      <c r="M37" s="127" t="s">
        <v>1494</v>
      </c>
      <c r="N37" s="127" t="s">
        <v>1502</v>
      </c>
      <c r="O37" s="123">
        <v>44215</v>
      </c>
      <c r="P37" s="123">
        <v>44225</v>
      </c>
      <c r="Q37" s="123">
        <v>44221</v>
      </c>
      <c r="R37" s="123">
        <v>44227</v>
      </c>
      <c r="S37" s="124">
        <v>4</v>
      </c>
      <c r="T37" s="124">
        <v>4</v>
      </c>
      <c r="U37" s="124">
        <v>5</v>
      </c>
      <c r="V37" s="125">
        <v>0</v>
      </c>
      <c r="W37" s="124">
        <v>0</v>
      </c>
      <c r="X37" s="126">
        <v>1</v>
      </c>
      <c r="Y37" s="126">
        <v>0</v>
      </c>
      <c r="Z37" s="126">
        <v>0</v>
      </c>
      <c r="AC37" s="125">
        <v>0</v>
      </c>
      <c r="AD37" s="124">
        <v>0</v>
      </c>
    </row>
    <row r="38" spans="1:30">
      <c r="A38" s="127" t="s">
        <v>1103</v>
      </c>
      <c r="B38" s="127" t="s">
        <v>1659</v>
      </c>
      <c r="C38" s="127" t="s">
        <v>1085</v>
      </c>
      <c r="D38" s="127" t="s">
        <v>1323</v>
      </c>
      <c r="E38" s="127" t="s">
        <v>1283</v>
      </c>
      <c r="F38" s="127" t="s">
        <v>1659</v>
      </c>
      <c r="M38" s="127" t="s">
        <v>1495</v>
      </c>
      <c r="N38" s="127" t="s">
        <v>1501</v>
      </c>
      <c r="O38" s="123">
        <v>44225</v>
      </c>
      <c r="P38" s="123">
        <v>44225</v>
      </c>
      <c r="Q38" s="123">
        <v>44221</v>
      </c>
      <c r="R38" s="123">
        <v>44227</v>
      </c>
      <c r="S38" s="124">
        <v>4</v>
      </c>
      <c r="T38" s="124">
        <v>4</v>
      </c>
      <c r="U38" s="124">
        <v>1</v>
      </c>
      <c r="V38" s="125">
        <v>0</v>
      </c>
      <c r="W38" s="124">
        <v>0</v>
      </c>
      <c r="X38" s="126">
        <v>1</v>
      </c>
      <c r="Y38" s="126">
        <v>0</v>
      </c>
      <c r="Z38" s="126">
        <v>0</v>
      </c>
      <c r="AC38" s="125">
        <v>0</v>
      </c>
      <c r="AD38" s="124">
        <v>0</v>
      </c>
    </row>
    <row r="39" spans="1:30">
      <c r="A39" s="127" t="s">
        <v>1103</v>
      </c>
      <c r="B39" s="127" t="s">
        <v>1660</v>
      </c>
      <c r="C39" s="127" t="s">
        <v>1085</v>
      </c>
      <c r="D39" s="127" t="s">
        <v>1323</v>
      </c>
      <c r="E39" s="127" t="s">
        <v>1283</v>
      </c>
      <c r="F39" s="127" t="s">
        <v>1660</v>
      </c>
      <c r="M39" s="127" t="s">
        <v>1496</v>
      </c>
      <c r="N39" s="127" t="s">
        <v>1504</v>
      </c>
      <c r="O39" s="123">
        <v>44222</v>
      </c>
      <c r="P39" s="123">
        <v>44222</v>
      </c>
      <c r="Q39" s="123">
        <v>44221</v>
      </c>
      <c r="R39" s="123">
        <v>44227</v>
      </c>
      <c r="S39" s="124">
        <v>4</v>
      </c>
      <c r="T39" s="124">
        <v>4</v>
      </c>
      <c r="U39" s="124">
        <v>1</v>
      </c>
      <c r="V39" s="125">
        <v>0</v>
      </c>
      <c r="W39" s="124">
        <v>0</v>
      </c>
      <c r="X39" s="126">
        <v>1</v>
      </c>
      <c r="Y39" s="126">
        <v>0</v>
      </c>
      <c r="Z39" s="126">
        <v>0</v>
      </c>
      <c r="AC39" s="125">
        <v>0</v>
      </c>
      <c r="AD39" s="124">
        <v>0</v>
      </c>
    </row>
    <row r="40" spans="1:30">
      <c r="A40" s="127" t="s">
        <v>1103</v>
      </c>
      <c r="B40" s="127" t="s">
        <v>1661</v>
      </c>
      <c r="C40" s="127" t="s">
        <v>1085</v>
      </c>
      <c r="D40" s="127" t="s">
        <v>1323</v>
      </c>
      <c r="E40" s="127" t="s">
        <v>1283</v>
      </c>
      <c r="F40" s="127" t="s">
        <v>1661</v>
      </c>
      <c r="M40" s="127" t="s">
        <v>1497</v>
      </c>
      <c r="N40" s="127" t="s">
        <v>1504</v>
      </c>
      <c r="O40" s="123">
        <v>44230</v>
      </c>
      <c r="P40" s="123">
        <v>44231</v>
      </c>
      <c r="Q40" s="123">
        <v>44228</v>
      </c>
      <c r="R40" s="123">
        <v>44234</v>
      </c>
      <c r="S40" s="124">
        <v>5</v>
      </c>
      <c r="T40" s="124">
        <v>5</v>
      </c>
      <c r="U40" s="124">
        <v>2</v>
      </c>
      <c r="V40" s="125">
        <v>0</v>
      </c>
      <c r="W40" s="124">
        <v>0</v>
      </c>
      <c r="X40" s="126">
        <v>1</v>
      </c>
      <c r="Y40" s="126">
        <v>0</v>
      </c>
      <c r="Z40" s="126">
        <v>0</v>
      </c>
      <c r="AC40" s="125">
        <v>0</v>
      </c>
      <c r="AD40" s="124">
        <v>0</v>
      </c>
    </row>
    <row r="41" spans="1:30">
      <c r="A41" s="127" t="s">
        <v>1103</v>
      </c>
      <c r="B41" s="127" t="s">
        <v>1662</v>
      </c>
      <c r="C41" s="127" t="s">
        <v>1085</v>
      </c>
      <c r="D41" s="127" t="s">
        <v>1323</v>
      </c>
      <c r="E41" s="127" t="s">
        <v>1283</v>
      </c>
      <c r="F41" s="127" t="s">
        <v>1662</v>
      </c>
      <c r="M41" s="127" t="s">
        <v>1498</v>
      </c>
      <c r="N41" s="127" t="s">
        <v>1504</v>
      </c>
      <c r="O41" s="123">
        <v>44232</v>
      </c>
      <c r="P41" s="123">
        <v>44232</v>
      </c>
      <c r="Q41" s="123">
        <v>44228</v>
      </c>
      <c r="R41" s="123">
        <v>44234</v>
      </c>
      <c r="S41" s="124">
        <v>5</v>
      </c>
      <c r="T41" s="124">
        <v>5</v>
      </c>
      <c r="U41" s="124">
        <v>1</v>
      </c>
      <c r="V41" s="125">
        <v>0</v>
      </c>
      <c r="W41" s="124">
        <v>0</v>
      </c>
      <c r="X41" s="126">
        <v>1</v>
      </c>
      <c r="Y41" s="126">
        <v>0</v>
      </c>
      <c r="Z41" s="126">
        <v>0</v>
      </c>
      <c r="AC41" s="125">
        <v>0</v>
      </c>
      <c r="AD41" s="124">
        <v>0</v>
      </c>
    </row>
    <row r="42" spans="1:30">
      <c r="A42" s="127" t="s">
        <v>1103</v>
      </c>
      <c r="B42" s="127" t="s">
        <v>1663</v>
      </c>
      <c r="C42" s="127" t="s">
        <v>1085</v>
      </c>
      <c r="D42" s="127" t="s">
        <v>1323</v>
      </c>
      <c r="E42" s="127" t="s">
        <v>1283</v>
      </c>
      <c r="F42" s="127" t="s">
        <v>1663</v>
      </c>
      <c r="M42" s="127" t="s">
        <v>1499</v>
      </c>
      <c r="N42" s="127" t="s">
        <v>1504</v>
      </c>
      <c r="O42" s="123">
        <v>44232</v>
      </c>
      <c r="P42" s="123">
        <v>44232</v>
      </c>
      <c r="Q42" s="123">
        <v>44228</v>
      </c>
      <c r="R42" s="123">
        <v>44234</v>
      </c>
      <c r="S42" s="124">
        <v>5</v>
      </c>
      <c r="T42" s="124">
        <v>5</v>
      </c>
      <c r="U42" s="124">
        <v>0.8</v>
      </c>
      <c r="V42" s="125">
        <v>0</v>
      </c>
      <c r="W42" s="124">
        <v>0</v>
      </c>
      <c r="X42" s="126">
        <v>0.8</v>
      </c>
      <c r="Y42" s="126">
        <v>0</v>
      </c>
      <c r="Z42" s="126">
        <v>0</v>
      </c>
      <c r="AC42" s="125">
        <v>0</v>
      </c>
      <c r="AD42" s="124">
        <v>0</v>
      </c>
    </row>
    <row r="43" spans="1:30">
      <c r="A43" s="127" t="s">
        <v>1103</v>
      </c>
      <c r="B43" s="127" t="s">
        <v>1663</v>
      </c>
      <c r="C43" s="127" t="s">
        <v>1085</v>
      </c>
      <c r="D43" s="127" t="s">
        <v>1323</v>
      </c>
      <c r="E43" s="127" t="s">
        <v>1283</v>
      </c>
      <c r="F43" s="127" t="s">
        <v>1663</v>
      </c>
      <c r="M43" s="127" t="s">
        <v>1499</v>
      </c>
      <c r="N43" s="127" t="s">
        <v>1719</v>
      </c>
      <c r="O43" s="123">
        <v>44232</v>
      </c>
      <c r="P43" s="123">
        <v>44232</v>
      </c>
      <c r="Q43" s="123">
        <v>44228</v>
      </c>
      <c r="R43" s="123">
        <v>44234</v>
      </c>
      <c r="S43" s="124">
        <v>5</v>
      </c>
      <c r="T43" s="124">
        <v>5</v>
      </c>
      <c r="U43" s="124">
        <v>0.2</v>
      </c>
      <c r="V43" s="125">
        <v>0</v>
      </c>
      <c r="W43" s="124">
        <v>0</v>
      </c>
      <c r="X43" s="126">
        <v>0.2</v>
      </c>
      <c r="Y43" s="126">
        <v>0</v>
      </c>
      <c r="Z43" s="126">
        <v>0</v>
      </c>
      <c r="AC43" s="125">
        <v>0</v>
      </c>
      <c r="AD43" s="124">
        <v>0</v>
      </c>
    </row>
    <row r="44" spans="1:30">
      <c r="A44" s="127" t="s">
        <v>1102</v>
      </c>
      <c r="B44" s="127" t="s">
        <v>1717</v>
      </c>
      <c r="C44" s="127" t="s">
        <v>1085</v>
      </c>
      <c r="D44" s="127" t="s">
        <v>1323</v>
      </c>
      <c r="E44" s="127" t="s">
        <v>1717</v>
      </c>
      <c r="M44" s="127" t="s">
        <v>1715</v>
      </c>
      <c r="N44" s="127" t="s">
        <v>1716</v>
      </c>
      <c r="O44" s="123">
        <v>44235</v>
      </c>
      <c r="P44" s="123">
        <v>44253</v>
      </c>
      <c r="Q44" s="123">
        <v>44235</v>
      </c>
      <c r="R44" s="123">
        <v>44241</v>
      </c>
      <c r="S44" s="124">
        <v>6</v>
      </c>
      <c r="T44" s="124">
        <v>6</v>
      </c>
      <c r="U44" s="124">
        <v>3</v>
      </c>
      <c r="V44" s="125">
        <v>0</v>
      </c>
      <c r="W44" s="124">
        <v>0</v>
      </c>
      <c r="X44" s="126">
        <v>1</v>
      </c>
      <c r="Y44" s="126">
        <v>0</v>
      </c>
      <c r="Z44" s="126">
        <v>0</v>
      </c>
      <c r="AC44" s="125">
        <v>0</v>
      </c>
      <c r="AD44" s="124">
        <v>0</v>
      </c>
    </row>
    <row r="45" spans="1:30">
      <c r="A45" s="127" t="s">
        <v>1102</v>
      </c>
      <c r="B45" s="127" t="s">
        <v>1717</v>
      </c>
      <c r="C45" s="127" t="s">
        <v>1085</v>
      </c>
      <c r="D45" s="127" t="s">
        <v>1323</v>
      </c>
      <c r="E45" s="127" t="s">
        <v>1717</v>
      </c>
      <c r="M45" s="127" t="s">
        <v>1715</v>
      </c>
      <c r="N45" s="127" t="s">
        <v>1716</v>
      </c>
      <c r="O45" s="123">
        <v>44235</v>
      </c>
      <c r="P45" s="123">
        <v>44253</v>
      </c>
      <c r="Q45" s="123">
        <v>44242</v>
      </c>
      <c r="R45" s="123">
        <v>44248</v>
      </c>
      <c r="S45" s="124">
        <v>7</v>
      </c>
      <c r="T45" s="124">
        <v>7</v>
      </c>
      <c r="U45" s="124">
        <v>5</v>
      </c>
      <c r="V45" s="125">
        <v>0</v>
      </c>
      <c r="W45" s="124">
        <v>0</v>
      </c>
      <c r="X45" s="126">
        <v>1</v>
      </c>
      <c r="Y45" s="126">
        <v>0</v>
      </c>
      <c r="Z45" s="126">
        <v>0</v>
      </c>
      <c r="AC45" s="125">
        <v>0</v>
      </c>
      <c r="AD45" s="124">
        <v>0</v>
      </c>
    </row>
    <row r="46" spans="1:30">
      <c r="A46" s="127" t="s">
        <v>1102</v>
      </c>
      <c r="B46" s="127" t="s">
        <v>1717</v>
      </c>
      <c r="C46" s="127" t="s">
        <v>1085</v>
      </c>
      <c r="D46" s="127" t="s">
        <v>1323</v>
      </c>
      <c r="E46" s="127" t="s">
        <v>1717</v>
      </c>
      <c r="M46" s="127" t="s">
        <v>1715</v>
      </c>
      <c r="N46" s="127" t="s">
        <v>1716</v>
      </c>
      <c r="O46" s="123">
        <v>44235</v>
      </c>
      <c r="P46" s="123">
        <v>44253</v>
      </c>
      <c r="Q46" s="123">
        <v>44249</v>
      </c>
      <c r="R46" s="123">
        <v>44255</v>
      </c>
      <c r="S46" s="124">
        <v>8</v>
      </c>
      <c r="T46" s="124">
        <v>8</v>
      </c>
      <c r="U46" s="124">
        <v>5</v>
      </c>
      <c r="V46" s="125">
        <v>0</v>
      </c>
      <c r="W46" s="124">
        <v>0</v>
      </c>
      <c r="X46" s="126">
        <v>1</v>
      </c>
      <c r="Y46" s="126">
        <v>0</v>
      </c>
      <c r="Z46" s="126">
        <v>0</v>
      </c>
      <c r="AC46" s="125">
        <v>0</v>
      </c>
      <c r="AD46" s="124">
        <v>0</v>
      </c>
    </row>
    <row r="47" spans="1:30">
      <c r="A47" s="127" t="s">
        <v>1102</v>
      </c>
      <c r="B47" s="127" t="s">
        <v>1286</v>
      </c>
      <c r="C47" s="127" t="s">
        <v>1085</v>
      </c>
      <c r="D47" s="127" t="s">
        <v>1324</v>
      </c>
      <c r="E47" s="127" t="s">
        <v>1286</v>
      </c>
      <c r="M47" s="127" t="s">
        <v>1287</v>
      </c>
      <c r="N47" s="127" t="s">
        <v>1406</v>
      </c>
      <c r="O47" s="123">
        <v>44256</v>
      </c>
      <c r="P47" s="123">
        <v>44286</v>
      </c>
      <c r="Q47" s="123">
        <v>44256</v>
      </c>
      <c r="R47" s="123">
        <v>44262</v>
      </c>
      <c r="S47" s="124">
        <v>9</v>
      </c>
      <c r="T47" s="124">
        <v>9</v>
      </c>
      <c r="U47" s="124">
        <v>4</v>
      </c>
      <c r="V47" s="125">
        <v>0</v>
      </c>
      <c r="W47" s="124">
        <v>0</v>
      </c>
      <c r="X47" s="126">
        <v>1</v>
      </c>
      <c r="Y47" s="126">
        <v>0</v>
      </c>
      <c r="Z47" s="126">
        <v>0</v>
      </c>
      <c r="AC47" s="125">
        <v>0</v>
      </c>
      <c r="AD47" s="124">
        <v>0</v>
      </c>
    </row>
    <row r="48" spans="1:30">
      <c r="A48" s="127" t="s">
        <v>1102</v>
      </c>
      <c r="B48" s="127" t="s">
        <v>1286</v>
      </c>
      <c r="C48" s="127" t="s">
        <v>1085</v>
      </c>
      <c r="D48" s="127" t="s">
        <v>1324</v>
      </c>
      <c r="E48" s="127" t="s">
        <v>1286</v>
      </c>
      <c r="M48" s="127" t="s">
        <v>1287</v>
      </c>
      <c r="N48" s="127" t="s">
        <v>1406</v>
      </c>
      <c r="O48" s="123">
        <v>44256</v>
      </c>
      <c r="P48" s="123">
        <v>44286</v>
      </c>
      <c r="Q48" s="123">
        <v>44263</v>
      </c>
      <c r="R48" s="123">
        <v>44269</v>
      </c>
      <c r="S48" s="124">
        <v>10</v>
      </c>
      <c r="T48" s="124">
        <v>10</v>
      </c>
      <c r="U48" s="124">
        <v>5</v>
      </c>
      <c r="V48" s="125">
        <v>0</v>
      </c>
      <c r="W48" s="124">
        <v>0</v>
      </c>
      <c r="X48" s="126">
        <v>1</v>
      </c>
      <c r="Y48" s="126">
        <v>0</v>
      </c>
      <c r="Z48" s="126">
        <v>0</v>
      </c>
      <c r="AC48" s="125">
        <v>0</v>
      </c>
      <c r="AD48" s="124">
        <v>0</v>
      </c>
    </row>
    <row r="49" spans="1:30">
      <c r="A49" s="127" t="s">
        <v>1102</v>
      </c>
      <c r="B49" s="127" t="s">
        <v>1286</v>
      </c>
      <c r="C49" s="127" t="s">
        <v>1085</v>
      </c>
      <c r="D49" s="127" t="s">
        <v>1324</v>
      </c>
      <c r="E49" s="127" t="s">
        <v>1286</v>
      </c>
      <c r="M49" s="127" t="s">
        <v>1287</v>
      </c>
      <c r="N49" s="127" t="s">
        <v>1406</v>
      </c>
      <c r="O49" s="123">
        <v>44256</v>
      </c>
      <c r="P49" s="123">
        <v>44286</v>
      </c>
      <c r="Q49" s="123">
        <v>44270</v>
      </c>
      <c r="R49" s="123">
        <v>44276</v>
      </c>
      <c r="S49" s="124">
        <v>11</v>
      </c>
      <c r="T49" s="124">
        <v>11</v>
      </c>
      <c r="U49" s="124">
        <v>5</v>
      </c>
      <c r="V49" s="125">
        <v>0</v>
      </c>
      <c r="W49" s="124">
        <v>0</v>
      </c>
      <c r="X49" s="126">
        <v>1</v>
      </c>
      <c r="Y49" s="126">
        <v>0</v>
      </c>
      <c r="Z49" s="126">
        <v>0</v>
      </c>
      <c r="AC49" s="125">
        <v>0</v>
      </c>
      <c r="AD49" s="124">
        <v>0</v>
      </c>
    </row>
    <row r="50" spans="1:30">
      <c r="A50" s="127" t="s">
        <v>1102</v>
      </c>
      <c r="B50" s="127" t="s">
        <v>1286</v>
      </c>
      <c r="C50" s="127" t="s">
        <v>1085</v>
      </c>
      <c r="D50" s="127" t="s">
        <v>1324</v>
      </c>
      <c r="E50" s="127" t="s">
        <v>1286</v>
      </c>
      <c r="M50" s="127" t="s">
        <v>1287</v>
      </c>
      <c r="N50" s="127" t="s">
        <v>1406</v>
      </c>
      <c r="O50" s="123">
        <v>44256</v>
      </c>
      <c r="P50" s="123">
        <v>44286</v>
      </c>
      <c r="Q50" s="123">
        <v>44277</v>
      </c>
      <c r="R50" s="123">
        <v>44283</v>
      </c>
      <c r="S50" s="124">
        <v>12</v>
      </c>
      <c r="T50" s="124">
        <v>12</v>
      </c>
      <c r="U50" s="124">
        <v>5</v>
      </c>
      <c r="V50" s="125">
        <v>0</v>
      </c>
      <c r="W50" s="124">
        <v>0</v>
      </c>
      <c r="X50" s="126">
        <v>1</v>
      </c>
      <c r="Y50" s="126">
        <v>0</v>
      </c>
      <c r="Z50" s="126">
        <v>0</v>
      </c>
      <c r="AC50" s="125">
        <v>0</v>
      </c>
      <c r="AD50" s="124">
        <v>0</v>
      </c>
    </row>
    <row r="51" spans="1:30">
      <c r="A51" s="127" t="s">
        <v>1102</v>
      </c>
      <c r="B51" s="127" t="s">
        <v>1286</v>
      </c>
      <c r="C51" s="127" t="s">
        <v>1085</v>
      </c>
      <c r="D51" s="127" t="s">
        <v>1324</v>
      </c>
      <c r="E51" s="127" t="s">
        <v>1286</v>
      </c>
      <c r="M51" s="127" t="s">
        <v>1287</v>
      </c>
      <c r="N51" s="127" t="s">
        <v>1406</v>
      </c>
      <c r="O51" s="123">
        <v>44256</v>
      </c>
      <c r="P51" s="123">
        <v>44286</v>
      </c>
      <c r="Q51" s="123">
        <v>44284</v>
      </c>
      <c r="R51" s="123">
        <v>44290</v>
      </c>
      <c r="S51" s="124">
        <v>13</v>
      </c>
      <c r="T51" s="124">
        <v>13</v>
      </c>
      <c r="U51" s="124">
        <v>3</v>
      </c>
      <c r="V51" s="125">
        <v>0</v>
      </c>
      <c r="W51" s="124">
        <v>0</v>
      </c>
      <c r="X51" s="126">
        <v>1</v>
      </c>
      <c r="Y51" s="126">
        <v>0</v>
      </c>
      <c r="Z51" s="126">
        <v>0</v>
      </c>
      <c r="AC51" s="125">
        <v>0</v>
      </c>
      <c r="AD51" s="124">
        <v>0</v>
      </c>
    </row>
    <row r="52" spans="1:30">
      <c r="A52" s="127" t="s">
        <v>1103</v>
      </c>
      <c r="B52" s="127" t="s">
        <v>1290</v>
      </c>
      <c r="C52" s="127" t="s">
        <v>1085</v>
      </c>
      <c r="D52" s="127" t="s">
        <v>1324</v>
      </c>
      <c r="E52" s="127" t="s">
        <v>1288</v>
      </c>
      <c r="F52" s="127" t="s">
        <v>1290</v>
      </c>
      <c r="M52" s="127" t="s">
        <v>1292</v>
      </c>
      <c r="N52" s="127" t="s">
        <v>1406</v>
      </c>
      <c r="O52" s="123">
        <v>44257</v>
      </c>
      <c r="P52" s="123">
        <v>44316</v>
      </c>
      <c r="Q52" s="123">
        <v>44256</v>
      </c>
      <c r="R52" s="123">
        <v>44262</v>
      </c>
      <c r="S52" s="124">
        <v>9</v>
      </c>
      <c r="T52" s="124">
        <v>9</v>
      </c>
      <c r="U52" s="124">
        <v>4</v>
      </c>
      <c r="V52" s="125">
        <v>0</v>
      </c>
      <c r="W52" s="124">
        <v>0</v>
      </c>
      <c r="X52" s="126">
        <v>1</v>
      </c>
      <c r="Y52" s="126">
        <v>0</v>
      </c>
      <c r="Z52" s="126">
        <v>0</v>
      </c>
      <c r="AC52" s="125">
        <v>0</v>
      </c>
      <c r="AD52" s="124">
        <v>0</v>
      </c>
    </row>
    <row r="53" spans="1:30">
      <c r="A53" s="127" t="s">
        <v>1103</v>
      </c>
      <c r="B53" s="127" t="s">
        <v>1290</v>
      </c>
      <c r="C53" s="127" t="s">
        <v>1085</v>
      </c>
      <c r="D53" s="127" t="s">
        <v>1324</v>
      </c>
      <c r="E53" s="127" t="s">
        <v>1288</v>
      </c>
      <c r="F53" s="127" t="s">
        <v>1290</v>
      </c>
      <c r="M53" s="127" t="s">
        <v>1292</v>
      </c>
      <c r="N53" s="127" t="s">
        <v>1406</v>
      </c>
      <c r="O53" s="123">
        <v>44257</v>
      </c>
      <c r="P53" s="123">
        <v>44316</v>
      </c>
      <c r="Q53" s="123">
        <v>44263</v>
      </c>
      <c r="R53" s="123">
        <v>44269</v>
      </c>
      <c r="S53" s="124">
        <v>10</v>
      </c>
      <c r="T53" s="124">
        <v>10</v>
      </c>
      <c r="U53" s="124">
        <v>5</v>
      </c>
      <c r="V53" s="125">
        <v>0</v>
      </c>
      <c r="W53" s="124">
        <v>0</v>
      </c>
      <c r="X53" s="126">
        <v>1</v>
      </c>
      <c r="Y53" s="126">
        <v>0</v>
      </c>
      <c r="Z53" s="126">
        <v>0</v>
      </c>
      <c r="AC53" s="125">
        <v>0</v>
      </c>
      <c r="AD53" s="124">
        <v>0</v>
      </c>
    </row>
    <row r="54" spans="1:30">
      <c r="A54" s="127" t="s">
        <v>1103</v>
      </c>
      <c r="B54" s="127" t="s">
        <v>1290</v>
      </c>
      <c r="C54" s="127" t="s">
        <v>1085</v>
      </c>
      <c r="D54" s="127" t="s">
        <v>1324</v>
      </c>
      <c r="E54" s="127" t="s">
        <v>1288</v>
      </c>
      <c r="F54" s="127" t="s">
        <v>1290</v>
      </c>
      <c r="M54" s="127" t="s">
        <v>1292</v>
      </c>
      <c r="N54" s="127" t="s">
        <v>1406</v>
      </c>
      <c r="O54" s="123">
        <v>44257</v>
      </c>
      <c r="P54" s="123">
        <v>44316</v>
      </c>
      <c r="Q54" s="123">
        <v>44270</v>
      </c>
      <c r="R54" s="123">
        <v>44276</v>
      </c>
      <c r="S54" s="124">
        <v>11</v>
      </c>
      <c r="T54" s="124">
        <v>11</v>
      </c>
      <c r="U54" s="124">
        <v>5</v>
      </c>
      <c r="V54" s="125">
        <v>0</v>
      </c>
      <c r="W54" s="124">
        <v>0</v>
      </c>
      <c r="X54" s="126">
        <v>1</v>
      </c>
      <c r="Y54" s="126">
        <v>0</v>
      </c>
      <c r="Z54" s="126">
        <v>0</v>
      </c>
      <c r="AC54" s="125">
        <v>0</v>
      </c>
      <c r="AD54" s="124">
        <v>0</v>
      </c>
    </row>
    <row r="55" spans="1:30">
      <c r="A55" s="127" t="s">
        <v>1103</v>
      </c>
      <c r="B55" s="127" t="s">
        <v>1290</v>
      </c>
      <c r="C55" s="127" t="s">
        <v>1085</v>
      </c>
      <c r="D55" s="127" t="s">
        <v>1324</v>
      </c>
      <c r="E55" s="127" t="s">
        <v>1288</v>
      </c>
      <c r="F55" s="127" t="s">
        <v>1290</v>
      </c>
      <c r="M55" s="127" t="s">
        <v>1292</v>
      </c>
      <c r="N55" s="127" t="s">
        <v>1406</v>
      </c>
      <c r="O55" s="123">
        <v>44257</v>
      </c>
      <c r="P55" s="123">
        <v>44316</v>
      </c>
      <c r="Q55" s="123">
        <v>44277</v>
      </c>
      <c r="R55" s="123">
        <v>44283</v>
      </c>
      <c r="S55" s="124">
        <v>12</v>
      </c>
      <c r="T55" s="124">
        <v>12</v>
      </c>
      <c r="U55" s="124">
        <v>5</v>
      </c>
      <c r="V55" s="125">
        <v>0</v>
      </c>
      <c r="W55" s="124">
        <v>0</v>
      </c>
      <c r="X55" s="126">
        <v>1</v>
      </c>
      <c r="Y55" s="126">
        <v>0</v>
      </c>
      <c r="Z55" s="126">
        <v>0</v>
      </c>
      <c r="AC55" s="125">
        <v>0</v>
      </c>
      <c r="AD55" s="124">
        <v>0</v>
      </c>
    </row>
    <row r="56" spans="1:30">
      <c r="A56" s="127" t="s">
        <v>1103</v>
      </c>
      <c r="B56" s="127" t="s">
        <v>1290</v>
      </c>
      <c r="C56" s="127" t="s">
        <v>1085</v>
      </c>
      <c r="D56" s="127" t="s">
        <v>1324</v>
      </c>
      <c r="E56" s="127" t="s">
        <v>1288</v>
      </c>
      <c r="F56" s="127" t="s">
        <v>1290</v>
      </c>
      <c r="M56" s="127" t="s">
        <v>1292</v>
      </c>
      <c r="N56" s="127" t="s">
        <v>1406</v>
      </c>
      <c r="O56" s="123">
        <v>44257</v>
      </c>
      <c r="P56" s="123">
        <v>44316</v>
      </c>
      <c r="Q56" s="123">
        <v>44284</v>
      </c>
      <c r="R56" s="123">
        <v>44290</v>
      </c>
      <c r="S56" s="124">
        <v>13</v>
      </c>
      <c r="T56" s="124">
        <v>13</v>
      </c>
      <c r="U56" s="124">
        <v>5</v>
      </c>
      <c r="V56" s="125">
        <v>0</v>
      </c>
      <c r="W56" s="124">
        <v>0</v>
      </c>
      <c r="X56" s="126">
        <v>1</v>
      </c>
      <c r="Y56" s="126">
        <v>0</v>
      </c>
      <c r="Z56" s="126">
        <v>0</v>
      </c>
      <c r="AC56" s="125">
        <v>0</v>
      </c>
      <c r="AD56" s="124">
        <v>0</v>
      </c>
    </row>
    <row r="57" spans="1:30">
      <c r="A57" s="127" t="s">
        <v>1103</v>
      </c>
      <c r="B57" s="127" t="s">
        <v>1290</v>
      </c>
      <c r="C57" s="127" t="s">
        <v>1085</v>
      </c>
      <c r="D57" s="127" t="s">
        <v>1324</v>
      </c>
      <c r="E57" s="127" t="s">
        <v>1288</v>
      </c>
      <c r="F57" s="127" t="s">
        <v>1290</v>
      </c>
      <c r="M57" s="127" t="s">
        <v>1292</v>
      </c>
      <c r="N57" s="127" t="s">
        <v>1406</v>
      </c>
      <c r="O57" s="123">
        <v>44257</v>
      </c>
      <c r="P57" s="123">
        <v>44316</v>
      </c>
      <c r="Q57" s="123">
        <v>44291</v>
      </c>
      <c r="R57" s="123">
        <v>44297</v>
      </c>
      <c r="S57" s="124">
        <v>14</v>
      </c>
      <c r="T57" s="124">
        <v>14</v>
      </c>
      <c r="U57" s="124">
        <v>5</v>
      </c>
      <c r="V57" s="125">
        <v>0</v>
      </c>
      <c r="W57" s="124">
        <v>0</v>
      </c>
      <c r="X57" s="126">
        <v>1</v>
      </c>
      <c r="Y57" s="126">
        <v>0</v>
      </c>
      <c r="Z57" s="126">
        <v>0</v>
      </c>
      <c r="AC57" s="125">
        <v>0</v>
      </c>
      <c r="AD57" s="124">
        <v>0</v>
      </c>
    </row>
    <row r="58" spans="1:30">
      <c r="A58" s="127" t="s">
        <v>1103</v>
      </c>
      <c r="B58" s="127" t="s">
        <v>1290</v>
      </c>
      <c r="C58" s="127" t="s">
        <v>1085</v>
      </c>
      <c r="D58" s="127" t="s">
        <v>1324</v>
      </c>
      <c r="E58" s="127" t="s">
        <v>1288</v>
      </c>
      <c r="F58" s="127" t="s">
        <v>1290</v>
      </c>
      <c r="M58" s="127" t="s">
        <v>1292</v>
      </c>
      <c r="N58" s="127" t="s">
        <v>1406</v>
      </c>
      <c r="O58" s="123">
        <v>44257</v>
      </c>
      <c r="P58" s="123">
        <v>44316</v>
      </c>
      <c r="Q58" s="123">
        <v>44298</v>
      </c>
      <c r="R58" s="123">
        <v>44304</v>
      </c>
      <c r="S58" s="124">
        <v>15</v>
      </c>
      <c r="T58" s="124">
        <v>15</v>
      </c>
      <c r="U58" s="124">
        <v>5</v>
      </c>
      <c r="V58" s="125">
        <v>0</v>
      </c>
      <c r="W58" s="124">
        <v>0</v>
      </c>
      <c r="X58" s="126">
        <v>1</v>
      </c>
      <c r="Y58" s="126">
        <v>0</v>
      </c>
      <c r="Z58" s="126">
        <v>0</v>
      </c>
      <c r="AC58" s="125">
        <v>0</v>
      </c>
      <c r="AD58" s="124">
        <v>0</v>
      </c>
    </row>
    <row r="59" spans="1:30">
      <c r="A59" s="127" t="s">
        <v>1103</v>
      </c>
      <c r="B59" s="127" t="s">
        <v>1290</v>
      </c>
      <c r="C59" s="127" t="s">
        <v>1085</v>
      </c>
      <c r="D59" s="127" t="s">
        <v>1324</v>
      </c>
      <c r="E59" s="127" t="s">
        <v>1288</v>
      </c>
      <c r="F59" s="127" t="s">
        <v>1290</v>
      </c>
      <c r="M59" s="127" t="s">
        <v>1292</v>
      </c>
      <c r="N59" s="127" t="s">
        <v>1406</v>
      </c>
      <c r="O59" s="123">
        <v>44257</v>
      </c>
      <c r="P59" s="123">
        <v>44316</v>
      </c>
      <c r="Q59" s="123">
        <v>44305</v>
      </c>
      <c r="R59" s="123">
        <v>44311</v>
      </c>
      <c r="S59" s="124">
        <v>16</v>
      </c>
      <c r="T59" s="124">
        <v>16</v>
      </c>
      <c r="U59" s="124">
        <v>5</v>
      </c>
      <c r="V59" s="125">
        <v>0</v>
      </c>
      <c r="W59" s="124">
        <v>0</v>
      </c>
      <c r="X59" s="126">
        <v>1</v>
      </c>
      <c r="Y59" s="126">
        <v>0</v>
      </c>
      <c r="Z59" s="126">
        <v>0</v>
      </c>
      <c r="AC59" s="125">
        <v>0</v>
      </c>
      <c r="AD59" s="124">
        <v>0</v>
      </c>
    </row>
    <row r="60" spans="1:30">
      <c r="A60" s="127" t="s">
        <v>1103</v>
      </c>
      <c r="B60" s="127" t="s">
        <v>1290</v>
      </c>
      <c r="C60" s="127" t="s">
        <v>1085</v>
      </c>
      <c r="D60" s="127" t="s">
        <v>1324</v>
      </c>
      <c r="E60" s="127" t="s">
        <v>1288</v>
      </c>
      <c r="F60" s="127" t="s">
        <v>1290</v>
      </c>
      <c r="M60" s="127" t="s">
        <v>1292</v>
      </c>
      <c r="N60" s="127" t="s">
        <v>1406</v>
      </c>
      <c r="O60" s="123">
        <v>44257</v>
      </c>
      <c r="P60" s="123">
        <v>44316</v>
      </c>
      <c r="Q60" s="123">
        <v>44312</v>
      </c>
      <c r="R60" s="123">
        <v>44318</v>
      </c>
      <c r="S60" s="124">
        <v>17</v>
      </c>
      <c r="T60" s="124">
        <v>17</v>
      </c>
      <c r="U60" s="124">
        <v>5</v>
      </c>
      <c r="V60" s="125">
        <v>0</v>
      </c>
      <c r="W60" s="124">
        <v>0</v>
      </c>
      <c r="X60" s="126">
        <v>1</v>
      </c>
      <c r="Y60" s="126">
        <v>0</v>
      </c>
      <c r="Z60" s="126">
        <v>0</v>
      </c>
      <c r="AC60" s="125">
        <v>0</v>
      </c>
      <c r="AD60" s="124">
        <v>0</v>
      </c>
    </row>
    <row r="61" spans="1:30">
      <c r="A61" s="127" t="s">
        <v>1103</v>
      </c>
      <c r="B61" s="127" t="s">
        <v>1291</v>
      </c>
      <c r="C61" s="127" t="s">
        <v>1085</v>
      </c>
      <c r="D61" s="127" t="s">
        <v>1324</v>
      </c>
      <c r="E61" s="127" t="s">
        <v>1288</v>
      </c>
      <c r="F61" s="127" t="s">
        <v>1291</v>
      </c>
      <c r="M61" s="127" t="s">
        <v>1293</v>
      </c>
      <c r="N61" s="127" t="s">
        <v>1406</v>
      </c>
      <c r="O61" s="123">
        <v>44257</v>
      </c>
      <c r="P61" s="123">
        <v>44316</v>
      </c>
      <c r="Q61" s="123">
        <v>44256</v>
      </c>
      <c r="R61" s="123">
        <v>44262</v>
      </c>
      <c r="S61" s="124">
        <v>9</v>
      </c>
      <c r="T61" s="124">
        <v>9</v>
      </c>
      <c r="U61" s="124">
        <v>4</v>
      </c>
      <c r="V61" s="125">
        <v>0</v>
      </c>
      <c r="W61" s="124">
        <v>0</v>
      </c>
      <c r="X61" s="126">
        <v>1</v>
      </c>
      <c r="Y61" s="126">
        <v>0</v>
      </c>
      <c r="Z61" s="126">
        <v>0</v>
      </c>
      <c r="AC61" s="125">
        <v>0</v>
      </c>
      <c r="AD61" s="124">
        <v>0</v>
      </c>
    </row>
    <row r="62" spans="1:30">
      <c r="A62" s="127" t="s">
        <v>1103</v>
      </c>
      <c r="B62" s="127" t="s">
        <v>1291</v>
      </c>
      <c r="C62" s="127" t="s">
        <v>1085</v>
      </c>
      <c r="D62" s="127" t="s">
        <v>1324</v>
      </c>
      <c r="E62" s="127" t="s">
        <v>1288</v>
      </c>
      <c r="F62" s="127" t="s">
        <v>1291</v>
      </c>
      <c r="M62" s="127" t="s">
        <v>1293</v>
      </c>
      <c r="N62" s="127" t="s">
        <v>1406</v>
      </c>
      <c r="O62" s="123">
        <v>44257</v>
      </c>
      <c r="P62" s="123">
        <v>44316</v>
      </c>
      <c r="Q62" s="123">
        <v>44263</v>
      </c>
      <c r="R62" s="123">
        <v>44269</v>
      </c>
      <c r="S62" s="124">
        <v>10</v>
      </c>
      <c r="T62" s="124">
        <v>10</v>
      </c>
      <c r="U62" s="124">
        <v>5</v>
      </c>
      <c r="V62" s="125">
        <v>0</v>
      </c>
      <c r="W62" s="124">
        <v>0</v>
      </c>
      <c r="X62" s="126">
        <v>1</v>
      </c>
      <c r="Y62" s="126">
        <v>0</v>
      </c>
      <c r="Z62" s="126">
        <v>0</v>
      </c>
      <c r="AC62" s="125">
        <v>0</v>
      </c>
      <c r="AD62" s="124">
        <v>0</v>
      </c>
    </row>
    <row r="63" spans="1:30">
      <c r="A63" s="127" t="s">
        <v>1103</v>
      </c>
      <c r="B63" s="127" t="s">
        <v>1291</v>
      </c>
      <c r="C63" s="127" t="s">
        <v>1085</v>
      </c>
      <c r="D63" s="127" t="s">
        <v>1324</v>
      </c>
      <c r="E63" s="127" t="s">
        <v>1288</v>
      </c>
      <c r="F63" s="127" t="s">
        <v>1291</v>
      </c>
      <c r="M63" s="127" t="s">
        <v>1293</v>
      </c>
      <c r="N63" s="127" t="s">
        <v>1406</v>
      </c>
      <c r="O63" s="123">
        <v>44257</v>
      </c>
      <c r="P63" s="123">
        <v>44316</v>
      </c>
      <c r="Q63" s="123">
        <v>44270</v>
      </c>
      <c r="R63" s="123">
        <v>44276</v>
      </c>
      <c r="S63" s="124">
        <v>11</v>
      </c>
      <c r="T63" s="124">
        <v>11</v>
      </c>
      <c r="U63" s="124">
        <v>5</v>
      </c>
      <c r="V63" s="125">
        <v>0</v>
      </c>
      <c r="W63" s="124">
        <v>0</v>
      </c>
      <c r="X63" s="126">
        <v>1</v>
      </c>
      <c r="Y63" s="126">
        <v>0</v>
      </c>
      <c r="Z63" s="126">
        <v>0</v>
      </c>
      <c r="AC63" s="125">
        <v>0</v>
      </c>
      <c r="AD63" s="124">
        <v>0</v>
      </c>
    </row>
    <row r="64" spans="1:30">
      <c r="A64" s="127" t="s">
        <v>1103</v>
      </c>
      <c r="B64" s="127" t="s">
        <v>1291</v>
      </c>
      <c r="C64" s="127" t="s">
        <v>1085</v>
      </c>
      <c r="D64" s="127" t="s">
        <v>1324</v>
      </c>
      <c r="E64" s="127" t="s">
        <v>1288</v>
      </c>
      <c r="F64" s="127" t="s">
        <v>1291</v>
      </c>
      <c r="M64" s="127" t="s">
        <v>1293</v>
      </c>
      <c r="N64" s="127" t="s">
        <v>1406</v>
      </c>
      <c r="O64" s="123">
        <v>44257</v>
      </c>
      <c r="P64" s="123">
        <v>44316</v>
      </c>
      <c r="Q64" s="123">
        <v>44277</v>
      </c>
      <c r="R64" s="123">
        <v>44283</v>
      </c>
      <c r="S64" s="124">
        <v>12</v>
      </c>
      <c r="T64" s="124">
        <v>12</v>
      </c>
      <c r="U64" s="124">
        <v>5</v>
      </c>
      <c r="V64" s="125">
        <v>0</v>
      </c>
      <c r="W64" s="124">
        <v>0</v>
      </c>
      <c r="X64" s="126">
        <v>1</v>
      </c>
      <c r="Y64" s="126">
        <v>0</v>
      </c>
      <c r="Z64" s="126">
        <v>0</v>
      </c>
      <c r="AC64" s="125">
        <v>0</v>
      </c>
      <c r="AD64" s="124">
        <v>0</v>
      </c>
    </row>
    <row r="65" spans="1:30">
      <c r="A65" s="127" t="s">
        <v>1103</v>
      </c>
      <c r="B65" s="127" t="s">
        <v>1291</v>
      </c>
      <c r="C65" s="127" t="s">
        <v>1085</v>
      </c>
      <c r="D65" s="127" t="s">
        <v>1324</v>
      </c>
      <c r="E65" s="127" t="s">
        <v>1288</v>
      </c>
      <c r="F65" s="127" t="s">
        <v>1291</v>
      </c>
      <c r="M65" s="127" t="s">
        <v>1293</v>
      </c>
      <c r="N65" s="127" t="s">
        <v>1406</v>
      </c>
      <c r="O65" s="123">
        <v>44257</v>
      </c>
      <c r="P65" s="123">
        <v>44316</v>
      </c>
      <c r="Q65" s="123">
        <v>44284</v>
      </c>
      <c r="R65" s="123">
        <v>44290</v>
      </c>
      <c r="S65" s="124">
        <v>13</v>
      </c>
      <c r="T65" s="124">
        <v>13</v>
      </c>
      <c r="U65" s="124">
        <v>5</v>
      </c>
      <c r="V65" s="125">
        <v>0</v>
      </c>
      <c r="W65" s="124">
        <v>0</v>
      </c>
      <c r="X65" s="126">
        <v>1</v>
      </c>
      <c r="Y65" s="126">
        <v>0</v>
      </c>
      <c r="Z65" s="126">
        <v>0</v>
      </c>
      <c r="AC65" s="125">
        <v>0</v>
      </c>
      <c r="AD65" s="124">
        <v>0</v>
      </c>
    </row>
    <row r="66" spans="1:30">
      <c r="A66" s="127" t="s">
        <v>1103</v>
      </c>
      <c r="B66" s="127" t="s">
        <v>1291</v>
      </c>
      <c r="C66" s="127" t="s">
        <v>1085</v>
      </c>
      <c r="D66" s="127" t="s">
        <v>1324</v>
      </c>
      <c r="E66" s="127" t="s">
        <v>1288</v>
      </c>
      <c r="F66" s="127" t="s">
        <v>1291</v>
      </c>
      <c r="M66" s="127" t="s">
        <v>1293</v>
      </c>
      <c r="N66" s="127" t="s">
        <v>1406</v>
      </c>
      <c r="O66" s="123">
        <v>44257</v>
      </c>
      <c r="P66" s="123">
        <v>44316</v>
      </c>
      <c r="Q66" s="123">
        <v>44291</v>
      </c>
      <c r="R66" s="123">
        <v>44297</v>
      </c>
      <c r="S66" s="124">
        <v>14</v>
      </c>
      <c r="T66" s="124">
        <v>14</v>
      </c>
      <c r="U66" s="124">
        <v>5</v>
      </c>
      <c r="V66" s="125">
        <v>0</v>
      </c>
      <c r="W66" s="124">
        <v>0</v>
      </c>
      <c r="X66" s="126">
        <v>1</v>
      </c>
      <c r="Y66" s="126">
        <v>0</v>
      </c>
      <c r="Z66" s="126">
        <v>0</v>
      </c>
      <c r="AC66" s="125">
        <v>0</v>
      </c>
      <c r="AD66" s="124">
        <v>0</v>
      </c>
    </row>
    <row r="67" spans="1:30">
      <c r="A67" s="127" t="s">
        <v>1103</v>
      </c>
      <c r="B67" s="127" t="s">
        <v>1291</v>
      </c>
      <c r="C67" s="127" t="s">
        <v>1085</v>
      </c>
      <c r="D67" s="127" t="s">
        <v>1324</v>
      </c>
      <c r="E67" s="127" t="s">
        <v>1288</v>
      </c>
      <c r="F67" s="127" t="s">
        <v>1291</v>
      </c>
      <c r="M67" s="127" t="s">
        <v>1293</v>
      </c>
      <c r="N67" s="127" t="s">
        <v>1406</v>
      </c>
      <c r="O67" s="123">
        <v>44257</v>
      </c>
      <c r="P67" s="123">
        <v>44316</v>
      </c>
      <c r="Q67" s="123">
        <v>44298</v>
      </c>
      <c r="R67" s="123">
        <v>44304</v>
      </c>
      <c r="S67" s="124">
        <v>15</v>
      </c>
      <c r="T67" s="124">
        <v>15</v>
      </c>
      <c r="U67" s="124">
        <v>5</v>
      </c>
      <c r="V67" s="125">
        <v>0</v>
      </c>
      <c r="W67" s="124">
        <v>0</v>
      </c>
      <c r="X67" s="126">
        <v>1</v>
      </c>
      <c r="Y67" s="126">
        <v>0</v>
      </c>
      <c r="Z67" s="126">
        <v>0</v>
      </c>
      <c r="AC67" s="125">
        <v>0</v>
      </c>
      <c r="AD67" s="124">
        <v>0</v>
      </c>
    </row>
    <row r="68" spans="1:30">
      <c r="A68" s="127" t="s">
        <v>1103</v>
      </c>
      <c r="B68" s="127" t="s">
        <v>1291</v>
      </c>
      <c r="C68" s="127" t="s">
        <v>1085</v>
      </c>
      <c r="D68" s="127" t="s">
        <v>1324</v>
      </c>
      <c r="E68" s="127" t="s">
        <v>1288</v>
      </c>
      <c r="F68" s="127" t="s">
        <v>1291</v>
      </c>
      <c r="M68" s="127" t="s">
        <v>1293</v>
      </c>
      <c r="N68" s="127" t="s">
        <v>1406</v>
      </c>
      <c r="O68" s="123">
        <v>44257</v>
      </c>
      <c r="P68" s="123">
        <v>44316</v>
      </c>
      <c r="Q68" s="123">
        <v>44305</v>
      </c>
      <c r="R68" s="123">
        <v>44311</v>
      </c>
      <c r="S68" s="124">
        <v>16</v>
      </c>
      <c r="T68" s="124">
        <v>16</v>
      </c>
      <c r="U68" s="124">
        <v>5</v>
      </c>
      <c r="V68" s="125">
        <v>0</v>
      </c>
      <c r="W68" s="124">
        <v>0</v>
      </c>
      <c r="X68" s="126">
        <v>1</v>
      </c>
      <c r="Y68" s="126">
        <v>0</v>
      </c>
      <c r="Z68" s="126">
        <v>0</v>
      </c>
      <c r="AC68" s="125">
        <v>0</v>
      </c>
      <c r="AD68" s="124">
        <v>0</v>
      </c>
    </row>
    <row r="69" spans="1:30">
      <c r="A69" s="127" t="s">
        <v>1103</v>
      </c>
      <c r="B69" s="127" t="s">
        <v>1291</v>
      </c>
      <c r="C69" s="127" t="s">
        <v>1085</v>
      </c>
      <c r="D69" s="127" t="s">
        <v>1324</v>
      </c>
      <c r="E69" s="127" t="s">
        <v>1288</v>
      </c>
      <c r="F69" s="127" t="s">
        <v>1291</v>
      </c>
      <c r="M69" s="127" t="s">
        <v>1293</v>
      </c>
      <c r="N69" s="127" t="s">
        <v>1406</v>
      </c>
      <c r="O69" s="123">
        <v>44257</v>
      </c>
      <c r="P69" s="123">
        <v>44316</v>
      </c>
      <c r="Q69" s="123">
        <v>44312</v>
      </c>
      <c r="R69" s="123">
        <v>44318</v>
      </c>
      <c r="S69" s="124">
        <v>17</v>
      </c>
      <c r="T69" s="124">
        <v>17</v>
      </c>
      <c r="U69" s="124">
        <v>5</v>
      </c>
      <c r="V69" s="125">
        <v>0</v>
      </c>
      <c r="W69" s="124">
        <v>0</v>
      </c>
      <c r="X69" s="126">
        <v>1</v>
      </c>
      <c r="Y69" s="126">
        <v>0</v>
      </c>
      <c r="Z69" s="126">
        <v>0</v>
      </c>
      <c r="AC69" s="125">
        <v>0</v>
      </c>
      <c r="AD69" s="124">
        <v>0</v>
      </c>
    </row>
    <row r="70" spans="1:30">
      <c r="A70" s="127" t="s">
        <v>1104</v>
      </c>
      <c r="B70" s="127" t="s">
        <v>1533</v>
      </c>
      <c r="C70" s="127" t="s">
        <v>1085</v>
      </c>
      <c r="D70" s="127" t="s">
        <v>1325</v>
      </c>
      <c r="E70" s="127" t="s">
        <v>1294</v>
      </c>
      <c r="F70" s="127" t="s">
        <v>1296</v>
      </c>
      <c r="G70" s="127" t="s">
        <v>1533</v>
      </c>
      <c r="M70" s="127" t="s">
        <v>1676</v>
      </c>
      <c r="N70" s="127" t="s">
        <v>1406</v>
      </c>
      <c r="O70" s="123">
        <v>44319</v>
      </c>
      <c r="P70" s="123">
        <v>44498</v>
      </c>
      <c r="Q70" s="123">
        <v>44319</v>
      </c>
      <c r="R70" s="123">
        <v>44325</v>
      </c>
      <c r="S70" s="124">
        <v>18</v>
      </c>
      <c r="T70" s="124">
        <v>18</v>
      </c>
      <c r="U70" s="124">
        <v>4</v>
      </c>
      <c r="V70" s="125">
        <v>0</v>
      </c>
      <c r="W70" s="124">
        <v>0</v>
      </c>
      <c r="X70" s="126">
        <v>1</v>
      </c>
      <c r="Y70" s="126">
        <v>0</v>
      </c>
      <c r="Z70" s="126">
        <v>0</v>
      </c>
      <c r="AC70" s="125">
        <v>0</v>
      </c>
      <c r="AD70" s="124">
        <v>0</v>
      </c>
    </row>
    <row r="71" spans="1:30">
      <c r="A71" s="127" t="s">
        <v>1104</v>
      </c>
      <c r="B71" s="127" t="s">
        <v>1533</v>
      </c>
      <c r="C71" s="127" t="s">
        <v>1085</v>
      </c>
      <c r="D71" s="127" t="s">
        <v>1325</v>
      </c>
      <c r="E71" s="127" t="s">
        <v>1294</v>
      </c>
      <c r="F71" s="127" t="s">
        <v>1296</v>
      </c>
      <c r="G71" s="127" t="s">
        <v>1533</v>
      </c>
      <c r="M71" s="127" t="s">
        <v>1676</v>
      </c>
      <c r="N71" s="127" t="s">
        <v>1406</v>
      </c>
      <c r="O71" s="123">
        <v>44319</v>
      </c>
      <c r="P71" s="123">
        <v>44498</v>
      </c>
      <c r="Q71" s="123">
        <v>44326</v>
      </c>
      <c r="R71" s="123">
        <v>44332</v>
      </c>
      <c r="S71" s="124">
        <v>19</v>
      </c>
      <c r="T71" s="124">
        <v>19</v>
      </c>
      <c r="U71" s="124">
        <v>5</v>
      </c>
      <c r="V71" s="125">
        <v>0</v>
      </c>
      <c r="W71" s="124">
        <v>0</v>
      </c>
      <c r="X71" s="126">
        <v>1</v>
      </c>
      <c r="Y71" s="126">
        <v>0</v>
      </c>
      <c r="Z71" s="126">
        <v>0</v>
      </c>
      <c r="AC71" s="125">
        <v>0</v>
      </c>
      <c r="AD71" s="124">
        <v>0</v>
      </c>
    </row>
    <row r="72" spans="1:30">
      <c r="A72" s="127" t="s">
        <v>1104</v>
      </c>
      <c r="B72" s="127" t="s">
        <v>1533</v>
      </c>
      <c r="C72" s="127" t="s">
        <v>1085</v>
      </c>
      <c r="D72" s="127" t="s">
        <v>1325</v>
      </c>
      <c r="E72" s="127" t="s">
        <v>1294</v>
      </c>
      <c r="F72" s="127" t="s">
        <v>1296</v>
      </c>
      <c r="G72" s="127" t="s">
        <v>1533</v>
      </c>
      <c r="M72" s="127" t="s">
        <v>1676</v>
      </c>
      <c r="N72" s="127" t="s">
        <v>1406</v>
      </c>
      <c r="O72" s="123">
        <v>44319</v>
      </c>
      <c r="P72" s="123">
        <v>44498</v>
      </c>
      <c r="Q72" s="123">
        <v>44333</v>
      </c>
      <c r="R72" s="123">
        <v>44339</v>
      </c>
      <c r="S72" s="124">
        <v>20</v>
      </c>
      <c r="T72" s="124">
        <v>20</v>
      </c>
      <c r="U72" s="124">
        <v>4</v>
      </c>
      <c r="V72" s="125">
        <v>0</v>
      </c>
      <c r="W72" s="124">
        <v>0</v>
      </c>
      <c r="X72" s="126">
        <v>1</v>
      </c>
      <c r="Y72" s="126">
        <v>0</v>
      </c>
      <c r="Z72" s="126">
        <v>0</v>
      </c>
      <c r="AC72" s="125">
        <v>0</v>
      </c>
      <c r="AD72" s="124">
        <v>0</v>
      </c>
    </row>
    <row r="73" spans="1:30">
      <c r="A73" s="127" t="s">
        <v>1104</v>
      </c>
      <c r="B73" s="127" t="s">
        <v>1533</v>
      </c>
      <c r="C73" s="127" t="s">
        <v>1085</v>
      </c>
      <c r="D73" s="127" t="s">
        <v>1325</v>
      </c>
      <c r="E73" s="127" t="s">
        <v>1294</v>
      </c>
      <c r="F73" s="127" t="s">
        <v>1296</v>
      </c>
      <c r="G73" s="127" t="s">
        <v>1533</v>
      </c>
      <c r="M73" s="127" t="s">
        <v>1676</v>
      </c>
      <c r="N73" s="127" t="s">
        <v>1406</v>
      </c>
      <c r="O73" s="123">
        <v>44319</v>
      </c>
      <c r="P73" s="123">
        <v>44498</v>
      </c>
      <c r="Q73" s="123">
        <v>44340</v>
      </c>
      <c r="R73" s="123">
        <v>44346</v>
      </c>
      <c r="S73" s="124">
        <v>21</v>
      </c>
      <c r="T73" s="124">
        <v>21</v>
      </c>
      <c r="U73" s="124">
        <v>5</v>
      </c>
      <c r="V73" s="125">
        <v>0</v>
      </c>
      <c r="W73" s="124">
        <v>0</v>
      </c>
      <c r="X73" s="126">
        <v>1</v>
      </c>
      <c r="Y73" s="126">
        <v>0</v>
      </c>
      <c r="Z73" s="126">
        <v>0</v>
      </c>
      <c r="AC73" s="125">
        <v>0</v>
      </c>
      <c r="AD73" s="124">
        <v>0</v>
      </c>
    </row>
    <row r="74" spans="1:30">
      <c r="A74" s="127" t="s">
        <v>1104</v>
      </c>
      <c r="B74" s="127" t="s">
        <v>1533</v>
      </c>
      <c r="C74" s="127" t="s">
        <v>1085</v>
      </c>
      <c r="D74" s="127" t="s">
        <v>1325</v>
      </c>
      <c r="E74" s="127" t="s">
        <v>1294</v>
      </c>
      <c r="F74" s="127" t="s">
        <v>1296</v>
      </c>
      <c r="G74" s="127" t="s">
        <v>1533</v>
      </c>
      <c r="M74" s="127" t="s">
        <v>1676</v>
      </c>
      <c r="N74" s="127" t="s">
        <v>1406</v>
      </c>
      <c r="O74" s="123">
        <v>44319</v>
      </c>
      <c r="P74" s="123">
        <v>44498</v>
      </c>
      <c r="Q74" s="123">
        <v>44347</v>
      </c>
      <c r="R74" s="123">
        <v>44353</v>
      </c>
      <c r="S74" s="124">
        <v>22</v>
      </c>
      <c r="T74" s="124">
        <v>22</v>
      </c>
      <c r="U74" s="124">
        <v>5</v>
      </c>
      <c r="V74" s="125">
        <v>0</v>
      </c>
      <c r="W74" s="124">
        <v>0</v>
      </c>
      <c r="X74" s="126">
        <v>1</v>
      </c>
      <c r="Y74" s="126">
        <v>0</v>
      </c>
      <c r="Z74" s="126">
        <v>0</v>
      </c>
      <c r="AC74" s="125">
        <v>0</v>
      </c>
      <c r="AD74" s="124">
        <v>0</v>
      </c>
    </row>
    <row r="75" spans="1:30">
      <c r="A75" s="127" t="s">
        <v>1104</v>
      </c>
      <c r="B75" s="127" t="s">
        <v>1533</v>
      </c>
      <c r="C75" s="127" t="s">
        <v>1085</v>
      </c>
      <c r="D75" s="127" t="s">
        <v>1325</v>
      </c>
      <c r="E75" s="127" t="s">
        <v>1294</v>
      </c>
      <c r="F75" s="127" t="s">
        <v>1296</v>
      </c>
      <c r="G75" s="127" t="s">
        <v>1533</v>
      </c>
      <c r="M75" s="127" t="s">
        <v>1676</v>
      </c>
      <c r="N75" s="127" t="s">
        <v>1406</v>
      </c>
      <c r="O75" s="123">
        <v>44319</v>
      </c>
      <c r="P75" s="123">
        <v>44498</v>
      </c>
      <c r="Q75" s="123">
        <v>44354</v>
      </c>
      <c r="R75" s="123">
        <v>44360</v>
      </c>
      <c r="S75" s="124">
        <v>23</v>
      </c>
      <c r="T75" s="124">
        <v>23</v>
      </c>
      <c r="U75" s="124">
        <v>5</v>
      </c>
      <c r="V75" s="125">
        <v>0</v>
      </c>
      <c r="W75" s="124">
        <v>0</v>
      </c>
      <c r="X75" s="126">
        <v>1</v>
      </c>
      <c r="Y75" s="126">
        <v>0</v>
      </c>
      <c r="Z75" s="126">
        <v>0</v>
      </c>
      <c r="AC75" s="125">
        <v>0</v>
      </c>
      <c r="AD75" s="124">
        <v>0</v>
      </c>
    </row>
    <row r="76" spans="1:30">
      <c r="A76" s="127" t="s">
        <v>1104</v>
      </c>
      <c r="B76" s="127" t="s">
        <v>1533</v>
      </c>
      <c r="C76" s="127" t="s">
        <v>1085</v>
      </c>
      <c r="D76" s="127" t="s">
        <v>1325</v>
      </c>
      <c r="E76" s="127" t="s">
        <v>1294</v>
      </c>
      <c r="F76" s="127" t="s">
        <v>1296</v>
      </c>
      <c r="G76" s="127" t="s">
        <v>1533</v>
      </c>
      <c r="M76" s="127" t="s">
        <v>1676</v>
      </c>
      <c r="N76" s="127" t="s">
        <v>1406</v>
      </c>
      <c r="O76" s="123">
        <v>44319</v>
      </c>
      <c r="P76" s="123">
        <v>44498</v>
      </c>
      <c r="Q76" s="123">
        <v>44361</v>
      </c>
      <c r="R76" s="123">
        <v>44367</v>
      </c>
      <c r="S76" s="124">
        <v>24</v>
      </c>
      <c r="T76" s="124">
        <v>24</v>
      </c>
      <c r="U76" s="124">
        <v>5</v>
      </c>
      <c r="V76" s="125">
        <v>0</v>
      </c>
      <c r="W76" s="124">
        <v>0</v>
      </c>
      <c r="X76" s="126">
        <v>1</v>
      </c>
      <c r="Y76" s="126">
        <v>0</v>
      </c>
      <c r="Z76" s="126">
        <v>0</v>
      </c>
      <c r="AC76" s="125">
        <v>0</v>
      </c>
      <c r="AD76" s="124">
        <v>0</v>
      </c>
    </row>
    <row r="77" spans="1:30">
      <c r="A77" s="127" t="s">
        <v>1104</v>
      </c>
      <c r="B77" s="127" t="s">
        <v>1533</v>
      </c>
      <c r="C77" s="127" t="s">
        <v>1085</v>
      </c>
      <c r="D77" s="127" t="s">
        <v>1325</v>
      </c>
      <c r="E77" s="127" t="s">
        <v>1294</v>
      </c>
      <c r="F77" s="127" t="s">
        <v>1296</v>
      </c>
      <c r="G77" s="127" t="s">
        <v>1533</v>
      </c>
      <c r="M77" s="127" t="s">
        <v>1676</v>
      </c>
      <c r="N77" s="127" t="s">
        <v>1406</v>
      </c>
      <c r="O77" s="123">
        <v>44319</v>
      </c>
      <c r="P77" s="123">
        <v>44498</v>
      </c>
      <c r="Q77" s="123">
        <v>44368</v>
      </c>
      <c r="R77" s="123">
        <v>44374</v>
      </c>
      <c r="S77" s="124">
        <v>25</v>
      </c>
      <c r="T77" s="124">
        <v>25</v>
      </c>
      <c r="U77" s="124">
        <v>5</v>
      </c>
      <c r="V77" s="125">
        <v>0</v>
      </c>
      <c r="W77" s="124">
        <v>0</v>
      </c>
      <c r="X77" s="126">
        <v>1</v>
      </c>
      <c r="Y77" s="126">
        <v>0</v>
      </c>
      <c r="Z77" s="126">
        <v>0</v>
      </c>
      <c r="AC77" s="125">
        <v>0</v>
      </c>
      <c r="AD77" s="124">
        <v>0</v>
      </c>
    </row>
    <row r="78" spans="1:30">
      <c r="A78" s="127" t="s">
        <v>1104</v>
      </c>
      <c r="B78" s="127" t="s">
        <v>1533</v>
      </c>
      <c r="C78" s="127" t="s">
        <v>1085</v>
      </c>
      <c r="D78" s="127" t="s">
        <v>1325</v>
      </c>
      <c r="E78" s="127" t="s">
        <v>1294</v>
      </c>
      <c r="F78" s="127" t="s">
        <v>1296</v>
      </c>
      <c r="G78" s="127" t="s">
        <v>1533</v>
      </c>
      <c r="M78" s="127" t="s">
        <v>1676</v>
      </c>
      <c r="N78" s="127" t="s">
        <v>1406</v>
      </c>
      <c r="O78" s="123">
        <v>44319</v>
      </c>
      <c r="P78" s="123">
        <v>44498</v>
      </c>
      <c r="Q78" s="123">
        <v>44375</v>
      </c>
      <c r="R78" s="123">
        <v>44381</v>
      </c>
      <c r="S78" s="124">
        <v>26</v>
      </c>
      <c r="T78" s="124">
        <v>26</v>
      </c>
      <c r="U78" s="124">
        <v>5</v>
      </c>
      <c r="V78" s="125">
        <v>0</v>
      </c>
      <c r="W78" s="124">
        <v>0</v>
      </c>
      <c r="X78" s="126">
        <v>1</v>
      </c>
      <c r="Y78" s="126">
        <v>0</v>
      </c>
      <c r="Z78" s="126">
        <v>0</v>
      </c>
      <c r="AC78" s="125">
        <v>0</v>
      </c>
      <c r="AD78" s="124">
        <v>0</v>
      </c>
    </row>
    <row r="79" spans="1:30">
      <c r="A79" s="127" t="s">
        <v>1104</v>
      </c>
      <c r="B79" s="127" t="s">
        <v>1533</v>
      </c>
      <c r="C79" s="127" t="s">
        <v>1085</v>
      </c>
      <c r="D79" s="127" t="s">
        <v>1325</v>
      </c>
      <c r="E79" s="127" t="s">
        <v>1294</v>
      </c>
      <c r="F79" s="127" t="s">
        <v>1296</v>
      </c>
      <c r="G79" s="127" t="s">
        <v>1533</v>
      </c>
      <c r="M79" s="127" t="s">
        <v>1676</v>
      </c>
      <c r="N79" s="127" t="s">
        <v>1406</v>
      </c>
      <c r="O79" s="123">
        <v>44319</v>
      </c>
      <c r="P79" s="123">
        <v>44498</v>
      </c>
      <c r="Q79" s="123">
        <v>44382</v>
      </c>
      <c r="R79" s="123">
        <v>44388</v>
      </c>
      <c r="S79" s="124">
        <v>27</v>
      </c>
      <c r="T79" s="124">
        <v>27</v>
      </c>
      <c r="U79" s="124">
        <v>5</v>
      </c>
      <c r="V79" s="125">
        <v>0</v>
      </c>
      <c r="W79" s="124">
        <v>0</v>
      </c>
      <c r="X79" s="126">
        <v>1</v>
      </c>
      <c r="Y79" s="126">
        <v>0</v>
      </c>
      <c r="Z79" s="126">
        <v>0</v>
      </c>
      <c r="AC79" s="125">
        <v>0</v>
      </c>
      <c r="AD79" s="124">
        <v>0</v>
      </c>
    </row>
    <row r="80" spans="1:30">
      <c r="A80" s="127" t="s">
        <v>1104</v>
      </c>
      <c r="B80" s="127" t="s">
        <v>1533</v>
      </c>
      <c r="C80" s="127" t="s">
        <v>1085</v>
      </c>
      <c r="D80" s="127" t="s">
        <v>1325</v>
      </c>
      <c r="E80" s="127" t="s">
        <v>1294</v>
      </c>
      <c r="F80" s="127" t="s">
        <v>1296</v>
      </c>
      <c r="G80" s="127" t="s">
        <v>1533</v>
      </c>
      <c r="M80" s="127" t="s">
        <v>1676</v>
      </c>
      <c r="N80" s="127" t="s">
        <v>1406</v>
      </c>
      <c r="O80" s="123">
        <v>44319</v>
      </c>
      <c r="P80" s="123">
        <v>44498</v>
      </c>
      <c r="Q80" s="123">
        <v>44389</v>
      </c>
      <c r="R80" s="123">
        <v>44395</v>
      </c>
      <c r="S80" s="124">
        <v>28</v>
      </c>
      <c r="T80" s="124">
        <v>28</v>
      </c>
      <c r="U80" s="124">
        <v>5</v>
      </c>
      <c r="V80" s="125">
        <v>0</v>
      </c>
      <c r="W80" s="124">
        <v>0</v>
      </c>
      <c r="X80" s="126">
        <v>1</v>
      </c>
      <c r="Y80" s="126">
        <v>0</v>
      </c>
      <c r="Z80" s="126">
        <v>0</v>
      </c>
      <c r="AC80" s="125">
        <v>0</v>
      </c>
      <c r="AD80" s="124">
        <v>0</v>
      </c>
    </row>
    <row r="81" spans="1:30">
      <c r="A81" s="127" t="s">
        <v>1104</v>
      </c>
      <c r="B81" s="127" t="s">
        <v>1533</v>
      </c>
      <c r="C81" s="127" t="s">
        <v>1085</v>
      </c>
      <c r="D81" s="127" t="s">
        <v>1325</v>
      </c>
      <c r="E81" s="127" t="s">
        <v>1294</v>
      </c>
      <c r="F81" s="127" t="s">
        <v>1296</v>
      </c>
      <c r="G81" s="127" t="s">
        <v>1533</v>
      </c>
      <c r="M81" s="127" t="s">
        <v>1676</v>
      </c>
      <c r="N81" s="127" t="s">
        <v>1406</v>
      </c>
      <c r="O81" s="123">
        <v>44319</v>
      </c>
      <c r="P81" s="123">
        <v>44498</v>
      </c>
      <c r="Q81" s="123">
        <v>44396</v>
      </c>
      <c r="R81" s="123">
        <v>44402</v>
      </c>
      <c r="S81" s="124">
        <v>29</v>
      </c>
      <c r="T81" s="124">
        <v>29</v>
      </c>
      <c r="U81" s="124">
        <v>5</v>
      </c>
      <c r="V81" s="125">
        <v>0</v>
      </c>
      <c r="W81" s="124">
        <v>0</v>
      </c>
      <c r="X81" s="126">
        <v>1</v>
      </c>
      <c r="Y81" s="126">
        <v>0</v>
      </c>
      <c r="Z81" s="126">
        <v>0</v>
      </c>
      <c r="AC81" s="125">
        <v>0</v>
      </c>
      <c r="AD81" s="124">
        <v>0</v>
      </c>
    </row>
    <row r="82" spans="1:30">
      <c r="A82" s="127" t="s">
        <v>1104</v>
      </c>
      <c r="B82" s="127" t="s">
        <v>1533</v>
      </c>
      <c r="C82" s="127" t="s">
        <v>1085</v>
      </c>
      <c r="D82" s="127" t="s">
        <v>1325</v>
      </c>
      <c r="E82" s="127" t="s">
        <v>1294</v>
      </c>
      <c r="F82" s="127" t="s">
        <v>1296</v>
      </c>
      <c r="G82" s="127" t="s">
        <v>1533</v>
      </c>
      <c r="M82" s="127" t="s">
        <v>1676</v>
      </c>
      <c r="N82" s="127" t="s">
        <v>1406</v>
      </c>
      <c r="O82" s="123">
        <v>44319</v>
      </c>
      <c r="P82" s="123">
        <v>44498</v>
      </c>
      <c r="Q82" s="123">
        <v>44403</v>
      </c>
      <c r="R82" s="123">
        <v>44409</v>
      </c>
      <c r="S82" s="124">
        <v>30</v>
      </c>
      <c r="T82" s="124">
        <v>30</v>
      </c>
      <c r="U82" s="124">
        <v>5</v>
      </c>
      <c r="V82" s="125">
        <v>0</v>
      </c>
      <c r="W82" s="124">
        <v>0</v>
      </c>
      <c r="X82" s="126">
        <v>1</v>
      </c>
      <c r="Y82" s="126">
        <v>0</v>
      </c>
      <c r="Z82" s="126">
        <v>0</v>
      </c>
      <c r="AC82" s="125">
        <v>0</v>
      </c>
      <c r="AD82" s="124">
        <v>0</v>
      </c>
    </row>
    <row r="83" spans="1:30">
      <c r="A83" s="127" t="s">
        <v>1104</v>
      </c>
      <c r="B83" s="127" t="s">
        <v>1533</v>
      </c>
      <c r="C83" s="127" t="s">
        <v>1085</v>
      </c>
      <c r="D83" s="127" t="s">
        <v>1325</v>
      </c>
      <c r="E83" s="127" t="s">
        <v>1294</v>
      </c>
      <c r="F83" s="127" t="s">
        <v>1296</v>
      </c>
      <c r="G83" s="127" t="s">
        <v>1533</v>
      </c>
      <c r="M83" s="127" t="s">
        <v>1676</v>
      </c>
      <c r="N83" s="127" t="s">
        <v>1406</v>
      </c>
      <c r="O83" s="123">
        <v>44319</v>
      </c>
      <c r="P83" s="123">
        <v>44498</v>
      </c>
      <c r="Q83" s="123">
        <v>44410</v>
      </c>
      <c r="R83" s="123">
        <v>44416</v>
      </c>
      <c r="S83" s="124">
        <v>31</v>
      </c>
      <c r="T83" s="124">
        <v>31</v>
      </c>
      <c r="U83" s="124">
        <v>5</v>
      </c>
      <c r="V83" s="125">
        <v>0</v>
      </c>
      <c r="W83" s="124">
        <v>0</v>
      </c>
      <c r="X83" s="126">
        <v>1</v>
      </c>
      <c r="Y83" s="126">
        <v>0</v>
      </c>
      <c r="Z83" s="126">
        <v>0</v>
      </c>
      <c r="AC83" s="125">
        <v>0</v>
      </c>
      <c r="AD83" s="124">
        <v>0</v>
      </c>
    </row>
    <row r="84" spans="1:30">
      <c r="A84" s="127" t="s">
        <v>1104</v>
      </c>
      <c r="B84" s="127" t="s">
        <v>1533</v>
      </c>
      <c r="C84" s="127" t="s">
        <v>1085</v>
      </c>
      <c r="D84" s="127" t="s">
        <v>1325</v>
      </c>
      <c r="E84" s="127" t="s">
        <v>1294</v>
      </c>
      <c r="F84" s="127" t="s">
        <v>1296</v>
      </c>
      <c r="G84" s="127" t="s">
        <v>1533</v>
      </c>
      <c r="M84" s="127" t="s">
        <v>1676</v>
      </c>
      <c r="N84" s="127" t="s">
        <v>1406</v>
      </c>
      <c r="O84" s="123">
        <v>44319</v>
      </c>
      <c r="P84" s="123">
        <v>44498</v>
      </c>
      <c r="Q84" s="123">
        <v>44417</v>
      </c>
      <c r="R84" s="123">
        <v>44423</v>
      </c>
      <c r="S84" s="124">
        <v>32</v>
      </c>
      <c r="T84" s="124">
        <v>32</v>
      </c>
      <c r="U84" s="124">
        <v>5</v>
      </c>
      <c r="V84" s="125">
        <v>0</v>
      </c>
      <c r="W84" s="124">
        <v>0</v>
      </c>
      <c r="X84" s="126">
        <v>1</v>
      </c>
      <c r="Y84" s="126">
        <v>0</v>
      </c>
      <c r="Z84" s="126">
        <v>0</v>
      </c>
      <c r="AC84" s="125">
        <v>0</v>
      </c>
      <c r="AD84" s="124">
        <v>0</v>
      </c>
    </row>
    <row r="85" spans="1:30">
      <c r="A85" s="127" t="s">
        <v>1104</v>
      </c>
      <c r="B85" s="127" t="s">
        <v>1533</v>
      </c>
      <c r="C85" s="127" t="s">
        <v>1085</v>
      </c>
      <c r="D85" s="127" t="s">
        <v>1325</v>
      </c>
      <c r="E85" s="127" t="s">
        <v>1294</v>
      </c>
      <c r="F85" s="127" t="s">
        <v>1296</v>
      </c>
      <c r="G85" s="127" t="s">
        <v>1533</v>
      </c>
      <c r="M85" s="127" t="s">
        <v>1676</v>
      </c>
      <c r="N85" s="127" t="s">
        <v>1406</v>
      </c>
      <c r="O85" s="123">
        <v>44319</v>
      </c>
      <c r="P85" s="123">
        <v>44498</v>
      </c>
      <c r="Q85" s="123">
        <v>44424</v>
      </c>
      <c r="R85" s="123">
        <v>44430</v>
      </c>
      <c r="S85" s="124">
        <v>33</v>
      </c>
      <c r="T85" s="124">
        <v>33</v>
      </c>
      <c r="U85" s="124">
        <v>5</v>
      </c>
      <c r="V85" s="125">
        <v>0</v>
      </c>
      <c r="W85" s="124">
        <v>0</v>
      </c>
      <c r="X85" s="126">
        <v>1</v>
      </c>
      <c r="Y85" s="126">
        <v>0</v>
      </c>
      <c r="Z85" s="126">
        <v>0</v>
      </c>
      <c r="AC85" s="125">
        <v>0</v>
      </c>
      <c r="AD85" s="124">
        <v>0</v>
      </c>
    </row>
    <row r="86" spans="1:30">
      <c r="A86" s="127" t="s">
        <v>1104</v>
      </c>
      <c r="B86" s="127" t="s">
        <v>1533</v>
      </c>
      <c r="C86" s="127" t="s">
        <v>1085</v>
      </c>
      <c r="D86" s="127" t="s">
        <v>1325</v>
      </c>
      <c r="E86" s="127" t="s">
        <v>1294</v>
      </c>
      <c r="F86" s="127" t="s">
        <v>1296</v>
      </c>
      <c r="G86" s="127" t="s">
        <v>1533</v>
      </c>
      <c r="M86" s="127" t="s">
        <v>1676</v>
      </c>
      <c r="N86" s="127" t="s">
        <v>1406</v>
      </c>
      <c r="O86" s="123">
        <v>44319</v>
      </c>
      <c r="P86" s="123">
        <v>44498</v>
      </c>
      <c r="Q86" s="123">
        <v>44431</v>
      </c>
      <c r="R86" s="123">
        <v>44437</v>
      </c>
      <c r="S86" s="124">
        <v>34</v>
      </c>
      <c r="T86" s="124">
        <v>34</v>
      </c>
      <c r="U86" s="124">
        <v>5</v>
      </c>
      <c r="V86" s="125">
        <v>0</v>
      </c>
      <c r="W86" s="124">
        <v>0</v>
      </c>
      <c r="X86" s="126">
        <v>1</v>
      </c>
      <c r="Y86" s="126">
        <v>0</v>
      </c>
      <c r="Z86" s="126">
        <v>0</v>
      </c>
      <c r="AC86" s="125">
        <v>0</v>
      </c>
      <c r="AD86" s="124">
        <v>0</v>
      </c>
    </row>
    <row r="87" spans="1:30">
      <c r="A87" s="127" t="s">
        <v>1104</v>
      </c>
      <c r="B87" s="127" t="s">
        <v>1533</v>
      </c>
      <c r="C87" s="127" t="s">
        <v>1085</v>
      </c>
      <c r="D87" s="127" t="s">
        <v>1325</v>
      </c>
      <c r="E87" s="127" t="s">
        <v>1294</v>
      </c>
      <c r="F87" s="127" t="s">
        <v>1296</v>
      </c>
      <c r="G87" s="127" t="s">
        <v>1533</v>
      </c>
      <c r="M87" s="127" t="s">
        <v>1676</v>
      </c>
      <c r="N87" s="127" t="s">
        <v>1406</v>
      </c>
      <c r="O87" s="123">
        <v>44319</v>
      </c>
      <c r="P87" s="123">
        <v>44498</v>
      </c>
      <c r="Q87" s="123">
        <v>44438</v>
      </c>
      <c r="R87" s="123">
        <v>44444</v>
      </c>
      <c r="S87" s="124">
        <v>35</v>
      </c>
      <c r="T87" s="124">
        <v>35</v>
      </c>
      <c r="U87" s="124">
        <v>5</v>
      </c>
      <c r="V87" s="125">
        <v>0</v>
      </c>
      <c r="W87" s="124">
        <v>0</v>
      </c>
      <c r="X87" s="126">
        <v>1</v>
      </c>
      <c r="Y87" s="126">
        <v>0</v>
      </c>
      <c r="Z87" s="126">
        <v>0</v>
      </c>
      <c r="AC87" s="125">
        <v>0</v>
      </c>
      <c r="AD87" s="124">
        <v>0</v>
      </c>
    </row>
    <row r="88" spans="1:30">
      <c r="A88" s="127" t="s">
        <v>1104</v>
      </c>
      <c r="B88" s="127" t="s">
        <v>1533</v>
      </c>
      <c r="C88" s="127" t="s">
        <v>1085</v>
      </c>
      <c r="D88" s="127" t="s">
        <v>1325</v>
      </c>
      <c r="E88" s="127" t="s">
        <v>1294</v>
      </c>
      <c r="F88" s="127" t="s">
        <v>1296</v>
      </c>
      <c r="G88" s="127" t="s">
        <v>1533</v>
      </c>
      <c r="M88" s="127" t="s">
        <v>1676</v>
      </c>
      <c r="N88" s="127" t="s">
        <v>1406</v>
      </c>
      <c r="O88" s="123">
        <v>44319</v>
      </c>
      <c r="P88" s="123">
        <v>44498</v>
      </c>
      <c r="Q88" s="123">
        <v>44445</v>
      </c>
      <c r="R88" s="123">
        <v>44451</v>
      </c>
      <c r="S88" s="124">
        <v>36</v>
      </c>
      <c r="T88" s="124">
        <v>36</v>
      </c>
      <c r="U88" s="124">
        <v>5</v>
      </c>
      <c r="V88" s="125">
        <v>0</v>
      </c>
      <c r="W88" s="124">
        <v>0</v>
      </c>
      <c r="X88" s="126">
        <v>1</v>
      </c>
      <c r="Y88" s="126">
        <v>0</v>
      </c>
      <c r="Z88" s="126">
        <v>0</v>
      </c>
      <c r="AC88" s="125">
        <v>0</v>
      </c>
      <c r="AD88" s="124">
        <v>0</v>
      </c>
    </row>
    <row r="89" spans="1:30">
      <c r="A89" s="127" t="s">
        <v>1104</v>
      </c>
      <c r="B89" s="127" t="s">
        <v>1533</v>
      </c>
      <c r="C89" s="127" t="s">
        <v>1085</v>
      </c>
      <c r="D89" s="127" t="s">
        <v>1325</v>
      </c>
      <c r="E89" s="127" t="s">
        <v>1294</v>
      </c>
      <c r="F89" s="127" t="s">
        <v>1296</v>
      </c>
      <c r="G89" s="127" t="s">
        <v>1533</v>
      </c>
      <c r="M89" s="127" t="s">
        <v>1676</v>
      </c>
      <c r="N89" s="127" t="s">
        <v>1406</v>
      </c>
      <c r="O89" s="123">
        <v>44319</v>
      </c>
      <c r="P89" s="123">
        <v>44498</v>
      </c>
      <c r="Q89" s="123">
        <v>44452</v>
      </c>
      <c r="R89" s="123">
        <v>44458</v>
      </c>
      <c r="S89" s="124">
        <v>37</v>
      </c>
      <c r="T89" s="124">
        <v>37</v>
      </c>
      <c r="U89" s="124">
        <v>5</v>
      </c>
      <c r="V89" s="125">
        <v>0</v>
      </c>
      <c r="W89" s="124">
        <v>0</v>
      </c>
      <c r="X89" s="126">
        <v>1</v>
      </c>
      <c r="Y89" s="126">
        <v>0</v>
      </c>
      <c r="Z89" s="126">
        <v>0</v>
      </c>
      <c r="AC89" s="125">
        <v>0</v>
      </c>
      <c r="AD89" s="124">
        <v>0</v>
      </c>
    </row>
    <row r="90" spans="1:30">
      <c r="A90" s="127" t="s">
        <v>1104</v>
      </c>
      <c r="B90" s="127" t="s">
        <v>1533</v>
      </c>
      <c r="C90" s="127" t="s">
        <v>1085</v>
      </c>
      <c r="D90" s="127" t="s">
        <v>1325</v>
      </c>
      <c r="E90" s="127" t="s">
        <v>1294</v>
      </c>
      <c r="F90" s="127" t="s">
        <v>1296</v>
      </c>
      <c r="G90" s="127" t="s">
        <v>1533</v>
      </c>
      <c r="M90" s="127" t="s">
        <v>1676</v>
      </c>
      <c r="N90" s="127" t="s">
        <v>1406</v>
      </c>
      <c r="O90" s="123">
        <v>44319</v>
      </c>
      <c r="P90" s="123">
        <v>44498</v>
      </c>
      <c r="Q90" s="123">
        <v>44459</v>
      </c>
      <c r="R90" s="123">
        <v>44465</v>
      </c>
      <c r="S90" s="124">
        <v>38</v>
      </c>
      <c r="T90" s="124">
        <v>38</v>
      </c>
      <c r="U90" s="124">
        <v>2</v>
      </c>
      <c r="V90" s="125">
        <v>0</v>
      </c>
      <c r="W90" s="124">
        <v>0</v>
      </c>
      <c r="X90" s="126">
        <v>1</v>
      </c>
      <c r="Y90" s="126">
        <v>0</v>
      </c>
      <c r="Z90" s="126">
        <v>0</v>
      </c>
      <c r="AC90" s="125">
        <v>0</v>
      </c>
      <c r="AD90" s="124">
        <v>0</v>
      </c>
    </row>
    <row r="91" spans="1:30">
      <c r="A91" s="127" t="s">
        <v>1104</v>
      </c>
      <c r="B91" s="127" t="s">
        <v>1533</v>
      </c>
      <c r="C91" s="127" t="s">
        <v>1085</v>
      </c>
      <c r="D91" s="127" t="s">
        <v>1325</v>
      </c>
      <c r="E91" s="127" t="s">
        <v>1294</v>
      </c>
      <c r="F91" s="127" t="s">
        <v>1296</v>
      </c>
      <c r="G91" s="127" t="s">
        <v>1533</v>
      </c>
      <c r="M91" s="127" t="s">
        <v>1676</v>
      </c>
      <c r="N91" s="127" t="s">
        <v>1406</v>
      </c>
      <c r="O91" s="123">
        <v>44319</v>
      </c>
      <c r="P91" s="123">
        <v>44498</v>
      </c>
      <c r="Q91" s="123">
        <v>44466</v>
      </c>
      <c r="R91" s="123">
        <v>44472</v>
      </c>
      <c r="S91" s="124">
        <v>39</v>
      </c>
      <c r="T91" s="124">
        <v>39</v>
      </c>
      <c r="U91" s="124">
        <v>5</v>
      </c>
      <c r="V91" s="125">
        <v>0</v>
      </c>
      <c r="W91" s="124">
        <v>0</v>
      </c>
      <c r="X91" s="126">
        <v>1</v>
      </c>
      <c r="Y91" s="126">
        <v>0</v>
      </c>
      <c r="Z91" s="126">
        <v>0</v>
      </c>
      <c r="AC91" s="125">
        <v>0</v>
      </c>
      <c r="AD91" s="124">
        <v>0</v>
      </c>
    </row>
    <row r="92" spans="1:30">
      <c r="A92" s="127" t="s">
        <v>1104</v>
      </c>
      <c r="B92" s="127" t="s">
        <v>1533</v>
      </c>
      <c r="C92" s="127" t="s">
        <v>1085</v>
      </c>
      <c r="D92" s="127" t="s">
        <v>1325</v>
      </c>
      <c r="E92" s="127" t="s">
        <v>1294</v>
      </c>
      <c r="F92" s="127" t="s">
        <v>1296</v>
      </c>
      <c r="G92" s="127" t="s">
        <v>1533</v>
      </c>
      <c r="M92" s="127" t="s">
        <v>1676</v>
      </c>
      <c r="N92" s="127" t="s">
        <v>1406</v>
      </c>
      <c r="O92" s="123">
        <v>44319</v>
      </c>
      <c r="P92" s="123">
        <v>44498</v>
      </c>
      <c r="Q92" s="123">
        <v>44473</v>
      </c>
      <c r="R92" s="123">
        <v>44479</v>
      </c>
      <c r="S92" s="124">
        <v>40</v>
      </c>
      <c r="T92" s="124">
        <v>40</v>
      </c>
      <c r="U92" s="124">
        <v>5</v>
      </c>
      <c r="V92" s="125">
        <v>0</v>
      </c>
      <c r="W92" s="124">
        <v>0</v>
      </c>
      <c r="X92" s="126">
        <v>1</v>
      </c>
      <c r="Y92" s="126">
        <v>0</v>
      </c>
      <c r="Z92" s="126">
        <v>0</v>
      </c>
      <c r="AC92" s="125">
        <v>0</v>
      </c>
      <c r="AD92" s="124">
        <v>0</v>
      </c>
    </row>
    <row r="93" spans="1:30">
      <c r="A93" s="127" t="s">
        <v>1104</v>
      </c>
      <c r="B93" s="127" t="s">
        <v>1533</v>
      </c>
      <c r="C93" s="127" t="s">
        <v>1085</v>
      </c>
      <c r="D93" s="127" t="s">
        <v>1325</v>
      </c>
      <c r="E93" s="127" t="s">
        <v>1294</v>
      </c>
      <c r="F93" s="127" t="s">
        <v>1296</v>
      </c>
      <c r="G93" s="127" t="s">
        <v>1533</v>
      </c>
      <c r="M93" s="127" t="s">
        <v>1676</v>
      </c>
      <c r="N93" s="127" t="s">
        <v>1406</v>
      </c>
      <c r="O93" s="123">
        <v>44319</v>
      </c>
      <c r="P93" s="123">
        <v>44498</v>
      </c>
      <c r="Q93" s="123">
        <v>44480</v>
      </c>
      <c r="R93" s="123">
        <v>44486</v>
      </c>
      <c r="S93" s="124">
        <v>41</v>
      </c>
      <c r="T93" s="124">
        <v>41</v>
      </c>
      <c r="U93" s="124">
        <v>5</v>
      </c>
      <c r="V93" s="125">
        <v>0</v>
      </c>
      <c r="W93" s="124">
        <v>0</v>
      </c>
      <c r="X93" s="126">
        <v>1</v>
      </c>
      <c r="Y93" s="126">
        <v>0</v>
      </c>
      <c r="Z93" s="126">
        <v>0</v>
      </c>
      <c r="AC93" s="125">
        <v>0</v>
      </c>
      <c r="AD93" s="124">
        <v>0</v>
      </c>
    </row>
    <row r="94" spans="1:30">
      <c r="A94" s="127" t="s">
        <v>1104</v>
      </c>
      <c r="B94" s="127" t="s">
        <v>1533</v>
      </c>
      <c r="C94" s="127" t="s">
        <v>1085</v>
      </c>
      <c r="D94" s="127" t="s">
        <v>1325</v>
      </c>
      <c r="E94" s="127" t="s">
        <v>1294</v>
      </c>
      <c r="F94" s="127" t="s">
        <v>1296</v>
      </c>
      <c r="G94" s="127" t="s">
        <v>1533</v>
      </c>
      <c r="M94" s="127" t="s">
        <v>1676</v>
      </c>
      <c r="N94" s="127" t="s">
        <v>1406</v>
      </c>
      <c r="O94" s="123">
        <v>44319</v>
      </c>
      <c r="P94" s="123">
        <v>44498</v>
      </c>
      <c r="Q94" s="123">
        <v>44487</v>
      </c>
      <c r="R94" s="123">
        <v>44493</v>
      </c>
      <c r="S94" s="124">
        <v>42</v>
      </c>
      <c r="T94" s="124">
        <v>42</v>
      </c>
      <c r="U94" s="124">
        <v>5</v>
      </c>
      <c r="V94" s="125">
        <v>0</v>
      </c>
      <c r="W94" s="124">
        <v>0</v>
      </c>
      <c r="X94" s="126">
        <v>1</v>
      </c>
      <c r="Y94" s="126">
        <v>0</v>
      </c>
      <c r="Z94" s="126">
        <v>0</v>
      </c>
      <c r="AC94" s="125">
        <v>0</v>
      </c>
      <c r="AD94" s="124">
        <v>0</v>
      </c>
    </row>
    <row r="95" spans="1:30">
      <c r="A95" s="127" t="s">
        <v>1104</v>
      </c>
      <c r="B95" s="127" t="s">
        <v>1533</v>
      </c>
      <c r="C95" s="127" t="s">
        <v>1085</v>
      </c>
      <c r="D95" s="127" t="s">
        <v>1325</v>
      </c>
      <c r="E95" s="127" t="s">
        <v>1294</v>
      </c>
      <c r="F95" s="127" t="s">
        <v>1296</v>
      </c>
      <c r="G95" s="127" t="s">
        <v>1533</v>
      </c>
      <c r="M95" s="127" t="s">
        <v>1676</v>
      </c>
      <c r="N95" s="127" t="s">
        <v>1406</v>
      </c>
      <c r="O95" s="123">
        <v>44319</v>
      </c>
      <c r="P95" s="123">
        <v>44498</v>
      </c>
      <c r="Q95" s="123">
        <v>44494</v>
      </c>
      <c r="R95" s="123">
        <v>44500</v>
      </c>
      <c r="S95" s="124">
        <v>43</v>
      </c>
      <c r="T95" s="124">
        <v>43</v>
      </c>
      <c r="U95" s="124">
        <v>5</v>
      </c>
      <c r="V95" s="125">
        <v>0</v>
      </c>
      <c r="W95" s="124">
        <v>0</v>
      </c>
      <c r="X95" s="126">
        <v>1</v>
      </c>
      <c r="Y95" s="126">
        <v>0</v>
      </c>
      <c r="Z95" s="126">
        <v>0</v>
      </c>
      <c r="AC95" s="125">
        <v>0</v>
      </c>
      <c r="AD95" s="124">
        <v>0</v>
      </c>
    </row>
    <row r="96" spans="1:30">
      <c r="A96" s="127" t="s">
        <v>1104</v>
      </c>
      <c r="B96" s="127" t="s">
        <v>1534</v>
      </c>
      <c r="C96" s="127" t="s">
        <v>1085</v>
      </c>
      <c r="D96" s="127" t="s">
        <v>1325</v>
      </c>
      <c r="E96" s="127" t="s">
        <v>1294</v>
      </c>
      <c r="F96" s="127" t="s">
        <v>1296</v>
      </c>
      <c r="G96" s="127" t="s">
        <v>1534</v>
      </c>
      <c r="M96" s="127" t="s">
        <v>1673</v>
      </c>
      <c r="N96" s="127" t="s">
        <v>1406</v>
      </c>
      <c r="O96" s="123">
        <v>44319</v>
      </c>
      <c r="P96" s="123">
        <v>44498</v>
      </c>
      <c r="Q96" s="123">
        <v>44319</v>
      </c>
      <c r="R96" s="123">
        <v>44325</v>
      </c>
      <c r="S96" s="124">
        <v>18</v>
      </c>
      <c r="T96" s="124">
        <v>18</v>
      </c>
      <c r="U96" s="124">
        <v>4</v>
      </c>
      <c r="V96" s="125">
        <v>0</v>
      </c>
      <c r="W96" s="124">
        <v>0</v>
      </c>
      <c r="X96" s="126">
        <v>1</v>
      </c>
      <c r="Y96" s="126">
        <v>0</v>
      </c>
      <c r="Z96" s="126">
        <v>0</v>
      </c>
      <c r="AC96" s="125">
        <v>0</v>
      </c>
      <c r="AD96" s="124">
        <v>0</v>
      </c>
    </row>
    <row r="97" spans="1:30">
      <c r="A97" s="127" t="s">
        <v>1104</v>
      </c>
      <c r="B97" s="127" t="s">
        <v>1534</v>
      </c>
      <c r="C97" s="127" t="s">
        <v>1085</v>
      </c>
      <c r="D97" s="127" t="s">
        <v>1325</v>
      </c>
      <c r="E97" s="127" t="s">
        <v>1294</v>
      </c>
      <c r="F97" s="127" t="s">
        <v>1296</v>
      </c>
      <c r="G97" s="127" t="s">
        <v>1534</v>
      </c>
      <c r="M97" s="127" t="s">
        <v>1673</v>
      </c>
      <c r="N97" s="127" t="s">
        <v>1406</v>
      </c>
      <c r="O97" s="123">
        <v>44319</v>
      </c>
      <c r="P97" s="123">
        <v>44498</v>
      </c>
      <c r="Q97" s="123">
        <v>44326</v>
      </c>
      <c r="R97" s="123">
        <v>44332</v>
      </c>
      <c r="S97" s="124">
        <v>19</v>
      </c>
      <c r="T97" s="124">
        <v>19</v>
      </c>
      <c r="U97" s="124">
        <v>5</v>
      </c>
      <c r="V97" s="125">
        <v>0</v>
      </c>
      <c r="W97" s="124">
        <v>0</v>
      </c>
      <c r="X97" s="126">
        <v>1</v>
      </c>
      <c r="Y97" s="126">
        <v>0</v>
      </c>
      <c r="Z97" s="126">
        <v>0</v>
      </c>
      <c r="AC97" s="125">
        <v>0</v>
      </c>
      <c r="AD97" s="124">
        <v>0</v>
      </c>
    </row>
    <row r="98" spans="1:30">
      <c r="A98" s="127" t="s">
        <v>1104</v>
      </c>
      <c r="B98" s="127" t="s">
        <v>1534</v>
      </c>
      <c r="C98" s="127" t="s">
        <v>1085</v>
      </c>
      <c r="D98" s="127" t="s">
        <v>1325</v>
      </c>
      <c r="E98" s="127" t="s">
        <v>1294</v>
      </c>
      <c r="F98" s="127" t="s">
        <v>1296</v>
      </c>
      <c r="G98" s="127" t="s">
        <v>1534</v>
      </c>
      <c r="M98" s="127" t="s">
        <v>1673</v>
      </c>
      <c r="N98" s="127" t="s">
        <v>1406</v>
      </c>
      <c r="O98" s="123">
        <v>44319</v>
      </c>
      <c r="P98" s="123">
        <v>44498</v>
      </c>
      <c r="Q98" s="123">
        <v>44333</v>
      </c>
      <c r="R98" s="123">
        <v>44339</v>
      </c>
      <c r="S98" s="124">
        <v>20</v>
      </c>
      <c r="T98" s="124">
        <v>20</v>
      </c>
      <c r="U98" s="124">
        <v>4</v>
      </c>
      <c r="V98" s="125">
        <v>0</v>
      </c>
      <c r="W98" s="124">
        <v>0</v>
      </c>
      <c r="X98" s="126">
        <v>1</v>
      </c>
      <c r="Y98" s="126">
        <v>0</v>
      </c>
      <c r="Z98" s="126">
        <v>0</v>
      </c>
      <c r="AC98" s="125">
        <v>0</v>
      </c>
      <c r="AD98" s="124">
        <v>0</v>
      </c>
    </row>
    <row r="99" spans="1:30">
      <c r="A99" s="127" t="s">
        <v>1104</v>
      </c>
      <c r="B99" s="127" t="s">
        <v>1534</v>
      </c>
      <c r="C99" s="127" t="s">
        <v>1085</v>
      </c>
      <c r="D99" s="127" t="s">
        <v>1325</v>
      </c>
      <c r="E99" s="127" t="s">
        <v>1294</v>
      </c>
      <c r="F99" s="127" t="s">
        <v>1296</v>
      </c>
      <c r="G99" s="127" t="s">
        <v>1534</v>
      </c>
      <c r="M99" s="127" t="s">
        <v>1673</v>
      </c>
      <c r="N99" s="127" t="s">
        <v>1406</v>
      </c>
      <c r="O99" s="123">
        <v>44319</v>
      </c>
      <c r="P99" s="123">
        <v>44498</v>
      </c>
      <c r="Q99" s="123">
        <v>44340</v>
      </c>
      <c r="R99" s="123">
        <v>44346</v>
      </c>
      <c r="S99" s="124">
        <v>21</v>
      </c>
      <c r="T99" s="124">
        <v>21</v>
      </c>
      <c r="U99" s="124">
        <v>5</v>
      </c>
      <c r="V99" s="125">
        <v>0</v>
      </c>
      <c r="W99" s="124">
        <v>0</v>
      </c>
      <c r="X99" s="126">
        <v>1</v>
      </c>
      <c r="Y99" s="126">
        <v>0</v>
      </c>
      <c r="Z99" s="126">
        <v>0</v>
      </c>
      <c r="AC99" s="125">
        <v>0</v>
      </c>
      <c r="AD99" s="124">
        <v>0</v>
      </c>
    </row>
    <row r="100" spans="1:30">
      <c r="A100" s="127" t="s">
        <v>1104</v>
      </c>
      <c r="B100" s="127" t="s">
        <v>1534</v>
      </c>
      <c r="C100" s="127" t="s">
        <v>1085</v>
      </c>
      <c r="D100" s="127" t="s">
        <v>1325</v>
      </c>
      <c r="E100" s="127" t="s">
        <v>1294</v>
      </c>
      <c r="F100" s="127" t="s">
        <v>1296</v>
      </c>
      <c r="G100" s="127" t="s">
        <v>1534</v>
      </c>
      <c r="M100" s="127" t="s">
        <v>1673</v>
      </c>
      <c r="N100" s="127" t="s">
        <v>1406</v>
      </c>
      <c r="O100" s="123">
        <v>44319</v>
      </c>
      <c r="P100" s="123">
        <v>44498</v>
      </c>
      <c r="Q100" s="123">
        <v>44347</v>
      </c>
      <c r="R100" s="123">
        <v>44353</v>
      </c>
      <c r="S100" s="124">
        <v>22</v>
      </c>
      <c r="T100" s="124">
        <v>22</v>
      </c>
      <c r="U100" s="124">
        <v>5</v>
      </c>
      <c r="V100" s="125">
        <v>0</v>
      </c>
      <c r="W100" s="124">
        <v>0</v>
      </c>
      <c r="X100" s="126">
        <v>1</v>
      </c>
      <c r="Y100" s="126">
        <v>0</v>
      </c>
      <c r="Z100" s="126">
        <v>0</v>
      </c>
      <c r="AC100" s="125">
        <v>0</v>
      </c>
      <c r="AD100" s="124">
        <v>0</v>
      </c>
    </row>
    <row r="101" spans="1:30">
      <c r="A101" s="127" t="s">
        <v>1104</v>
      </c>
      <c r="B101" s="127" t="s">
        <v>1534</v>
      </c>
      <c r="C101" s="127" t="s">
        <v>1085</v>
      </c>
      <c r="D101" s="127" t="s">
        <v>1325</v>
      </c>
      <c r="E101" s="127" t="s">
        <v>1294</v>
      </c>
      <c r="F101" s="127" t="s">
        <v>1296</v>
      </c>
      <c r="G101" s="127" t="s">
        <v>1534</v>
      </c>
      <c r="M101" s="127" t="s">
        <v>1673</v>
      </c>
      <c r="N101" s="127" t="s">
        <v>1406</v>
      </c>
      <c r="O101" s="123">
        <v>44319</v>
      </c>
      <c r="P101" s="123">
        <v>44498</v>
      </c>
      <c r="Q101" s="123">
        <v>44354</v>
      </c>
      <c r="R101" s="123">
        <v>44360</v>
      </c>
      <c r="S101" s="124">
        <v>23</v>
      </c>
      <c r="T101" s="124">
        <v>23</v>
      </c>
      <c r="U101" s="124">
        <v>5</v>
      </c>
      <c r="V101" s="125">
        <v>0</v>
      </c>
      <c r="W101" s="124">
        <v>0</v>
      </c>
      <c r="X101" s="126">
        <v>1</v>
      </c>
      <c r="Y101" s="126">
        <v>0</v>
      </c>
      <c r="Z101" s="126">
        <v>0</v>
      </c>
      <c r="AC101" s="125">
        <v>0</v>
      </c>
      <c r="AD101" s="124">
        <v>0</v>
      </c>
    </row>
    <row r="102" spans="1:30">
      <c r="A102" s="127" t="s">
        <v>1104</v>
      </c>
      <c r="B102" s="127" t="s">
        <v>1534</v>
      </c>
      <c r="C102" s="127" t="s">
        <v>1085</v>
      </c>
      <c r="D102" s="127" t="s">
        <v>1325</v>
      </c>
      <c r="E102" s="127" t="s">
        <v>1294</v>
      </c>
      <c r="F102" s="127" t="s">
        <v>1296</v>
      </c>
      <c r="G102" s="127" t="s">
        <v>1534</v>
      </c>
      <c r="M102" s="127" t="s">
        <v>1673</v>
      </c>
      <c r="N102" s="127" t="s">
        <v>1406</v>
      </c>
      <c r="O102" s="123">
        <v>44319</v>
      </c>
      <c r="P102" s="123">
        <v>44498</v>
      </c>
      <c r="Q102" s="123">
        <v>44361</v>
      </c>
      <c r="R102" s="123">
        <v>44367</v>
      </c>
      <c r="S102" s="124">
        <v>24</v>
      </c>
      <c r="T102" s="124">
        <v>24</v>
      </c>
      <c r="U102" s="124">
        <v>5</v>
      </c>
      <c r="V102" s="125">
        <v>0</v>
      </c>
      <c r="W102" s="124">
        <v>0</v>
      </c>
      <c r="X102" s="126">
        <v>1</v>
      </c>
      <c r="Y102" s="126">
        <v>0</v>
      </c>
      <c r="Z102" s="126">
        <v>0</v>
      </c>
      <c r="AC102" s="125">
        <v>0</v>
      </c>
      <c r="AD102" s="124">
        <v>0</v>
      </c>
    </row>
    <row r="103" spans="1:30">
      <c r="A103" s="127" t="s">
        <v>1104</v>
      </c>
      <c r="B103" s="127" t="s">
        <v>1534</v>
      </c>
      <c r="C103" s="127" t="s">
        <v>1085</v>
      </c>
      <c r="D103" s="127" t="s">
        <v>1325</v>
      </c>
      <c r="E103" s="127" t="s">
        <v>1294</v>
      </c>
      <c r="F103" s="127" t="s">
        <v>1296</v>
      </c>
      <c r="G103" s="127" t="s">
        <v>1534</v>
      </c>
      <c r="M103" s="127" t="s">
        <v>1673</v>
      </c>
      <c r="N103" s="127" t="s">
        <v>1406</v>
      </c>
      <c r="O103" s="123">
        <v>44319</v>
      </c>
      <c r="P103" s="123">
        <v>44498</v>
      </c>
      <c r="Q103" s="123">
        <v>44368</v>
      </c>
      <c r="R103" s="123">
        <v>44374</v>
      </c>
      <c r="S103" s="124">
        <v>25</v>
      </c>
      <c r="T103" s="124">
        <v>25</v>
      </c>
      <c r="U103" s="124">
        <v>5</v>
      </c>
      <c r="V103" s="125">
        <v>0</v>
      </c>
      <c r="W103" s="124">
        <v>0</v>
      </c>
      <c r="X103" s="126">
        <v>1</v>
      </c>
      <c r="Y103" s="126">
        <v>0</v>
      </c>
      <c r="Z103" s="126">
        <v>0</v>
      </c>
      <c r="AC103" s="125">
        <v>0</v>
      </c>
      <c r="AD103" s="124">
        <v>0</v>
      </c>
    </row>
    <row r="104" spans="1:30">
      <c r="A104" s="127" t="s">
        <v>1104</v>
      </c>
      <c r="B104" s="127" t="s">
        <v>1534</v>
      </c>
      <c r="C104" s="127" t="s">
        <v>1085</v>
      </c>
      <c r="D104" s="127" t="s">
        <v>1325</v>
      </c>
      <c r="E104" s="127" t="s">
        <v>1294</v>
      </c>
      <c r="F104" s="127" t="s">
        <v>1296</v>
      </c>
      <c r="G104" s="127" t="s">
        <v>1534</v>
      </c>
      <c r="M104" s="127" t="s">
        <v>1673</v>
      </c>
      <c r="N104" s="127" t="s">
        <v>1406</v>
      </c>
      <c r="O104" s="123">
        <v>44319</v>
      </c>
      <c r="P104" s="123">
        <v>44498</v>
      </c>
      <c r="Q104" s="123">
        <v>44375</v>
      </c>
      <c r="R104" s="123">
        <v>44381</v>
      </c>
      <c r="S104" s="124">
        <v>26</v>
      </c>
      <c r="T104" s="124">
        <v>26</v>
      </c>
      <c r="U104" s="124">
        <v>5</v>
      </c>
      <c r="V104" s="125">
        <v>0</v>
      </c>
      <c r="W104" s="124">
        <v>0</v>
      </c>
      <c r="X104" s="126">
        <v>1</v>
      </c>
      <c r="Y104" s="126">
        <v>0</v>
      </c>
      <c r="Z104" s="126">
        <v>0</v>
      </c>
      <c r="AC104" s="125">
        <v>0</v>
      </c>
      <c r="AD104" s="124">
        <v>0</v>
      </c>
    </row>
    <row r="105" spans="1:30">
      <c r="A105" s="127" t="s">
        <v>1104</v>
      </c>
      <c r="B105" s="127" t="s">
        <v>1534</v>
      </c>
      <c r="C105" s="127" t="s">
        <v>1085</v>
      </c>
      <c r="D105" s="127" t="s">
        <v>1325</v>
      </c>
      <c r="E105" s="127" t="s">
        <v>1294</v>
      </c>
      <c r="F105" s="127" t="s">
        <v>1296</v>
      </c>
      <c r="G105" s="127" t="s">
        <v>1534</v>
      </c>
      <c r="M105" s="127" t="s">
        <v>1673</v>
      </c>
      <c r="N105" s="127" t="s">
        <v>1406</v>
      </c>
      <c r="O105" s="123">
        <v>44319</v>
      </c>
      <c r="P105" s="123">
        <v>44498</v>
      </c>
      <c r="Q105" s="123">
        <v>44382</v>
      </c>
      <c r="R105" s="123">
        <v>44388</v>
      </c>
      <c r="S105" s="124">
        <v>27</v>
      </c>
      <c r="T105" s="124">
        <v>27</v>
      </c>
      <c r="U105" s="124">
        <v>5</v>
      </c>
      <c r="V105" s="125">
        <v>0</v>
      </c>
      <c r="W105" s="124">
        <v>0</v>
      </c>
      <c r="X105" s="126">
        <v>1</v>
      </c>
      <c r="Y105" s="126">
        <v>0</v>
      </c>
      <c r="Z105" s="126">
        <v>0</v>
      </c>
      <c r="AC105" s="125">
        <v>0</v>
      </c>
      <c r="AD105" s="124">
        <v>0</v>
      </c>
    </row>
    <row r="106" spans="1:30">
      <c r="A106" s="127" t="s">
        <v>1104</v>
      </c>
      <c r="B106" s="127" t="s">
        <v>1534</v>
      </c>
      <c r="C106" s="127" t="s">
        <v>1085</v>
      </c>
      <c r="D106" s="127" t="s">
        <v>1325</v>
      </c>
      <c r="E106" s="127" t="s">
        <v>1294</v>
      </c>
      <c r="F106" s="127" t="s">
        <v>1296</v>
      </c>
      <c r="G106" s="127" t="s">
        <v>1534</v>
      </c>
      <c r="M106" s="127" t="s">
        <v>1673</v>
      </c>
      <c r="N106" s="127" t="s">
        <v>1406</v>
      </c>
      <c r="O106" s="123">
        <v>44319</v>
      </c>
      <c r="P106" s="123">
        <v>44498</v>
      </c>
      <c r="Q106" s="123">
        <v>44389</v>
      </c>
      <c r="R106" s="123">
        <v>44395</v>
      </c>
      <c r="S106" s="124">
        <v>28</v>
      </c>
      <c r="T106" s="124">
        <v>28</v>
      </c>
      <c r="U106" s="124">
        <v>5</v>
      </c>
      <c r="V106" s="125">
        <v>0</v>
      </c>
      <c r="W106" s="124">
        <v>0</v>
      </c>
      <c r="X106" s="126">
        <v>1</v>
      </c>
      <c r="Y106" s="126">
        <v>0</v>
      </c>
      <c r="Z106" s="126">
        <v>0</v>
      </c>
      <c r="AC106" s="125">
        <v>0</v>
      </c>
      <c r="AD106" s="124">
        <v>0</v>
      </c>
    </row>
    <row r="107" spans="1:30">
      <c r="A107" s="127" t="s">
        <v>1104</v>
      </c>
      <c r="B107" s="127" t="s">
        <v>1534</v>
      </c>
      <c r="C107" s="127" t="s">
        <v>1085</v>
      </c>
      <c r="D107" s="127" t="s">
        <v>1325</v>
      </c>
      <c r="E107" s="127" t="s">
        <v>1294</v>
      </c>
      <c r="F107" s="127" t="s">
        <v>1296</v>
      </c>
      <c r="G107" s="127" t="s">
        <v>1534</v>
      </c>
      <c r="M107" s="127" t="s">
        <v>1673</v>
      </c>
      <c r="N107" s="127" t="s">
        <v>1406</v>
      </c>
      <c r="O107" s="123">
        <v>44319</v>
      </c>
      <c r="P107" s="123">
        <v>44498</v>
      </c>
      <c r="Q107" s="123">
        <v>44396</v>
      </c>
      <c r="R107" s="123">
        <v>44402</v>
      </c>
      <c r="S107" s="124">
        <v>29</v>
      </c>
      <c r="T107" s="124">
        <v>29</v>
      </c>
      <c r="U107" s="124">
        <v>5</v>
      </c>
      <c r="V107" s="125">
        <v>0</v>
      </c>
      <c r="W107" s="124">
        <v>0</v>
      </c>
      <c r="X107" s="126">
        <v>1</v>
      </c>
      <c r="Y107" s="126">
        <v>0</v>
      </c>
      <c r="Z107" s="126">
        <v>0</v>
      </c>
      <c r="AC107" s="125">
        <v>0</v>
      </c>
      <c r="AD107" s="124">
        <v>0</v>
      </c>
    </row>
    <row r="108" spans="1:30">
      <c r="A108" s="127" t="s">
        <v>1104</v>
      </c>
      <c r="B108" s="127" t="s">
        <v>1534</v>
      </c>
      <c r="C108" s="127" t="s">
        <v>1085</v>
      </c>
      <c r="D108" s="127" t="s">
        <v>1325</v>
      </c>
      <c r="E108" s="127" t="s">
        <v>1294</v>
      </c>
      <c r="F108" s="127" t="s">
        <v>1296</v>
      </c>
      <c r="G108" s="127" t="s">
        <v>1534</v>
      </c>
      <c r="M108" s="127" t="s">
        <v>1673</v>
      </c>
      <c r="N108" s="127" t="s">
        <v>1406</v>
      </c>
      <c r="O108" s="123">
        <v>44319</v>
      </c>
      <c r="P108" s="123">
        <v>44498</v>
      </c>
      <c r="Q108" s="123">
        <v>44403</v>
      </c>
      <c r="R108" s="123">
        <v>44409</v>
      </c>
      <c r="S108" s="124">
        <v>30</v>
      </c>
      <c r="T108" s="124">
        <v>30</v>
      </c>
      <c r="U108" s="124">
        <v>5</v>
      </c>
      <c r="V108" s="125">
        <v>0</v>
      </c>
      <c r="W108" s="124">
        <v>0</v>
      </c>
      <c r="X108" s="126">
        <v>1</v>
      </c>
      <c r="Y108" s="126">
        <v>0</v>
      </c>
      <c r="Z108" s="126">
        <v>0</v>
      </c>
      <c r="AC108" s="125">
        <v>0</v>
      </c>
      <c r="AD108" s="124">
        <v>0</v>
      </c>
    </row>
    <row r="109" spans="1:30">
      <c r="A109" s="127" t="s">
        <v>1104</v>
      </c>
      <c r="B109" s="127" t="s">
        <v>1534</v>
      </c>
      <c r="C109" s="127" t="s">
        <v>1085</v>
      </c>
      <c r="D109" s="127" t="s">
        <v>1325</v>
      </c>
      <c r="E109" s="127" t="s">
        <v>1294</v>
      </c>
      <c r="F109" s="127" t="s">
        <v>1296</v>
      </c>
      <c r="G109" s="127" t="s">
        <v>1534</v>
      </c>
      <c r="M109" s="127" t="s">
        <v>1673</v>
      </c>
      <c r="N109" s="127" t="s">
        <v>1406</v>
      </c>
      <c r="O109" s="123">
        <v>44319</v>
      </c>
      <c r="P109" s="123">
        <v>44498</v>
      </c>
      <c r="Q109" s="123">
        <v>44410</v>
      </c>
      <c r="R109" s="123">
        <v>44416</v>
      </c>
      <c r="S109" s="124">
        <v>31</v>
      </c>
      <c r="T109" s="124">
        <v>31</v>
      </c>
      <c r="U109" s="124">
        <v>5</v>
      </c>
      <c r="V109" s="125">
        <v>0</v>
      </c>
      <c r="W109" s="124">
        <v>0</v>
      </c>
      <c r="X109" s="126">
        <v>1</v>
      </c>
      <c r="Y109" s="126">
        <v>0</v>
      </c>
      <c r="Z109" s="126">
        <v>0</v>
      </c>
      <c r="AC109" s="125">
        <v>0</v>
      </c>
      <c r="AD109" s="124">
        <v>0</v>
      </c>
    </row>
    <row r="110" spans="1:30">
      <c r="A110" s="127" t="s">
        <v>1104</v>
      </c>
      <c r="B110" s="127" t="s">
        <v>1534</v>
      </c>
      <c r="C110" s="127" t="s">
        <v>1085</v>
      </c>
      <c r="D110" s="127" t="s">
        <v>1325</v>
      </c>
      <c r="E110" s="127" t="s">
        <v>1294</v>
      </c>
      <c r="F110" s="127" t="s">
        <v>1296</v>
      </c>
      <c r="G110" s="127" t="s">
        <v>1534</v>
      </c>
      <c r="M110" s="127" t="s">
        <v>1673</v>
      </c>
      <c r="N110" s="127" t="s">
        <v>1406</v>
      </c>
      <c r="O110" s="123">
        <v>44319</v>
      </c>
      <c r="P110" s="123">
        <v>44498</v>
      </c>
      <c r="Q110" s="123">
        <v>44417</v>
      </c>
      <c r="R110" s="123">
        <v>44423</v>
      </c>
      <c r="S110" s="124">
        <v>32</v>
      </c>
      <c r="T110" s="124">
        <v>32</v>
      </c>
      <c r="U110" s="124">
        <v>5</v>
      </c>
      <c r="V110" s="125">
        <v>0</v>
      </c>
      <c r="W110" s="124">
        <v>0</v>
      </c>
      <c r="X110" s="126">
        <v>1</v>
      </c>
      <c r="Y110" s="126">
        <v>0</v>
      </c>
      <c r="Z110" s="126">
        <v>0</v>
      </c>
      <c r="AC110" s="125">
        <v>0</v>
      </c>
      <c r="AD110" s="124">
        <v>0</v>
      </c>
    </row>
    <row r="111" spans="1:30">
      <c r="A111" s="127" t="s">
        <v>1104</v>
      </c>
      <c r="B111" s="127" t="s">
        <v>1534</v>
      </c>
      <c r="C111" s="127" t="s">
        <v>1085</v>
      </c>
      <c r="D111" s="127" t="s">
        <v>1325</v>
      </c>
      <c r="E111" s="127" t="s">
        <v>1294</v>
      </c>
      <c r="F111" s="127" t="s">
        <v>1296</v>
      </c>
      <c r="G111" s="127" t="s">
        <v>1534</v>
      </c>
      <c r="M111" s="127" t="s">
        <v>1673</v>
      </c>
      <c r="N111" s="127" t="s">
        <v>1406</v>
      </c>
      <c r="O111" s="123">
        <v>44319</v>
      </c>
      <c r="P111" s="123">
        <v>44498</v>
      </c>
      <c r="Q111" s="123">
        <v>44424</v>
      </c>
      <c r="R111" s="123">
        <v>44430</v>
      </c>
      <c r="S111" s="124">
        <v>33</v>
      </c>
      <c r="T111" s="124">
        <v>33</v>
      </c>
      <c r="U111" s="124">
        <v>5</v>
      </c>
      <c r="V111" s="125">
        <v>0</v>
      </c>
      <c r="W111" s="124">
        <v>0</v>
      </c>
      <c r="X111" s="126">
        <v>1</v>
      </c>
      <c r="Y111" s="126">
        <v>0</v>
      </c>
      <c r="Z111" s="126">
        <v>0</v>
      </c>
      <c r="AC111" s="125">
        <v>0</v>
      </c>
      <c r="AD111" s="124">
        <v>0</v>
      </c>
    </row>
    <row r="112" spans="1:30">
      <c r="A112" s="127" t="s">
        <v>1104</v>
      </c>
      <c r="B112" s="127" t="s">
        <v>1534</v>
      </c>
      <c r="C112" s="127" t="s">
        <v>1085</v>
      </c>
      <c r="D112" s="127" t="s">
        <v>1325</v>
      </c>
      <c r="E112" s="127" t="s">
        <v>1294</v>
      </c>
      <c r="F112" s="127" t="s">
        <v>1296</v>
      </c>
      <c r="G112" s="127" t="s">
        <v>1534</v>
      </c>
      <c r="M112" s="127" t="s">
        <v>1673</v>
      </c>
      <c r="N112" s="127" t="s">
        <v>1406</v>
      </c>
      <c r="O112" s="123">
        <v>44319</v>
      </c>
      <c r="P112" s="123">
        <v>44498</v>
      </c>
      <c r="Q112" s="123">
        <v>44431</v>
      </c>
      <c r="R112" s="123">
        <v>44437</v>
      </c>
      <c r="S112" s="124">
        <v>34</v>
      </c>
      <c r="T112" s="124">
        <v>34</v>
      </c>
      <c r="U112" s="124">
        <v>5</v>
      </c>
      <c r="V112" s="125">
        <v>0</v>
      </c>
      <c r="W112" s="124">
        <v>0</v>
      </c>
      <c r="X112" s="126">
        <v>1</v>
      </c>
      <c r="Y112" s="126">
        <v>0</v>
      </c>
      <c r="Z112" s="126">
        <v>0</v>
      </c>
      <c r="AC112" s="125">
        <v>0</v>
      </c>
      <c r="AD112" s="124">
        <v>0</v>
      </c>
    </row>
    <row r="113" spans="1:30">
      <c r="A113" s="127" t="s">
        <v>1104</v>
      </c>
      <c r="B113" s="127" t="s">
        <v>1534</v>
      </c>
      <c r="C113" s="127" t="s">
        <v>1085</v>
      </c>
      <c r="D113" s="127" t="s">
        <v>1325</v>
      </c>
      <c r="E113" s="127" t="s">
        <v>1294</v>
      </c>
      <c r="F113" s="127" t="s">
        <v>1296</v>
      </c>
      <c r="G113" s="127" t="s">
        <v>1534</v>
      </c>
      <c r="M113" s="127" t="s">
        <v>1673</v>
      </c>
      <c r="N113" s="127" t="s">
        <v>1406</v>
      </c>
      <c r="O113" s="123">
        <v>44319</v>
      </c>
      <c r="P113" s="123">
        <v>44498</v>
      </c>
      <c r="Q113" s="123">
        <v>44438</v>
      </c>
      <c r="R113" s="123">
        <v>44444</v>
      </c>
      <c r="S113" s="124">
        <v>35</v>
      </c>
      <c r="T113" s="124">
        <v>35</v>
      </c>
      <c r="U113" s="124">
        <v>5</v>
      </c>
      <c r="V113" s="125">
        <v>0</v>
      </c>
      <c r="W113" s="124">
        <v>0</v>
      </c>
      <c r="X113" s="126">
        <v>1</v>
      </c>
      <c r="Y113" s="126">
        <v>0</v>
      </c>
      <c r="Z113" s="126">
        <v>0</v>
      </c>
      <c r="AC113" s="125">
        <v>0</v>
      </c>
      <c r="AD113" s="124">
        <v>0</v>
      </c>
    </row>
    <row r="114" spans="1:30">
      <c r="A114" s="127" t="s">
        <v>1104</v>
      </c>
      <c r="B114" s="127" t="s">
        <v>1534</v>
      </c>
      <c r="C114" s="127" t="s">
        <v>1085</v>
      </c>
      <c r="D114" s="127" t="s">
        <v>1325</v>
      </c>
      <c r="E114" s="127" t="s">
        <v>1294</v>
      </c>
      <c r="F114" s="127" t="s">
        <v>1296</v>
      </c>
      <c r="G114" s="127" t="s">
        <v>1534</v>
      </c>
      <c r="M114" s="127" t="s">
        <v>1673</v>
      </c>
      <c r="N114" s="127" t="s">
        <v>1406</v>
      </c>
      <c r="O114" s="123">
        <v>44319</v>
      </c>
      <c r="P114" s="123">
        <v>44498</v>
      </c>
      <c r="Q114" s="123">
        <v>44445</v>
      </c>
      <c r="R114" s="123">
        <v>44451</v>
      </c>
      <c r="S114" s="124">
        <v>36</v>
      </c>
      <c r="T114" s="124">
        <v>36</v>
      </c>
      <c r="U114" s="124">
        <v>5</v>
      </c>
      <c r="V114" s="125">
        <v>0</v>
      </c>
      <c r="W114" s="124">
        <v>0</v>
      </c>
      <c r="X114" s="126">
        <v>1</v>
      </c>
      <c r="Y114" s="126">
        <v>0</v>
      </c>
      <c r="Z114" s="126">
        <v>0</v>
      </c>
      <c r="AC114" s="125">
        <v>0</v>
      </c>
      <c r="AD114" s="124">
        <v>0</v>
      </c>
    </row>
    <row r="115" spans="1:30">
      <c r="A115" s="127" t="s">
        <v>1104</v>
      </c>
      <c r="B115" s="127" t="s">
        <v>1534</v>
      </c>
      <c r="C115" s="127" t="s">
        <v>1085</v>
      </c>
      <c r="D115" s="127" t="s">
        <v>1325</v>
      </c>
      <c r="E115" s="127" t="s">
        <v>1294</v>
      </c>
      <c r="F115" s="127" t="s">
        <v>1296</v>
      </c>
      <c r="G115" s="127" t="s">
        <v>1534</v>
      </c>
      <c r="M115" s="127" t="s">
        <v>1673</v>
      </c>
      <c r="N115" s="127" t="s">
        <v>1406</v>
      </c>
      <c r="O115" s="123">
        <v>44319</v>
      </c>
      <c r="P115" s="123">
        <v>44498</v>
      </c>
      <c r="Q115" s="123">
        <v>44452</v>
      </c>
      <c r="R115" s="123">
        <v>44458</v>
      </c>
      <c r="S115" s="124">
        <v>37</v>
      </c>
      <c r="T115" s="124">
        <v>37</v>
      </c>
      <c r="U115" s="124">
        <v>5</v>
      </c>
      <c r="V115" s="125">
        <v>0</v>
      </c>
      <c r="W115" s="124">
        <v>0</v>
      </c>
      <c r="X115" s="126">
        <v>1</v>
      </c>
      <c r="Y115" s="126">
        <v>0</v>
      </c>
      <c r="Z115" s="126">
        <v>0</v>
      </c>
      <c r="AC115" s="125">
        <v>0</v>
      </c>
      <c r="AD115" s="124">
        <v>0</v>
      </c>
    </row>
    <row r="116" spans="1:30">
      <c r="A116" s="127" t="s">
        <v>1104</v>
      </c>
      <c r="B116" s="127" t="s">
        <v>1534</v>
      </c>
      <c r="C116" s="127" t="s">
        <v>1085</v>
      </c>
      <c r="D116" s="127" t="s">
        <v>1325</v>
      </c>
      <c r="E116" s="127" t="s">
        <v>1294</v>
      </c>
      <c r="F116" s="127" t="s">
        <v>1296</v>
      </c>
      <c r="G116" s="127" t="s">
        <v>1534</v>
      </c>
      <c r="M116" s="127" t="s">
        <v>1673</v>
      </c>
      <c r="N116" s="127" t="s">
        <v>1406</v>
      </c>
      <c r="O116" s="123">
        <v>44319</v>
      </c>
      <c r="P116" s="123">
        <v>44498</v>
      </c>
      <c r="Q116" s="123">
        <v>44459</v>
      </c>
      <c r="R116" s="123">
        <v>44465</v>
      </c>
      <c r="S116" s="124">
        <v>38</v>
      </c>
      <c r="T116" s="124">
        <v>38</v>
      </c>
      <c r="U116" s="124">
        <v>2</v>
      </c>
      <c r="V116" s="125">
        <v>0</v>
      </c>
      <c r="W116" s="124">
        <v>0</v>
      </c>
      <c r="X116" s="126">
        <v>1</v>
      </c>
      <c r="Y116" s="126">
        <v>0</v>
      </c>
      <c r="Z116" s="126">
        <v>0</v>
      </c>
      <c r="AC116" s="125">
        <v>0</v>
      </c>
      <c r="AD116" s="124">
        <v>0</v>
      </c>
    </row>
    <row r="117" spans="1:30">
      <c r="A117" s="127" t="s">
        <v>1104</v>
      </c>
      <c r="B117" s="127" t="s">
        <v>1534</v>
      </c>
      <c r="C117" s="127" t="s">
        <v>1085</v>
      </c>
      <c r="D117" s="127" t="s">
        <v>1325</v>
      </c>
      <c r="E117" s="127" t="s">
        <v>1294</v>
      </c>
      <c r="F117" s="127" t="s">
        <v>1296</v>
      </c>
      <c r="G117" s="127" t="s">
        <v>1534</v>
      </c>
      <c r="M117" s="127" t="s">
        <v>1673</v>
      </c>
      <c r="N117" s="127" t="s">
        <v>1406</v>
      </c>
      <c r="O117" s="123">
        <v>44319</v>
      </c>
      <c r="P117" s="123">
        <v>44498</v>
      </c>
      <c r="Q117" s="123">
        <v>44466</v>
      </c>
      <c r="R117" s="123">
        <v>44472</v>
      </c>
      <c r="S117" s="124">
        <v>39</v>
      </c>
      <c r="T117" s="124">
        <v>39</v>
      </c>
      <c r="U117" s="124">
        <v>5</v>
      </c>
      <c r="V117" s="125">
        <v>0</v>
      </c>
      <c r="W117" s="124">
        <v>0</v>
      </c>
      <c r="X117" s="126">
        <v>1</v>
      </c>
      <c r="Y117" s="126">
        <v>0</v>
      </c>
      <c r="Z117" s="126">
        <v>0</v>
      </c>
      <c r="AC117" s="125">
        <v>0</v>
      </c>
      <c r="AD117" s="124">
        <v>0</v>
      </c>
    </row>
    <row r="118" spans="1:30">
      <c r="A118" s="127" t="s">
        <v>1104</v>
      </c>
      <c r="B118" s="127" t="s">
        <v>1534</v>
      </c>
      <c r="C118" s="127" t="s">
        <v>1085</v>
      </c>
      <c r="D118" s="127" t="s">
        <v>1325</v>
      </c>
      <c r="E118" s="127" t="s">
        <v>1294</v>
      </c>
      <c r="F118" s="127" t="s">
        <v>1296</v>
      </c>
      <c r="G118" s="127" t="s">
        <v>1534</v>
      </c>
      <c r="M118" s="127" t="s">
        <v>1673</v>
      </c>
      <c r="N118" s="127" t="s">
        <v>1406</v>
      </c>
      <c r="O118" s="123">
        <v>44319</v>
      </c>
      <c r="P118" s="123">
        <v>44498</v>
      </c>
      <c r="Q118" s="123">
        <v>44473</v>
      </c>
      <c r="R118" s="123">
        <v>44479</v>
      </c>
      <c r="S118" s="124">
        <v>40</v>
      </c>
      <c r="T118" s="124">
        <v>40</v>
      </c>
      <c r="U118" s="124">
        <v>5</v>
      </c>
      <c r="V118" s="125">
        <v>0</v>
      </c>
      <c r="W118" s="124">
        <v>0</v>
      </c>
      <c r="X118" s="126">
        <v>1</v>
      </c>
      <c r="Y118" s="126">
        <v>0</v>
      </c>
      <c r="Z118" s="126">
        <v>0</v>
      </c>
      <c r="AC118" s="125">
        <v>0</v>
      </c>
      <c r="AD118" s="124">
        <v>0</v>
      </c>
    </row>
    <row r="119" spans="1:30">
      <c r="A119" s="127" t="s">
        <v>1104</v>
      </c>
      <c r="B119" s="127" t="s">
        <v>1534</v>
      </c>
      <c r="C119" s="127" t="s">
        <v>1085</v>
      </c>
      <c r="D119" s="127" t="s">
        <v>1325</v>
      </c>
      <c r="E119" s="127" t="s">
        <v>1294</v>
      </c>
      <c r="F119" s="127" t="s">
        <v>1296</v>
      </c>
      <c r="G119" s="127" t="s">
        <v>1534</v>
      </c>
      <c r="M119" s="127" t="s">
        <v>1673</v>
      </c>
      <c r="N119" s="127" t="s">
        <v>1406</v>
      </c>
      <c r="O119" s="123">
        <v>44319</v>
      </c>
      <c r="P119" s="123">
        <v>44498</v>
      </c>
      <c r="Q119" s="123">
        <v>44480</v>
      </c>
      <c r="R119" s="123">
        <v>44486</v>
      </c>
      <c r="S119" s="124">
        <v>41</v>
      </c>
      <c r="T119" s="124">
        <v>41</v>
      </c>
      <c r="U119" s="124">
        <v>5</v>
      </c>
      <c r="V119" s="125">
        <v>0</v>
      </c>
      <c r="W119" s="124">
        <v>0</v>
      </c>
      <c r="X119" s="126">
        <v>1</v>
      </c>
      <c r="Y119" s="126">
        <v>0</v>
      </c>
      <c r="Z119" s="126">
        <v>0</v>
      </c>
      <c r="AC119" s="125">
        <v>0</v>
      </c>
      <c r="AD119" s="124">
        <v>0</v>
      </c>
    </row>
    <row r="120" spans="1:30">
      <c r="A120" s="127" t="s">
        <v>1104</v>
      </c>
      <c r="B120" s="127" t="s">
        <v>1534</v>
      </c>
      <c r="C120" s="127" t="s">
        <v>1085</v>
      </c>
      <c r="D120" s="127" t="s">
        <v>1325</v>
      </c>
      <c r="E120" s="127" t="s">
        <v>1294</v>
      </c>
      <c r="F120" s="127" t="s">
        <v>1296</v>
      </c>
      <c r="G120" s="127" t="s">
        <v>1534</v>
      </c>
      <c r="M120" s="127" t="s">
        <v>1673</v>
      </c>
      <c r="N120" s="127" t="s">
        <v>1406</v>
      </c>
      <c r="O120" s="123">
        <v>44319</v>
      </c>
      <c r="P120" s="123">
        <v>44498</v>
      </c>
      <c r="Q120" s="123">
        <v>44487</v>
      </c>
      <c r="R120" s="123">
        <v>44493</v>
      </c>
      <c r="S120" s="124">
        <v>42</v>
      </c>
      <c r="T120" s="124">
        <v>42</v>
      </c>
      <c r="U120" s="124">
        <v>5</v>
      </c>
      <c r="V120" s="125">
        <v>0</v>
      </c>
      <c r="W120" s="124">
        <v>0</v>
      </c>
      <c r="X120" s="126">
        <v>1</v>
      </c>
      <c r="Y120" s="126">
        <v>0</v>
      </c>
      <c r="Z120" s="126">
        <v>0</v>
      </c>
      <c r="AC120" s="125">
        <v>0</v>
      </c>
      <c r="AD120" s="124">
        <v>0</v>
      </c>
    </row>
    <row r="121" spans="1:30">
      <c r="A121" s="127" t="s">
        <v>1104</v>
      </c>
      <c r="B121" s="127" t="s">
        <v>1534</v>
      </c>
      <c r="C121" s="127" t="s">
        <v>1085</v>
      </c>
      <c r="D121" s="127" t="s">
        <v>1325</v>
      </c>
      <c r="E121" s="127" t="s">
        <v>1294</v>
      </c>
      <c r="F121" s="127" t="s">
        <v>1296</v>
      </c>
      <c r="G121" s="127" t="s">
        <v>1534</v>
      </c>
      <c r="M121" s="127" t="s">
        <v>1673</v>
      </c>
      <c r="N121" s="127" t="s">
        <v>1406</v>
      </c>
      <c r="O121" s="123">
        <v>44319</v>
      </c>
      <c r="P121" s="123">
        <v>44498</v>
      </c>
      <c r="Q121" s="123">
        <v>44494</v>
      </c>
      <c r="R121" s="123">
        <v>44500</v>
      </c>
      <c r="S121" s="124">
        <v>43</v>
      </c>
      <c r="T121" s="124">
        <v>43</v>
      </c>
      <c r="U121" s="124">
        <v>5</v>
      </c>
      <c r="V121" s="125">
        <v>0</v>
      </c>
      <c r="W121" s="124">
        <v>0</v>
      </c>
      <c r="X121" s="126">
        <v>1</v>
      </c>
      <c r="Y121" s="126">
        <v>0</v>
      </c>
      <c r="Z121" s="126">
        <v>0</v>
      </c>
      <c r="AC121" s="125">
        <v>0</v>
      </c>
      <c r="AD121" s="124">
        <v>0</v>
      </c>
    </row>
    <row r="122" spans="1:30">
      <c r="A122" s="127" t="s">
        <v>1104</v>
      </c>
      <c r="B122" s="127" t="s">
        <v>1535</v>
      </c>
      <c r="C122" s="127" t="s">
        <v>1085</v>
      </c>
      <c r="D122" s="127" t="s">
        <v>1325</v>
      </c>
      <c r="E122" s="127" t="s">
        <v>1294</v>
      </c>
      <c r="F122" s="127" t="s">
        <v>1296</v>
      </c>
      <c r="G122" s="127" t="s">
        <v>1535</v>
      </c>
      <c r="M122" s="127" t="s">
        <v>1671</v>
      </c>
      <c r="N122" s="127" t="s">
        <v>1406</v>
      </c>
      <c r="O122" s="123">
        <v>44319</v>
      </c>
      <c r="P122" s="123">
        <v>44498</v>
      </c>
      <c r="Q122" s="123">
        <v>44319</v>
      </c>
      <c r="R122" s="123">
        <v>44325</v>
      </c>
      <c r="S122" s="124">
        <v>18</v>
      </c>
      <c r="T122" s="124">
        <v>18</v>
      </c>
      <c r="U122" s="124">
        <v>4</v>
      </c>
      <c r="V122" s="125">
        <v>0</v>
      </c>
      <c r="W122" s="124">
        <v>0</v>
      </c>
      <c r="X122" s="126">
        <v>1</v>
      </c>
      <c r="Y122" s="126">
        <v>0</v>
      </c>
      <c r="Z122" s="126">
        <v>0</v>
      </c>
      <c r="AC122" s="125">
        <v>0</v>
      </c>
      <c r="AD122" s="124">
        <v>0</v>
      </c>
    </row>
    <row r="123" spans="1:30">
      <c r="A123" s="127" t="s">
        <v>1104</v>
      </c>
      <c r="B123" s="127" t="s">
        <v>1535</v>
      </c>
      <c r="C123" s="127" t="s">
        <v>1085</v>
      </c>
      <c r="D123" s="127" t="s">
        <v>1325</v>
      </c>
      <c r="E123" s="127" t="s">
        <v>1294</v>
      </c>
      <c r="F123" s="127" t="s">
        <v>1296</v>
      </c>
      <c r="G123" s="127" t="s">
        <v>1535</v>
      </c>
      <c r="M123" s="127" t="s">
        <v>1671</v>
      </c>
      <c r="N123" s="127" t="s">
        <v>1406</v>
      </c>
      <c r="O123" s="123">
        <v>44319</v>
      </c>
      <c r="P123" s="123">
        <v>44498</v>
      </c>
      <c r="Q123" s="123">
        <v>44326</v>
      </c>
      <c r="R123" s="123">
        <v>44332</v>
      </c>
      <c r="S123" s="124">
        <v>19</v>
      </c>
      <c r="T123" s="124">
        <v>19</v>
      </c>
      <c r="U123" s="124">
        <v>5</v>
      </c>
      <c r="V123" s="125">
        <v>0</v>
      </c>
      <c r="W123" s="124">
        <v>0</v>
      </c>
      <c r="X123" s="126">
        <v>1</v>
      </c>
      <c r="Y123" s="126">
        <v>0</v>
      </c>
      <c r="Z123" s="126">
        <v>0</v>
      </c>
      <c r="AC123" s="125">
        <v>0</v>
      </c>
      <c r="AD123" s="124">
        <v>0</v>
      </c>
    </row>
    <row r="124" spans="1:30">
      <c r="A124" s="127" t="s">
        <v>1104</v>
      </c>
      <c r="B124" s="127" t="s">
        <v>1535</v>
      </c>
      <c r="C124" s="127" t="s">
        <v>1085</v>
      </c>
      <c r="D124" s="127" t="s">
        <v>1325</v>
      </c>
      <c r="E124" s="127" t="s">
        <v>1294</v>
      </c>
      <c r="F124" s="127" t="s">
        <v>1296</v>
      </c>
      <c r="G124" s="127" t="s">
        <v>1535</v>
      </c>
      <c r="M124" s="127" t="s">
        <v>1671</v>
      </c>
      <c r="N124" s="127" t="s">
        <v>1406</v>
      </c>
      <c r="O124" s="123">
        <v>44319</v>
      </c>
      <c r="P124" s="123">
        <v>44498</v>
      </c>
      <c r="Q124" s="123">
        <v>44333</v>
      </c>
      <c r="R124" s="123">
        <v>44339</v>
      </c>
      <c r="S124" s="124">
        <v>20</v>
      </c>
      <c r="T124" s="124">
        <v>20</v>
      </c>
      <c r="U124" s="124">
        <v>4</v>
      </c>
      <c r="V124" s="125">
        <v>0</v>
      </c>
      <c r="W124" s="124">
        <v>0</v>
      </c>
      <c r="X124" s="126">
        <v>1</v>
      </c>
      <c r="Y124" s="126">
        <v>0</v>
      </c>
      <c r="Z124" s="126">
        <v>0</v>
      </c>
      <c r="AC124" s="125">
        <v>0</v>
      </c>
      <c r="AD124" s="124">
        <v>0</v>
      </c>
    </row>
    <row r="125" spans="1:30">
      <c r="A125" s="127" t="s">
        <v>1104</v>
      </c>
      <c r="B125" s="127" t="s">
        <v>1535</v>
      </c>
      <c r="C125" s="127" t="s">
        <v>1085</v>
      </c>
      <c r="D125" s="127" t="s">
        <v>1325</v>
      </c>
      <c r="E125" s="127" t="s">
        <v>1294</v>
      </c>
      <c r="F125" s="127" t="s">
        <v>1296</v>
      </c>
      <c r="G125" s="127" t="s">
        <v>1535</v>
      </c>
      <c r="M125" s="127" t="s">
        <v>1671</v>
      </c>
      <c r="N125" s="127" t="s">
        <v>1406</v>
      </c>
      <c r="O125" s="123">
        <v>44319</v>
      </c>
      <c r="P125" s="123">
        <v>44498</v>
      </c>
      <c r="Q125" s="123">
        <v>44340</v>
      </c>
      <c r="R125" s="123">
        <v>44346</v>
      </c>
      <c r="S125" s="124">
        <v>21</v>
      </c>
      <c r="T125" s="124">
        <v>21</v>
      </c>
      <c r="U125" s="124">
        <v>5</v>
      </c>
      <c r="V125" s="125">
        <v>0</v>
      </c>
      <c r="W125" s="124">
        <v>0</v>
      </c>
      <c r="X125" s="126">
        <v>1</v>
      </c>
      <c r="Y125" s="126">
        <v>0</v>
      </c>
      <c r="Z125" s="126">
        <v>0</v>
      </c>
      <c r="AC125" s="125">
        <v>0</v>
      </c>
      <c r="AD125" s="124">
        <v>0</v>
      </c>
    </row>
    <row r="126" spans="1:30">
      <c r="A126" s="127" t="s">
        <v>1104</v>
      </c>
      <c r="B126" s="127" t="s">
        <v>1535</v>
      </c>
      <c r="C126" s="127" t="s">
        <v>1085</v>
      </c>
      <c r="D126" s="127" t="s">
        <v>1325</v>
      </c>
      <c r="E126" s="127" t="s">
        <v>1294</v>
      </c>
      <c r="F126" s="127" t="s">
        <v>1296</v>
      </c>
      <c r="G126" s="127" t="s">
        <v>1535</v>
      </c>
      <c r="M126" s="127" t="s">
        <v>1671</v>
      </c>
      <c r="N126" s="127" t="s">
        <v>1406</v>
      </c>
      <c r="O126" s="123">
        <v>44319</v>
      </c>
      <c r="P126" s="123">
        <v>44498</v>
      </c>
      <c r="Q126" s="123">
        <v>44347</v>
      </c>
      <c r="R126" s="123">
        <v>44353</v>
      </c>
      <c r="S126" s="124">
        <v>22</v>
      </c>
      <c r="T126" s="124">
        <v>22</v>
      </c>
      <c r="U126" s="124">
        <v>5</v>
      </c>
      <c r="V126" s="125">
        <v>0</v>
      </c>
      <c r="W126" s="124">
        <v>0</v>
      </c>
      <c r="X126" s="126">
        <v>1</v>
      </c>
      <c r="Y126" s="126">
        <v>0</v>
      </c>
      <c r="Z126" s="126">
        <v>0</v>
      </c>
      <c r="AC126" s="125">
        <v>0</v>
      </c>
      <c r="AD126" s="124">
        <v>0</v>
      </c>
    </row>
    <row r="127" spans="1:30">
      <c r="A127" s="127" t="s">
        <v>1104</v>
      </c>
      <c r="B127" s="127" t="s">
        <v>1535</v>
      </c>
      <c r="C127" s="127" t="s">
        <v>1085</v>
      </c>
      <c r="D127" s="127" t="s">
        <v>1325</v>
      </c>
      <c r="E127" s="127" t="s">
        <v>1294</v>
      </c>
      <c r="F127" s="127" t="s">
        <v>1296</v>
      </c>
      <c r="G127" s="127" t="s">
        <v>1535</v>
      </c>
      <c r="M127" s="127" t="s">
        <v>1671</v>
      </c>
      <c r="N127" s="127" t="s">
        <v>1406</v>
      </c>
      <c r="O127" s="123">
        <v>44319</v>
      </c>
      <c r="P127" s="123">
        <v>44498</v>
      </c>
      <c r="Q127" s="123">
        <v>44354</v>
      </c>
      <c r="R127" s="123">
        <v>44360</v>
      </c>
      <c r="S127" s="124">
        <v>23</v>
      </c>
      <c r="T127" s="124">
        <v>23</v>
      </c>
      <c r="U127" s="124">
        <v>5</v>
      </c>
      <c r="V127" s="125">
        <v>0</v>
      </c>
      <c r="W127" s="124">
        <v>0</v>
      </c>
      <c r="X127" s="126">
        <v>1</v>
      </c>
      <c r="Y127" s="126">
        <v>0</v>
      </c>
      <c r="Z127" s="126">
        <v>0</v>
      </c>
      <c r="AC127" s="125">
        <v>0</v>
      </c>
      <c r="AD127" s="124">
        <v>0</v>
      </c>
    </row>
    <row r="128" spans="1:30">
      <c r="A128" s="127" t="s">
        <v>1104</v>
      </c>
      <c r="B128" s="127" t="s">
        <v>1535</v>
      </c>
      <c r="C128" s="127" t="s">
        <v>1085</v>
      </c>
      <c r="D128" s="127" t="s">
        <v>1325</v>
      </c>
      <c r="E128" s="127" t="s">
        <v>1294</v>
      </c>
      <c r="F128" s="127" t="s">
        <v>1296</v>
      </c>
      <c r="G128" s="127" t="s">
        <v>1535</v>
      </c>
      <c r="M128" s="127" t="s">
        <v>1671</v>
      </c>
      <c r="N128" s="127" t="s">
        <v>1406</v>
      </c>
      <c r="O128" s="123">
        <v>44319</v>
      </c>
      <c r="P128" s="123">
        <v>44498</v>
      </c>
      <c r="Q128" s="123">
        <v>44361</v>
      </c>
      <c r="R128" s="123">
        <v>44367</v>
      </c>
      <c r="S128" s="124">
        <v>24</v>
      </c>
      <c r="T128" s="124">
        <v>24</v>
      </c>
      <c r="U128" s="124">
        <v>5</v>
      </c>
      <c r="V128" s="125">
        <v>0</v>
      </c>
      <c r="W128" s="124">
        <v>0</v>
      </c>
      <c r="X128" s="126">
        <v>1</v>
      </c>
      <c r="Y128" s="126">
        <v>0</v>
      </c>
      <c r="Z128" s="126">
        <v>0</v>
      </c>
      <c r="AC128" s="125">
        <v>0</v>
      </c>
      <c r="AD128" s="124">
        <v>0</v>
      </c>
    </row>
    <row r="129" spans="1:30">
      <c r="A129" s="127" t="s">
        <v>1104</v>
      </c>
      <c r="B129" s="127" t="s">
        <v>1535</v>
      </c>
      <c r="C129" s="127" t="s">
        <v>1085</v>
      </c>
      <c r="D129" s="127" t="s">
        <v>1325</v>
      </c>
      <c r="E129" s="127" t="s">
        <v>1294</v>
      </c>
      <c r="F129" s="127" t="s">
        <v>1296</v>
      </c>
      <c r="G129" s="127" t="s">
        <v>1535</v>
      </c>
      <c r="M129" s="127" t="s">
        <v>1671</v>
      </c>
      <c r="N129" s="127" t="s">
        <v>1406</v>
      </c>
      <c r="O129" s="123">
        <v>44319</v>
      </c>
      <c r="P129" s="123">
        <v>44498</v>
      </c>
      <c r="Q129" s="123">
        <v>44368</v>
      </c>
      <c r="R129" s="123">
        <v>44374</v>
      </c>
      <c r="S129" s="124">
        <v>25</v>
      </c>
      <c r="T129" s="124">
        <v>25</v>
      </c>
      <c r="U129" s="124">
        <v>5</v>
      </c>
      <c r="V129" s="125">
        <v>0</v>
      </c>
      <c r="W129" s="124">
        <v>0</v>
      </c>
      <c r="X129" s="126">
        <v>1</v>
      </c>
      <c r="Y129" s="126">
        <v>0</v>
      </c>
      <c r="Z129" s="126">
        <v>0</v>
      </c>
      <c r="AC129" s="125">
        <v>0</v>
      </c>
      <c r="AD129" s="124">
        <v>0</v>
      </c>
    </row>
    <row r="130" spans="1:30">
      <c r="A130" s="127" t="s">
        <v>1104</v>
      </c>
      <c r="B130" s="127" t="s">
        <v>1535</v>
      </c>
      <c r="C130" s="127" t="s">
        <v>1085</v>
      </c>
      <c r="D130" s="127" t="s">
        <v>1325</v>
      </c>
      <c r="E130" s="127" t="s">
        <v>1294</v>
      </c>
      <c r="F130" s="127" t="s">
        <v>1296</v>
      </c>
      <c r="G130" s="127" t="s">
        <v>1535</v>
      </c>
      <c r="M130" s="127" t="s">
        <v>1671</v>
      </c>
      <c r="N130" s="127" t="s">
        <v>1406</v>
      </c>
      <c r="O130" s="123">
        <v>44319</v>
      </c>
      <c r="P130" s="123">
        <v>44498</v>
      </c>
      <c r="Q130" s="123">
        <v>44375</v>
      </c>
      <c r="R130" s="123">
        <v>44381</v>
      </c>
      <c r="S130" s="124">
        <v>26</v>
      </c>
      <c r="T130" s="124">
        <v>26</v>
      </c>
      <c r="U130" s="124">
        <v>5</v>
      </c>
      <c r="V130" s="125">
        <v>0</v>
      </c>
      <c r="W130" s="124">
        <v>0</v>
      </c>
      <c r="X130" s="126">
        <v>1</v>
      </c>
      <c r="Y130" s="126">
        <v>0</v>
      </c>
      <c r="Z130" s="126">
        <v>0</v>
      </c>
      <c r="AC130" s="125">
        <v>0</v>
      </c>
      <c r="AD130" s="124">
        <v>0</v>
      </c>
    </row>
    <row r="131" spans="1:30">
      <c r="A131" s="127" t="s">
        <v>1104</v>
      </c>
      <c r="B131" s="127" t="s">
        <v>1535</v>
      </c>
      <c r="C131" s="127" t="s">
        <v>1085</v>
      </c>
      <c r="D131" s="127" t="s">
        <v>1325</v>
      </c>
      <c r="E131" s="127" t="s">
        <v>1294</v>
      </c>
      <c r="F131" s="127" t="s">
        <v>1296</v>
      </c>
      <c r="G131" s="127" t="s">
        <v>1535</v>
      </c>
      <c r="M131" s="127" t="s">
        <v>1671</v>
      </c>
      <c r="N131" s="127" t="s">
        <v>1406</v>
      </c>
      <c r="O131" s="123">
        <v>44319</v>
      </c>
      <c r="P131" s="123">
        <v>44498</v>
      </c>
      <c r="Q131" s="123">
        <v>44382</v>
      </c>
      <c r="R131" s="123">
        <v>44388</v>
      </c>
      <c r="S131" s="124">
        <v>27</v>
      </c>
      <c r="T131" s="124">
        <v>27</v>
      </c>
      <c r="U131" s="124">
        <v>5</v>
      </c>
      <c r="V131" s="125">
        <v>0</v>
      </c>
      <c r="W131" s="124">
        <v>0</v>
      </c>
      <c r="X131" s="126">
        <v>1</v>
      </c>
      <c r="Y131" s="126">
        <v>0</v>
      </c>
      <c r="Z131" s="126">
        <v>0</v>
      </c>
      <c r="AC131" s="125">
        <v>0</v>
      </c>
      <c r="AD131" s="124">
        <v>0</v>
      </c>
    </row>
    <row r="132" spans="1:30">
      <c r="A132" s="127" t="s">
        <v>1104</v>
      </c>
      <c r="B132" s="127" t="s">
        <v>1535</v>
      </c>
      <c r="C132" s="127" t="s">
        <v>1085</v>
      </c>
      <c r="D132" s="127" t="s">
        <v>1325</v>
      </c>
      <c r="E132" s="127" t="s">
        <v>1294</v>
      </c>
      <c r="F132" s="127" t="s">
        <v>1296</v>
      </c>
      <c r="G132" s="127" t="s">
        <v>1535</v>
      </c>
      <c r="M132" s="127" t="s">
        <v>1671</v>
      </c>
      <c r="N132" s="127" t="s">
        <v>1406</v>
      </c>
      <c r="O132" s="123">
        <v>44319</v>
      </c>
      <c r="P132" s="123">
        <v>44498</v>
      </c>
      <c r="Q132" s="123">
        <v>44389</v>
      </c>
      <c r="R132" s="123">
        <v>44395</v>
      </c>
      <c r="S132" s="124">
        <v>28</v>
      </c>
      <c r="T132" s="124">
        <v>28</v>
      </c>
      <c r="U132" s="124">
        <v>5</v>
      </c>
      <c r="V132" s="125">
        <v>0</v>
      </c>
      <c r="W132" s="124">
        <v>0</v>
      </c>
      <c r="X132" s="126">
        <v>1</v>
      </c>
      <c r="Y132" s="126">
        <v>0</v>
      </c>
      <c r="Z132" s="126">
        <v>0</v>
      </c>
      <c r="AC132" s="125">
        <v>0</v>
      </c>
      <c r="AD132" s="124">
        <v>0</v>
      </c>
    </row>
    <row r="133" spans="1:30">
      <c r="A133" s="127" t="s">
        <v>1104</v>
      </c>
      <c r="B133" s="127" t="s">
        <v>1535</v>
      </c>
      <c r="C133" s="127" t="s">
        <v>1085</v>
      </c>
      <c r="D133" s="127" t="s">
        <v>1325</v>
      </c>
      <c r="E133" s="127" t="s">
        <v>1294</v>
      </c>
      <c r="F133" s="127" t="s">
        <v>1296</v>
      </c>
      <c r="G133" s="127" t="s">
        <v>1535</v>
      </c>
      <c r="M133" s="127" t="s">
        <v>1671</v>
      </c>
      <c r="N133" s="127" t="s">
        <v>1406</v>
      </c>
      <c r="O133" s="123">
        <v>44319</v>
      </c>
      <c r="P133" s="123">
        <v>44498</v>
      </c>
      <c r="Q133" s="123">
        <v>44396</v>
      </c>
      <c r="R133" s="123">
        <v>44402</v>
      </c>
      <c r="S133" s="124">
        <v>29</v>
      </c>
      <c r="T133" s="124">
        <v>29</v>
      </c>
      <c r="U133" s="124">
        <v>5</v>
      </c>
      <c r="V133" s="125">
        <v>0</v>
      </c>
      <c r="W133" s="124">
        <v>0</v>
      </c>
      <c r="X133" s="126">
        <v>1</v>
      </c>
      <c r="Y133" s="126">
        <v>0</v>
      </c>
      <c r="Z133" s="126">
        <v>0</v>
      </c>
      <c r="AC133" s="125">
        <v>0</v>
      </c>
      <c r="AD133" s="124">
        <v>0</v>
      </c>
    </row>
    <row r="134" spans="1:30">
      <c r="A134" s="127" t="s">
        <v>1104</v>
      </c>
      <c r="B134" s="127" t="s">
        <v>1535</v>
      </c>
      <c r="C134" s="127" t="s">
        <v>1085</v>
      </c>
      <c r="D134" s="127" t="s">
        <v>1325</v>
      </c>
      <c r="E134" s="127" t="s">
        <v>1294</v>
      </c>
      <c r="F134" s="127" t="s">
        <v>1296</v>
      </c>
      <c r="G134" s="127" t="s">
        <v>1535</v>
      </c>
      <c r="M134" s="127" t="s">
        <v>1671</v>
      </c>
      <c r="N134" s="127" t="s">
        <v>1406</v>
      </c>
      <c r="O134" s="123">
        <v>44319</v>
      </c>
      <c r="P134" s="123">
        <v>44498</v>
      </c>
      <c r="Q134" s="123">
        <v>44403</v>
      </c>
      <c r="R134" s="123">
        <v>44409</v>
      </c>
      <c r="S134" s="124">
        <v>30</v>
      </c>
      <c r="T134" s="124">
        <v>30</v>
      </c>
      <c r="U134" s="124">
        <v>5</v>
      </c>
      <c r="V134" s="125">
        <v>0</v>
      </c>
      <c r="W134" s="124">
        <v>0</v>
      </c>
      <c r="X134" s="126">
        <v>1</v>
      </c>
      <c r="Y134" s="126">
        <v>0</v>
      </c>
      <c r="Z134" s="126">
        <v>0</v>
      </c>
      <c r="AC134" s="125">
        <v>0</v>
      </c>
      <c r="AD134" s="124">
        <v>0</v>
      </c>
    </row>
    <row r="135" spans="1:30">
      <c r="A135" s="127" t="s">
        <v>1104</v>
      </c>
      <c r="B135" s="127" t="s">
        <v>1535</v>
      </c>
      <c r="C135" s="127" t="s">
        <v>1085</v>
      </c>
      <c r="D135" s="127" t="s">
        <v>1325</v>
      </c>
      <c r="E135" s="127" t="s">
        <v>1294</v>
      </c>
      <c r="F135" s="127" t="s">
        <v>1296</v>
      </c>
      <c r="G135" s="127" t="s">
        <v>1535</v>
      </c>
      <c r="M135" s="127" t="s">
        <v>1671</v>
      </c>
      <c r="N135" s="127" t="s">
        <v>1406</v>
      </c>
      <c r="O135" s="123">
        <v>44319</v>
      </c>
      <c r="P135" s="123">
        <v>44498</v>
      </c>
      <c r="Q135" s="123">
        <v>44410</v>
      </c>
      <c r="R135" s="123">
        <v>44416</v>
      </c>
      <c r="S135" s="124">
        <v>31</v>
      </c>
      <c r="T135" s="124">
        <v>31</v>
      </c>
      <c r="U135" s="124">
        <v>5</v>
      </c>
      <c r="V135" s="125">
        <v>0</v>
      </c>
      <c r="W135" s="124">
        <v>0</v>
      </c>
      <c r="X135" s="126">
        <v>1</v>
      </c>
      <c r="Y135" s="126">
        <v>0</v>
      </c>
      <c r="Z135" s="126">
        <v>0</v>
      </c>
      <c r="AC135" s="125">
        <v>0</v>
      </c>
      <c r="AD135" s="124">
        <v>0</v>
      </c>
    </row>
    <row r="136" spans="1:30">
      <c r="A136" s="127" t="s">
        <v>1104</v>
      </c>
      <c r="B136" s="127" t="s">
        <v>1535</v>
      </c>
      <c r="C136" s="127" t="s">
        <v>1085</v>
      </c>
      <c r="D136" s="127" t="s">
        <v>1325</v>
      </c>
      <c r="E136" s="127" t="s">
        <v>1294</v>
      </c>
      <c r="F136" s="127" t="s">
        <v>1296</v>
      </c>
      <c r="G136" s="127" t="s">
        <v>1535</v>
      </c>
      <c r="M136" s="127" t="s">
        <v>1671</v>
      </c>
      <c r="N136" s="127" t="s">
        <v>1406</v>
      </c>
      <c r="O136" s="123">
        <v>44319</v>
      </c>
      <c r="P136" s="123">
        <v>44498</v>
      </c>
      <c r="Q136" s="123">
        <v>44417</v>
      </c>
      <c r="R136" s="123">
        <v>44423</v>
      </c>
      <c r="S136" s="124">
        <v>32</v>
      </c>
      <c r="T136" s="124">
        <v>32</v>
      </c>
      <c r="U136" s="124">
        <v>5</v>
      </c>
      <c r="V136" s="125">
        <v>0</v>
      </c>
      <c r="W136" s="124">
        <v>0</v>
      </c>
      <c r="X136" s="126">
        <v>1</v>
      </c>
      <c r="Y136" s="126">
        <v>0</v>
      </c>
      <c r="Z136" s="126">
        <v>0</v>
      </c>
      <c r="AC136" s="125">
        <v>0</v>
      </c>
      <c r="AD136" s="124">
        <v>0</v>
      </c>
    </row>
    <row r="137" spans="1:30">
      <c r="A137" s="127" t="s">
        <v>1104</v>
      </c>
      <c r="B137" s="127" t="s">
        <v>1535</v>
      </c>
      <c r="C137" s="127" t="s">
        <v>1085</v>
      </c>
      <c r="D137" s="127" t="s">
        <v>1325</v>
      </c>
      <c r="E137" s="127" t="s">
        <v>1294</v>
      </c>
      <c r="F137" s="127" t="s">
        <v>1296</v>
      </c>
      <c r="G137" s="127" t="s">
        <v>1535</v>
      </c>
      <c r="M137" s="127" t="s">
        <v>1671</v>
      </c>
      <c r="N137" s="127" t="s">
        <v>1406</v>
      </c>
      <c r="O137" s="123">
        <v>44319</v>
      </c>
      <c r="P137" s="123">
        <v>44498</v>
      </c>
      <c r="Q137" s="123">
        <v>44424</v>
      </c>
      <c r="R137" s="123">
        <v>44430</v>
      </c>
      <c r="S137" s="124">
        <v>33</v>
      </c>
      <c r="T137" s="124">
        <v>33</v>
      </c>
      <c r="U137" s="124">
        <v>5</v>
      </c>
      <c r="V137" s="125">
        <v>0</v>
      </c>
      <c r="W137" s="124">
        <v>0</v>
      </c>
      <c r="X137" s="126">
        <v>1</v>
      </c>
      <c r="Y137" s="126">
        <v>0</v>
      </c>
      <c r="Z137" s="126">
        <v>0</v>
      </c>
      <c r="AC137" s="125">
        <v>0</v>
      </c>
      <c r="AD137" s="124">
        <v>0</v>
      </c>
    </row>
    <row r="138" spans="1:30">
      <c r="A138" s="127" t="s">
        <v>1104</v>
      </c>
      <c r="B138" s="127" t="s">
        <v>1535</v>
      </c>
      <c r="C138" s="127" t="s">
        <v>1085</v>
      </c>
      <c r="D138" s="127" t="s">
        <v>1325</v>
      </c>
      <c r="E138" s="127" t="s">
        <v>1294</v>
      </c>
      <c r="F138" s="127" t="s">
        <v>1296</v>
      </c>
      <c r="G138" s="127" t="s">
        <v>1535</v>
      </c>
      <c r="M138" s="127" t="s">
        <v>1671</v>
      </c>
      <c r="N138" s="127" t="s">
        <v>1406</v>
      </c>
      <c r="O138" s="123">
        <v>44319</v>
      </c>
      <c r="P138" s="123">
        <v>44498</v>
      </c>
      <c r="Q138" s="123">
        <v>44431</v>
      </c>
      <c r="R138" s="123">
        <v>44437</v>
      </c>
      <c r="S138" s="124">
        <v>34</v>
      </c>
      <c r="T138" s="124">
        <v>34</v>
      </c>
      <c r="U138" s="124">
        <v>5</v>
      </c>
      <c r="V138" s="125">
        <v>0</v>
      </c>
      <c r="W138" s="124">
        <v>0</v>
      </c>
      <c r="X138" s="126">
        <v>1</v>
      </c>
      <c r="Y138" s="126">
        <v>0</v>
      </c>
      <c r="Z138" s="126">
        <v>0</v>
      </c>
      <c r="AC138" s="125">
        <v>0</v>
      </c>
      <c r="AD138" s="124">
        <v>0</v>
      </c>
    </row>
    <row r="139" spans="1:30">
      <c r="A139" s="127" t="s">
        <v>1104</v>
      </c>
      <c r="B139" s="127" t="s">
        <v>1535</v>
      </c>
      <c r="C139" s="127" t="s">
        <v>1085</v>
      </c>
      <c r="D139" s="127" t="s">
        <v>1325</v>
      </c>
      <c r="E139" s="127" t="s">
        <v>1294</v>
      </c>
      <c r="F139" s="127" t="s">
        <v>1296</v>
      </c>
      <c r="G139" s="127" t="s">
        <v>1535</v>
      </c>
      <c r="M139" s="127" t="s">
        <v>1671</v>
      </c>
      <c r="N139" s="127" t="s">
        <v>1406</v>
      </c>
      <c r="O139" s="123">
        <v>44319</v>
      </c>
      <c r="P139" s="123">
        <v>44498</v>
      </c>
      <c r="Q139" s="123">
        <v>44438</v>
      </c>
      <c r="R139" s="123">
        <v>44444</v>
      </c>
      <c r="S139" s="124">
        <v>35</v>
      </c>
      <c r="T139" s="124">
        <v>35</v>
      </c>
      <c r="U139" s="124">
        <v>5</v>
      </c>
      <c r="V139" s="125">
        <v>0</v>
      </c>
      <c r="W139" s="124">
        <v>0</v>
      </c>
      <c r="X139" s="126">
        <v>1</v>
      </c>
      <c r="Y139" s="126">
        <v>0</v>
      </c>
      <c r="Z139" s="126">
        <v>0</v>
      </c>
      <c r="AC139" s="125">
        <v>0</v>
      </c>
      <c r="AD139" s="124">
        <v>0</v>
      </c>
    </row>
    <row r="140" spans="1:30">
      <c r="A140" s="127" t="s">
        <v>1104</v>
      </c>
      <c r="B140" s="127" t="s">
        <v>1535</v>
      </c>
      <c r="C140" s="127" t="s">
        <v>1085</v>
      </c>
      <c r="D140" s="127" t="s">
        <v>1325</v>
      </c>
      <c r="E140" s="127" t="s">
        <v>1294</v>
      </c>
      <c r="F140" s="127" t="s">
        <v>1296</v>
      </c>
      <c r="G140" s="127" t="s">
        <v>1535</v>
      </c>
      <c r="M140" s="127" t="s">
        <v>1671</v>
      </c>
      <c r="N140" s="127" t="s">
        <v>1406</v>
      </c>
      <c r="O140" s="123">
        <v>44319</v>
      </c>
      <c r="P140" s="123">
        <v>44498</v>
      </c>
      <c r="Q140" s="123">
        <v>44445</v>
      </c>
      <c r="R140" s="123">
        <v>44451</v>
      </c>
      <c r="S140" s="124">
        <v>36</v>
      </c>
      <c r="T140" s="124">
        <v>36</v>
      </c>
      <c r="U140" s="124">
        <v>5</v>
      </c>
      <c r="V140" s="125">
        <v>0</v>
      </c>
      <c r="W140" s="124">
        <v>0</v>
      </c>
      <c r="X140" s="126">
        <v>1</v>
      </c>
      <c r="Y140" s="126">
        <v>0</v>
      </c>
      <c r="Z140" s="126">
        <v>0</v>
      </c>
      <c r="AC140" s="125">
        <v>0</v>
      </c>
      <c r="AD140" s="124">
        <v>0</v>
      </c>
    </row>
    <row r="141" spans="1:30">
      <c r="A141" s="127" t="s">
        <v>1104</v>
      </c>
      <c r="B141" s="127" t="s">
        <v>1535</v>
      </c>
      <c r="C141" s="127" t="s">
        <v>1085</v>
      </c>
      <c r="D141" s="127" t="s">
        <v>1325</v>
      </c>
      <c r="E141" s="127" t="s">
        <v>1294</v>
      </c>
      <c r="F141" s="127" t="s">
        <v>1296</v>
      </c>
      <c r="G141" s="127" t="s">
        <v>1535</v>
      </c>
      <c r="M141" s="127" t="s">
        <v>1671</v>
      </c>
      <c r="N141" s="127" t="s">
        <v>1406</v>
      </c>
      <c r="O141" s="123">
        <v>44319</v>
      </c>
      <c r="P141" s="123">
        <v>44498</v>
      </c>
      <c r="Q141" s="123">
        <v>44452</v>
      </c>
      <c r="R141" s="123">
        <v>44458</v>
      </c>
      <c r="S141" s="124">
        <v>37</v>
      </c>
      <c r="T141" s="124">
        <v>37</v>
      </c>
      <c r="U141" s="124">
        <v>5</v>
      </c>
      <c r="V141" s="125">
        <v>0</v>
      </c>
      <c r="W141" s="124">
        <v>0</v>
      </c>
      <c r="X141" s="126">
        <v>1</v>
      </c>
      <c r="Y141" s="126">
        <v>0</v>
      </c>
      <c r="Z141" s="126">
        <v>0</v>
      </c>
      <c r="AC141" s="125">
        <v>0</v>
      </c>
      <c r="AD141" s="124">
        <v>0</v>
      </c>
    </row>
    <row r="142" spans="1:30">
      <c r="A142" s="127" t="s">
        <v>1104</v>
      </c>
      <c r="B142" s="127" t="s">
        <v>1535</v>
      </c>
      <c r="C142" s="127" t="s">
        <v>1085</v>
      </c>
      <c r="D142" s="127" t="s">
        <v>1325</v>
      </c>
      <c r="E142" s="127" t="s">
        <v>1294</v>
      </c>
      <c r="F142" s="127" t="s">
        <v>1296</v>
      </c>
      <c r="G142" s="127" t="s">
        <v>1535</v>
      </c>
      <c r="M142" s="127" t="s">
        <v>1671</v>
      </c>
      <c r="N142" s="127" t="s">
        <v>1406</v>
      </c>
      <c r="O142" s="123">
        <v>44319</v>
      </c>
      <c r="P142" s="123">
        <v>44498</v>
      </c>
      <c r="Q142" s="123">
        <v>44459</v>
      </c>
      <c r="R142" s="123">
        <v>44465</v>
      </c>
      <c r="S142" s="124">
        <v>38</v>
      </c>
      <c r="T142" s="124">
        <v>38</v>
      </c>
      <c r="U142" s="124">
        <v>2</v>
      </c>
      <c r="V142" s="125">
        <v>0</v>
      </c>
      <c r="W142" s="124">
        <v>0</v>
      </c>
      <c r="X142" s="126">
        <v>1</v>
      </c>
      <c r="Y142" s="126">
        <v>0</v>
      </c>
      <c r="Z142" s="126">
        <v>0</v>
      </c>
      <c r="AC142" s="125">
        <v>0</v>
      </c>
      <c r="AD142" s="124">
        <v>0</v>
      </c>
    </row>
    <row r="143" spans="1:30">
      <c r="A143" s="127" t="s">
        <v>1104</v>
      </c>
      <c r="B143" s="127" t="s">
        <v>1535</v>
      </c>
      <c r="C143" s="127" t="s">
        <v>1085</v>
      </c>
      <c r="D143" s="127" t="s">
        <v>1325</v>
      </c>
      <c r="E143" s="127" t="s">
        <v>1294</v>
      </c>
      <c r="F143" s="127" t="s">
        <v>1296</v>
      </c>
      <c r="G143" s="127" t="s">
        <v>1535</v>
      </c>
      <c r="M143" s="127" t="s">
        <v>1671</v>
      </c>
      <c r="N143" s="127" t="s">
        <v>1406</v>
      </c>
      <c r="O143" s="123">
        <v>44319</v>
      </c>
      <c r="P143" s="123">
        <v>44498</v>
      </c>
      <c r="Q143" s="123">
        <v>44466</v>
      </c>
      <c r="R143" s="123">
        <v>44472</v>
      </c>
      <c r="S143" s="124">
        <v>39</v>
      </c>
      <c r="T143" s="124">
        <v>39</v>
      </c>
      <c r="U143" s="124">
        <v>5</v>
      </c>
      <c r="V143" s="125">
        <v>0</v>
      </c>
      <c r="W143" s="124">
        <v>0</v>
      </c>
      <c r="X143" s="126">
        <v>1</v>
      </c>
      <c r="Y143" s="126">
        <v>0</v>
      </c>
      <c r="Z143" s="126">
        <v>0</v>
      </c>
      <c r="AC143" s="125">
        <v>0</v>
      </c>
      <c r="AD143" s="124">
        <v>0</v>
      </c>
    </row>
    <row r="144" spans="1:30">
      <c r="A144" s="127" t="s">
        <v>1104</v>
      </c>
      <c r="B144" s="127" t="s">
        <v>1535</v>
      </c>
      <c r="C144" s="127" t="s">
        <v>1085</v>
      </c>
      <c r="D144" s="127" t="s">
        <v>1325</v>
      </c>
      <c r="E144" s="127" t="s">
        <v>1294</v>
      </c>
      <c r="F144" s="127" t="s">
        <v>1296</v>
      </c>
      <c r="G144" s="127" t="s">
        <v>1535</v>
      </c>
      <c r="M144" s="127" t="s">
        <v>1671</v>
      </c>
      <c r="N144" s="127" t="s">
        <v>1406</v>
      </c>
      <c r="O144" s="123">
        <v>44319</v>
      </c>
      <c r="P144" s="123">
        <v>44498</v>
      </c>
      <c r="Q144" s="123">
        <v>44473</v>
      </c>
      <c r="R144" s="123">
        <v>44479</v>
      </c>
      <c r="S144" s="124">
        <v>40</v>
      </c>
      <c r="T144" s="124">
        <v>40</v>
      </c>
      <c r="U144" s="124">
        <v>5</v>
      </c>
      <c r="V144" s="125">
        <v>0</v>
      </c>
      <c r="W144" s="124">
        <v>0</v>
      </c>
      <c r="X144" s="126">
        <v>1</v>
      </c>
      <c r="Y144" s="126">
        <v>0</v>
      </c>
      <c r="Z144" s="126">
        <v>0</v>
      </c>
      <c r="AC144" s="125">
        <v>0</v>
      </c>
      <c r="AD144" s="124">
        <v>0</v>
      </c>
    </row>
    <row r="145" spans="1:30">
      <c r="A145" s="127" t="s">
        <v>1104</v>
      </c>
      <c r="B145" s="127" t="s">
        <v>1535</v>
      </c>
      <c r="C145" s="127" t="s">
        <v>1085</v>
      </c>
      <c r="D145" s="127" t="s">
        <v>1325</v>
      </c>
      <c r="E145" s="127" t="s">
        <v>1294</v>
      </c>
      <c r="F145" s="127" t="s">
        <v>1296</v>
      </c>
      <c r="G145" s="127" t="s">
        <v>1535</v>
      </c>
      <c r="M145" s="127" t="s">
        <v>1671</v>
      </c>
      <c r="N145" s="127" t="s">
        <v>1406</v>
      </c>
      <c r="O145" s="123">
        <v>44319</v>
      </c>
      <c r="P145" s="123">
        <v>44498</v>
      </c>
      <c r="Q145" s="123">
        <v>44480</v>
      </c>
      <c r="R145" s="123">
        <v>44486</v>
      </c>
      <c r="S145" s="124">
        <v>41</v>
      </c>
      <c r="T145" s="124">
        <v>41</v>
      </c>
      <c r="U145" s="124">
        <v>5</v>
      </c>
      <c r="V145" s="125">
        <v>0</v>
      </c>
      <c r="W145" s="124">
        <v>0</v>
      </c>
      <c r="X145" s="126">
        <v>1</v>
      </c>
      <c r="Y145" s="126">
        <v>0</v>
      </c>
      <c r="Z145" s="126">
        <v>0</v>
      </c>
      <c r="AC145" s="125">
        <v>0</v>
      </c>
      <c r="AD145" s="124">
        <v>0</v>
      </c>
    </row>
    <row r="146" spans="1:30">
      <c r="A146" s="127" t="s">
        <v>1104</v>
      </c>
      <c r="B146" s="127" t="s">
        <v>1535</v>
      </c>
      <c r="C146" s="127" t="s">
        <v>1085</v>
      </c>
      <c r="D146" s="127" t="s">
        <v>1325</v>
      </c>
      <c r="E146" s="127" t="s">
        <v>1294</v>
      </c>
      <c r="F146" s="127" t="s">
        <v>1296</v>
      </c>
      <c r="G146" s="127" t="s">
        <v>1535</v>
      </c>
      <c r="M146" s="127" t="s">
        <v>1671</v>
      </c>
      <c r="N146" s="127" t="s">
        <v>1406</v>
      </c>
      <c r="O146" s="123">
        <v>44319</v>
      </c>
      <c r="P146" s="123">
        <v>44498</v>
      </c>
      <c r="Q146" s="123">
        <v>44487</v>
      </c>
      <c r="R146" s="123">
        <v>44493</v>
      </c>
      <c r="S146" s="124">
        <v>42</v>
      </c>
      <c r="T146" s="124">
        <v>42</v>
      </c>
      <c r="U146" s="124">
        <v>5</v>
      </c>
      <c r="V146" s="125">
        <v>0</v>
      </c>
      <c r="W146" s="124">
        <v>0</v>
      </c>
      <c r="X146" s="126">
        <v>1</v>
      </c>
      <c r="Y146" s="126">
        <v>0</v>
      </c>
      <c r="Z146" s="126">
        <v>0</v>
      </c>
      <c r="AC146" s="125">
        <v>0</v>
      </c>
      <c r="AD146" s="124">
        <v>0</v>
      </c>
    </row>
    <row r="147" spans="1:30">
      <c r="A147" s="127" t="s">
        <v>1104</v>
      </c>
      <c r="B147" s="127" t="s">
        <v>1535</v>
      </c>
      <c r="C147" s="127" t="s">
        <v>1085</v>
      </c>
      <c r="D147" s="127" t="s">
        <v>1325</v>
      </c>
      <c r="E147" s="127" t="s">
        <v>1294</v>
      </c>
      <c r="F147" s="127" t="s">
        <v>1296</v>
      </c>
      <c r="G147" s="127" t="s">
        <v>1535</v>
      </c>
      <c r="M147" s="127" t="s">
        <v>1671</v>
      </c>
      <c r="N147" s="127" t="s">
        <v>1406</v>
      </c>
      <c r="O147" s="123">
        <v>44319</v>
      </c>
      <c r="P147" s="123">
        <v>44498</v>
      </c>
      <c r="Q147" s="123">
        <v>44494</v>
      </c>
      <c r="R147" s="123">
        <v>44500</v>
      </c>
      <c r="S147" s="124">
        <v>43</v>
      </c>
      <c r="T147" s="124">
        <v>43</v>
      </c>
      <c r="U147" s="124">
        <v>5</v>
      </c>
      <c r="V147" s="125">
        <v>0</v>
      </c>
      <c r="W147" s="124">
        <v>0</v>
      </c>
      <c r="X147" s="126">
        <v>1</v>
      </c>
      <c r="Y147" s="126">
        <v>0</v>
      </c>
      <c r="Z147" s="126">
        <v>0</v>
      </c>
      <c r="AC147" s="125">
        <v>0</v>
      </c>
      <c r="AD147" s="124">
        <v>0</v>
      </c>
    </row>
    <row r="148" spans="1:30">
      <c r="A148" s="127" t="s">
        <v>1104</v>
      </c>
      <c r="B148" s="127" t="s">
        <v>1536</v>
      </c>
      <c r="C148" s="127" t="s">
        <v>1085</v>
      </c>
      <c r="D148" s="127" t="s">
        <v>1325</v>
      </c>
      <c r="E148" s="127" t="s">
        <v>1294</v>
      </c>
      <c r="F148" s="127" t="s">
        <v>1296</v>
      </c>
      <c r="G148" s="127" t="s">
        <v>1536</v>
      </c>
      <c r="M148" s="127" t="s">
        <v>1674</v>
      </c>
      <c r="N148" s="127" t="s">
        <v>1406</v>
      </c>
      <c r="O148" s="123">
        <v>44319</v>
      </c>
      <c r="P148" s="123">
        <v>44498</v>
      </c>
      <c r="Q148" s="123">
        <v>44319</v>
      </c>
      <c r="R148" s="123">
        <v>44325</v>
      </c>
      <c r="S148" s="124">
        <v>18</v>
      </c>
      <c r="T148" s="124">
        <v>18</v>
      </c>
      <c r="U148" s="124">
        <v>4</v>
      </c>
      <c r="V148" s="125">
        <v>0</v>
      </c>
      <c r="W148" s="124">
        <v>0</v>
      </c>
      <c r="X148" s="126">
        <v>1</v>
      </c>
      <c r="Y148" s="126">
        <v>0</v>
      </c>
      <c r="Z148" s="126">
        <v>0</v>
      </c>
      <c r="AC148" s="125">
        <v>0</v>
      </c>
      <c r="AD148" s="124">
        <v>0</v>
      </c>
    </row>
    <row r="149" spans="1:30">
      <c r="A149" s="127" t="s">
        <v>1104</v>
      </c>
      <c r="B149" s="127" t="s">
        <v>1536</v>
      </c>
      <c r="C149" s="127" t="s">
        <v>1085</v>
      </c>
      <c r="D149" s="127" t="s">
        <v>1325</v>
      </c>
      <c r="E149" s="127" t="s">
        <v>1294</v>
      </c>
      <c r="F149" s="127" t="s">
        <v>1296</v>
      </c>
      <c r="G149" s="127" t="s">
        <v>1536</v>
      </c>
      <c r="M149" s="127" t="s">
        <v>1674</v>
      </c>
      <c r="N149" s="127" t="s">
        <v>1406</v>
      </c>
      <c r="O149" s="123">
        <v>44319</v>
      </c>
      <c r="P149" s="123">
        <v>44498</v>
      </c>
      <c r="Q149" s="123">
        <v>44326</v>
      </c>
      <c r="R149" s="123">
        <v>44332</v>
      </c>
      <c r="S149" s="124">
        <v>19</v>
      </c>
      <c r="T149" s="124">
        <v>19</v>
      </c>
      <c r="U149" s="124">
        <v>5</v>
      </c>
      <c r="V149" s="125">
        <v>0</v>
      </c>
      <c r="W149" s="124">
        <v>0</v>
      </c>
      <c r="X149" s="126">
        <v>1</v>
      </c>
      <c r="Y149" s="126">
        <v>0</v>
      </c>
      <c r="Z149" s="126">
        <v>0</v>
      </c>
      <c r="AC149" s="125">
        <v>0</v>
      </c>
      <c r="AD149" s="124">
        <v>0</v>
      </c>
    </row>
    <row r="150" spans="1:30">
      <c r="A150" s="127" t="s">
        <v>1104</v>
      </c>
      <c r="B150" s="127" t="s">
        <v>1536</v>
      </c>
      <c r="C150" s="127" t="s">
        <v>1085</v>
      </c>
      <c r="D150" s="127" t="s">
        <v>1325</v>
      </c>
      <c r="E150" s="127" t="s">
        <v>1294</v>
      </c>
      <c r="F150" s="127" t="s">
        <v>1296</v>
      </c>
      <c r="G150" s="127" t="s">
        <v>1536</v>
      </c>
      <c r="M150" s="127" t="s">
        <v>1674</v>
      </c>
      <c r="N150" s="127" t="s">
        <v>1406</v>
      </c>
      <c r="O150" s="123">
        <v>44319</v>
      </c>
      <c r="P150" s="123">
        <v>44498</v>
      </c>
      <c r="Q150" s="123">
        <v>44333</v>
      </c>
      <c r="R150" s="123">
        <v>44339</v>
      </c>
      <c r="S150" s="124">
        <v>20</v>
      </c>
      <c r="T150" s="124">
        <v>20</v>
      </c>
      <c r="U150" s="124">
        <v>4</v>
      </c>
      <c r="V150" s="125">
        <v>0</v>
      </c>
      <c r="W150" s="124">
        <v>0</v>
      </c>
      <c r="X150" s="126">
        <v>1</v>
      </c>
      <c r="Y150" s="126">
        <v>0</v>
      </c>
      <c r="Z150" s="126">
        <v>0</v>
      </c>
      <c r="AC150" s="125">
        <v>0</v>
      </c>
      <c r="AD150" s="124">
        <v>0</v>
      </c>
    </row>
    <row r="151" spans="1:30">
      <c r="A151" s="127" t="s">
        <v>1104</v>
      </c>
      <c r="B151" s="127" t="s">
        <v>1536</v>
      </c>
      <c r="C151" s="127" t="s">
        <v>1085</v>
      </c>
      <c r="D151" s="127" t="s">
        <v>1325</v>
      </c>
      <c r="E151" s="127" t="s">
        <v>1294</v>
      </c>
      <c r="F151" s="127" t="s">
        <v>1296</v>
      </c>
      <c r="G151" s="127" t="s">
        <v>1536</v>
      </c>
      <c r="M151" s="127" t="s">
        <v>1674</v>
      </c>
      <c r="N151" s="127" t="s">
        <v>1406</v>
      </c>
      <c r="O151" s="123">
        <v>44319</v>
      </c>
      <c r="P151" s="123">
        <v>44498</v>
      </c>
      <c r="Q151" s="123">
        <v>44340</v>
      </c>
      <c r="R151" s="123">
        <v>44346</v>
      </c>
      <c r="S151" s="124">
        <v>21</v>
      </c>
      <c r="T151" s="124">
        <v>21</v>
      </c>
      <c r="U151" s="124">
        <v>5</v>
      </c>
      <c r="V151" s="125">
        <v>0</v>
      </c>
      <c r="W151" s="124">
        <v>0</v>
      </c>
      <c r="X151" s="126">
        <v>1</v>
      </c>
      <c r="Y151" s="126">
        <v>0</v>
      </c>
      <c r="Z151" s="126">
        <v>0</v>
      </c>
      <c r="AC151" s="125">
        <v>0</v>
      </c>
      <c r="AD151" s="124">
        <v>0</v>
      </c>
    </row>
    <row r="152" spans="1:30">
      <c r="A152" s="127" t="s">
        <v>1104</v>
      </c>
      <c r="B152" s="127" t="s">
        <v>1536</v>
      </c>
      <c r="C152" s="127" t="s">
        <v>1085</v>
      </c>
      <c r="D152" s="127" t="s">
        <v>1325</v>
      </c>
      <c r="E152" s="127" t="s">
        <v>1294</v>
      </c>
      <c r="F152" s="127" t="s">
        <v>1296</v>
      </c>
      <c r="G152" s="127" t="s">
        <v>1536</v>
      </c>
      <c r="M152" s="127" t="s">
        <v>1674</v>
      </c>
      <c r="N152" s="127" t="s">
        <v>1406</v>
      </c>
      <c r="O152" s="123">
        <v>44319</v>
      </c>
      <c r="P152" s="123">
        <v>44498</v>
      </c>
      <c r="Q152" s="123">
        <v>44347</v>
      </c>
      <c r="R152" s="123">
        <v>44353</v>
      </c>
      <c r="S152" s="124">
        <v>22</v>
      </c>
      <c r="T152" s="124">
        <v>22</v>
      </c>
      <c r="U152" s="124">
        <v>5</v>
      </c>
      <c r="V152" s="125">
        <v>0</v>
      </c>
      <c r="W152" s="124">
        <v>0</v>
      </c>
      <c r="X152" s="126">
        <v>1</v>
      </c>
      <c r="Y152" s="126">
        <v>0</v>
      </c>
      <c r="Z152" s="126">
        <v>0</v>
      </c>
      <c r="AC152" s="125">
        <v>0</v>
      </c>
      <c r="AD152" s="124">
        <v>0</v>
      </c>
    </row>
    <row r="153" spans="1:30">
      <c r="A153" s="127" t="s">
        <v>1104</v>
      </c>
      <c r="B153" s="127" t="s">
        <v>1536</v>
      </c>
      <c r="C153" s="127" t="s">
        <v>1085</v>
      </c>
      <c r="D153" s="127" t="s">
        <v>1325</v>
      </c>
      <c r="E153" s="127" t="s">
        <v>1294</v>
      </c>
      <c r="F153" s="127" t="s">
        <v>1296</v>
      </c>
      <c r="G153" s="127" t="s">
        <v>1536</v>
      </c>
      <c r="M153" s="127" t="s">
        <v>1674</v>
      </c>
      <c r="N153" s="127" t="s">
        <v>1406</v>
      </c>
      <c r="O153" s="123">
        <v>44319</v>
      </c>
      <c r="P153" s="123">
        <v>44498</v>
      </c>
      <c r="Q153" s="123">
        <v>44354</v>
      </c>
      <c r="R153" s="123">
        <v>44360</v>
      </c>
      <c r="S153" s="124">
        <v>23</v>
      </c>
      <c r="T153" s="124">
        <v>23</v>
      </c>
      <c r="U153" s="124">
        <v>5</v>
      </c>
      <c r="V153" s="125">
        <v>0</v>
      </c>
      <c r="W153" s="124">
        <v>0</v>
      </c>
      <c r="X153" s="126">
        <v>1</v>
      </c>
      <c r="Y153" s="126">
        <v>0</v>
      </c>
      <c r="Z153" s="126">
        <v>0</v>
      </c>
      <c r="AC153" s="125">
        <v>0</v>
      </c>
      <c r="AD153" s="124">
        <v>0</v>
      </c>
    </row>
    <row r="154" spans="1:30">
      <c r="A154" s="127" t="s">
        <v>1104</v>
      </c>
      <c r="B154" s="127" t="s">
        <v>1536</v>
      </c>
      <c r="C154" s="127" t="s">
        <v>1085</v>
      </c>
      <c r="D154" s="127" t="s">
        <v>1325</v>
      </c>
      <c r="E154" s="127" t="s">
        <v>1294</v>
      </c>
      <c r="F154" s="127" t="s">
        <v>1296</v>
      </c>
      <c r="G154" s="127" t="s">
        <v>1536</v>
      </c>
      <c r="M154" s="127" t="s">
        <v>1674</v>
      </c>
      <c r="N154" s="127" t="s">
        <v>1406</v>
      </c>
      <c r="O154" s="123">
        <v>44319</v>
      </c>
      <c r="P154" s="123">
        <v>44498</v>
      </c>
      <c r="Q154" s="123">
        <v>44361</v>
      </c>
      <c r="R154" s="123">
        <v>44367</v>
      </c>
      <c r="S154" s="124">
        <v>24</v>
      </c>
      <c r="T154" s="124">
        <v>24</v>
      </c>
      <c r="U154" s="124">
        <v>5</v>
      </c>
      <c r="V154" s="125">
        <v>0</v>
      </c>
      <c r="W154" s="124">
        <v>0</v>
      </c>
      <c r="X154" s="126">
        <v>1</v>
      </c>
      <c r="Y154" s="126">
        <v>0</v>
      </c>
      <c r="Z154" s="126">
        <v>0</v>
      </c>
      <c r="AC154" s="125">
        <v>0</v>
      </c>
      <c r="AD154" s="124">
        <v>0</v>
      </c>
    </row>
    <row r="155" spans="1:30">
      <c r="A155" s="127" t="s">
        <v>1104</v>
      </c>
      <c r="B155" s="127" t="s">
        <v>1536</v>
      </c>
      <c r="C155" s="127" t="s">
        <v>1085</v>
      </c>
      <c r="D155" s="127" t="s">
        <v>1325</v>
      </c>
      <c r="E155" s="127" t="s">
        <v>1294</v>
      </c>
      <c r="F155" s="127" t="s">
        <v>1296</v>
      </c>
      <c r="G155" s="127" t="s">
        <v>1536</v>
      </c>
      <c r="M155" s="127" t="s">
        <v>1674</v>
      </c>
      <c r="N155" s="127" t="s">
        <v>1406</v>
      </c>
      <c r="O155" s="123">
        <v>44319</v>
      </c>
      <c r="P155" s="123">
        <v>44498</v>
      </c>
      <c r="Q155" s="123">
        <v>44368</v>
      </c>
      <c r="R155" s="123">
        <v>44374</v>
      </c>
      <c r="S155" s="124">
        <v>25</v>
      </c>
      <c r="T155" s="124">
        <v>25</v>
      </c>
      <c r="U155" s="124">
        <v>5</v>
      </c>
      <c r="V155" s="125">
        <v>0</v>
      </c>
      <c r="W155" s="124">
        <v>0</v>
      </c>
      <c r="X155" s="126">
        <v>1</v>
      </c>
      <c r="Y155" s="126">
        <v>0</v>
      </c>
      <c r="Z155" s="126">
        <v>0</v>
      </c>
      <c r="AC155" s="125">
        <v>0</v>
      </c>
      <c r="AD155" s="124">
        <v>0</v>
      </c>
    </row>
    <row r="156" spans="1:30">
      <c r="A156" s="127" t="s">
        <v>1104</v>
      </c>
      <c r="B156" s="127" t="s">
        <v>1536</v>
      </c>
      <c r="C156" s="127" t="s">
        <v>1085</v>
      </c>
      <c r="D156" s="127" t="s">
        <v>1325</v>
      </c>
      <c r="E156" s="127" t="s">
        <v>1294</v>
      </c>
      <c r="F156" s="127" t="s">
        <v>1296</v>
      </c>
      <c r="G156" s="127" t="s">
        <v>1536</v>
      </c>
      <c r="M156" s="127" t="s">
        <v>1674</v>
      </c>
      <c r="N156" s="127" t="s">
        <v>1406</v>
      </c>
      <c r="O156" s="123">
        <v>44319</v>
      </c>
      <c r="P156" s="123">
        <v>44498</v>
      </c>
      <c r="Q156" s="123">
        <v>44375</v>
      </c>
      <c r="R156" s="123">
        <v>44381</v>
      </c>
      <c r="S156" s="124">
        <v>26</v>
      </c>
      <c r="T156" s="124">
        <v>26</v>
      </c>
      <c r="U156" s="124">
        <v>5</v>
      </c>
      <c r="V156" s="125">
        <v>0</v>
      </c>
      <c r="W156" s="124">
        <v>0</v>
      </c>
      <c r="X156" s="126">
        <v>1</v>
      </c>
      <c r="Y156" s="126">
        <v>0</v>
      </c>
      <c r="Z156" s="126">
        <v>0</v>
      </c>
      <c r="AC156" s="125">
        <v>0</v>
      </c>
      <c r="AD156" s="124">
        <v>0</v>
      </c>
    </row>
    <row r="157" spans="1:30">
      <c r="A157" s="127" t="s">
        <v>1104</v>
      </c>
      <c r="B157" s="127" t="s">
        <v>1536</v>
      </c>
      <c r="C157" s="127" t="s">
        <v>1085</v>
      </c>
      <c r="D157" s="127" t="s">
        <v>1325</v>
      </c>
      <c r="E157" s="127" t="s">
        <v>1294</v>
      </c>
      <c r="F157" s="127" t="s">
        <v>1296</v>
      </c>
      <c r="G157" s="127" t="s">
        <v>1536</v>
      </c>
      <c r="M157" s="127" t="s">
        <v>1674</v>
      </c>
      <c r="N157" s="127" t="s">
        <v>1406</v>
      </c>
      <c r="O157" s="123">
        <v>44319</v>
      </c>
      <c r="P157" s="123">
        <v>44498</v>
      </c>
      <c r="Q157" s="123">
        <v>44382</v>
      </c>
      <c r="R157" s="123">
        <v>44388</v>
      </c>
      <c r="S157" s="124">
        <v>27</v>
      </c>
      <c r="T157" s="124">
        <v>27</v>
      </c>
      <c r="U157" s="124">
        <v>5</v>
      </c>
      <c r="V157" s="125">
        <v>0</v>
      </c>
      <c r="W157" s="124">
        <v>0</v>
      </c>
      <c r="X157" s="126">
        <v>1</v>
      </c>
      <c r="Y157" s="126">
        <v>0</v>
      </c>
      <c r="Z157" s="126">
        <v>0</v>
      </c>
      <c r="AC157" s="125">
        <v>0</v>
      </c>
      <c r="AD157" s="124">
        <v>0</v>
      </c>
    </row>
    <row r="158" spans="1:30">
      <c r="A158" s="127" t="s">
        <v>1104</v>
      </c>
      <c r="B158" s="127" t="s">
        <v>1536</v>
      </c>
      <c r="C158" s="127" t="s">
        <v>1085</v>
      </c>
      <c r="D158" s="127" t="s">
        <v>1325</v>
      </c>
      <c r="E158" s="127" t="s">
        <v>1294</v>
      </c>
      <c r="F158" s="127" t="s">
        <v>1296</v>
      </c>
      <c r="G158" s="127" t="s">
        <v>1536</v>
      </c>
      <c r="M158" s="127" t="s">
        <v>1674</v>
      </c>
      <c r="N158" s="127" t="s">
        <v>1406</v>
      </c>
      <c r="O158" s="123">
        <v>44319</v>
      </c>
      <c r="P158" s="123">
        <v>44498</v>
      </c>
      <c r="Q158" s="123">
        <v>44389</v>
      </c>
      <c r="R158" s="123">
        <v>44395</v>
      </c>
      <c r="S158" s="124">
        <v>28</v>
      </c>
      <c r="T158" s="124">
        <v>28</v>
      </c>
      <c r="U158" s="124">
        <v>5</v>
      </c>
      <c r="V158" s="125">
        <v>0</v>
      </c>
      <c r="W158" s="124">
        <v>0</v>
      </c>
      <c r="X158" s="126">
        <v>1</v>
      </c>
      <c r="Y158" s="126">
        <v>0</v>
      </c>
      <c r="Z158" s="126">
        <v>0</v>
      </c>
      <c r="AC158" s="125">
        <v>0</v>
      </c>
      <c r="AD158" s="124">
        <v>0</v>
      </c>
    </row>
    <row r="159" spans="1:30">
      <c r="A159" s="127" t="s">
        <v>1104</v>
      </c>
      <c r="B159" s="127" t="s">
        <v>1536</v>
      </c>
      <c r="C159" s="127" t="s">
        <v>1085</v>
      </c>
      <c r="D159" s="127" t="s">
        <v>1325</v>
      </c>
      <c r="E159" s="127" t="s">
        <v>1294</v>
      </c>
      <c r="F159" s="127" t="s">
        <v>1296</v>
      </c>
      <c r="G159" s="127" t="s">
        <v>1536</v>
      </c>
      <c r="M159" s="127" t="s">
        <v>1674</v>
      </c>
      <c r="N159" s="127" t="s">
        <v>1406</v>
      </c>
      <c r="O159" s="123">
        <v>44319</v>
      </c>
      <c r="P159" s="123">
        <v>44498</v>
      </c>
      <c r="Q159" s="123">
        <v>44396</v>
      </c>
      <c r="R159" s="123">
        <v>44402</v>
      </c>
      <c r="S159" s="124">
        <v>29</v>
      </c>
      <c r="T159" s="124">
        <v>29</v>
      </c>
      <c r="U159" s="124">
        <v>5</v>
      </c>
      <c r="V159" s="125">
        <v>0</v>
      </c>
      <c r="W159" s="124">
        <v>0</v>
      </c>
      <c r="X159" s="126">
        <v>1</v>
      </c>
      <c r="Y159" s="126">
        <v>0</v>
      </c>
      <c r="Z159" s="126">
        <v>0</v>
      </c>
      <c r="AC159" s="125">
        <v>0</v>
      </c>
      <c r="AD159" s="124">
        <v>0</v>
      </c>
    </row>
    <row r="160" spans="1:30">
      <c r="A160" s="127" t="s">
        <v>1104</v>
      </c>
      <c r="B160" s="127" t="s">
        <v>1536</v>
      </c>
      <c r="C160" s="127" t="s">
        <v>1085</v>
      </c>
      <c r="D160" s="127" t="s">
        <v>1325</v>
      </c>
      <c r="E160" s="127" t="s">
        <v>1294</v>
      </c>
      <c r="F160" s="127" t="s">
        <v>1296</v>
      </c>
      <c r="G160" s="127" t="s">
        <v>1536</v>
      </c>
      <c r="M160" s="127" t="s">
        <v>1674</v>
      </c>
      <c r="N160" s="127" t="s">
        <v>1406</v>
      </c>
      <c r="O160" s="123">
        <v>44319</v>
      </c>
      <c r="P160" s="123">
        <v>44498</v>
      </c>
      <c r="Q160" s="123">
        <v>44403</v>
      </c>
      <c r="R160" s="123">
        <v>44409</v>
      </c>
      <c r="S160" s="124">
        <v>30</v>
      </c>
      <c r="T160" s="124">
        <v>30</v>
      </c>
      <c r="U160" s="124">
        <v>5</v>
      </c>
      <c r="V160" s="125">
        <v>0</v>
      </c>
      <c r="W160" s="124">
        <v>0</v>
      </c>
      <c r="X160" s="126">
        <v>1</v>
      </c>
      <c r="Y160" s="126">
        <v>0</v>
      </c>
      <c r="Z160" s="126">
        <v>0</v>
      </c>
      <c r="AC160" s="125">
        <v>0</v>
      </c>
      <c r="AD160" s="124">
        <v>0</v>
      </c>
    </row>
    <row r="161" spans="1:30">
      <c r="A161" s="127" t="s">
        <v>1104</v>
      </c>
      <c r="B161" s="127" t="s">
        <v>1536</v>
      </c>
      <c r="C161" s="127" t="s">
        <v>1085</v>
      </c>
      <c r="D161" s="127" t="s">
        <v>1325</v>
      </c>
      <c r="E161" s="127" t="s">
        <v>1294</v>
      </c>
      <c r="F161" s="127" t="s">
        <v>1296</v>
      </c>
      <c r="G161" s="127" t="s">
        <v>1536</v>
      </c>
      <c r="M161" s="127" t="s">
        <v>1674</v>
      </c>
      <c r="N161" s="127" t="s">
        <v>1406</v>
      </c>
      <c r="O161" s="123">
        <v>44319</v>
      </c>
      <c r="P161" s="123">
        <v>44498</v>
      </c>
      <c r="Q161" s="123">
        <v>44410</v>
      </c>
      <c r="R161" s="123">
        <v>44416</v>
      </c>
      <c r="S161" s="124">
        <v>31</v>
      </c>
      <c r="T161" s="124">
        <v>31</v>
      </c>
      <c r="U161" s="124">
        <v>5</v>
      </c>
      <c r="V161" s="125">
        <v>0</v>
      </c>
      <c r="W161" s="124">
        <v>0</v>
      </c>
      <c r="X161" s="126">
        <v>1</v>
      </c>
      <c r="Y161" s="126">
        <v>0</v>
      </c>
      <c r="Z161" s="126">
        <v>0</v>
      </c>
      <c r="AC161" s="125">
        <v>0</v>
      </c>
      <c r="AD161" s="124">
        <v>0</v>
      </c>
    </row>
    <row r="162" spans="1:30">
      <c r="A162" s="127" t="s">
        <v>1104</v>
      </c>
      <c r="B162" s="127" t="s">
        <v>1536</v>
      </c>
      <c r="C162" s="127" t="s">
        <v>1085</v>
      </c>
      <c r="D162" s="127" t="s">
        <v>1325</v>
      </c>
      <c r="E162" s="127" t="s">
        <v>1294</v>
      </c>
      <c r="F162" s="127" t="s">
        <v>1296</v>
      </c>
      <c r="G162" s="127" t="s">
        <v>1536</v>
      </c>
      <c r="M162" s="127" t="s">
        <v>1674</v>
      </c>
      <c r="N162" s="127" t="s">
        <v>1406</v>
      </c>
      <c r="O162" s="123">
        <v>44319</v>
      </c>
      <c r="P162" s="123">
        <v>44498</v>
      </c>
      <c r="Q162" s="123">
        <v>44417</v>
      </c>
      <c r="R162" s="123">
        <v>44423</v>
      </c>
      <c r="S162" s="124">
        <v>32</v>
      </c>
      <c r="T162" s="124">
        <v>32</v>
      </c>
      <c r="U162" s="124">
        <v>5</v>
      </c>
      <c r="V162" s="125">
        <v>0</v>
      </c>
      <c r="W162" s="124">
        <v>0</v>
      </c>
      <c r="X162" s="126">
        <v>1</v>
      </c>
      <c r="Y162" s="126">
        <v>0</v>
      </c>
      <c r="Z162" s="126">
        <v>0</v>
      </c>
      <c r="AC162" s="125">
        <v>0</v>
      </c>
      <c r="AD162" s="124">
        <v>0</v>
      </c>
    </row>
    <row r="163" spans="1:30">
      <c r="A163" s="127" t="s">
        <v>1104</v>
      </c>
      <c r="B163" s="127" t="s">
        <v>1536</v>
      </c>
      <c r="C163" s="127" t="s">
        <v>1085</v>
      </c>
      <c r="D163" s="127" t="s">
        <v>1325</v>
      </c>
      <c r="E163" s="127" t="s">
        <v>1294</v>
      </c>
      <c r="F163" s="127" t="s">
        <v>1296</v>
      </c>
      <c r="G163" s="127" t="s">
        <v>1536</v>
      </c>
      <c r="M163" s="127" t="s">
        <v>1674</v>
      </c>
      <c r="N163" s="127" t="s">
        <v>1406</v>
      </c>
      <c r="O163" s="123">
        <v>44319</v>
      </c>
      <c r="P163" s="123">
        <v>44498</v>
      </c>
      <c r="Q163" s="123">
        <v>44424</v>
      </c>
      <c r="R163" s="123">
        <v>44430</v>
      </c>
      <c r="S163" s="124">
        <v>33</v>
      </c>
      <c r="T163" s="124">
        <v>33</v>
      </c>
      <c r="U163" s="124">
        <v>5</v>
      </c>
      <c r="V163" s="125">
        <v>0</v>
      </c>
      <c r="W163" s="124">
        <v>0</v>
      </c>
      <c r="X163" s="126">
        <v>1</v>
      </c>
      <c r="Y163" s="126">
        <v>0</v>
      </c>
      <c r="Z163" s="126">
        <v>0</v>
      </c>
      <c r="AC163" s="125">
        <v>0</v>
      </c>
      <c r="AD163" s="124">
        <v>0</v>
      </c>
    </row>
    <row r="164" spans="1:30">
      <c r="A164" s="127" t="s">
        <v>1104</v>
      </c>
      <c r="B164" s="127" t="s">
        <v>1536</v>
      </c>
      <c r="C164" s="127" t="s">
        <v>1085</v>
      </c>
      <c r="D164" s="127" t="s">
        <v>1325</v>
      </c>
      <c r="E164" s="127" t="s">
        <v>1294</v>
      </c>
      <c r="F164" s="127" t="s">
        <v>1296</v>
      </c>
      <c r="G164" s="127" t="s">
        <v>1536</v>
      </c>
      <c r="M164" s="127" t="s">
        <v>1674</v>
      </c>
      <c r="N164" s="127" t="s">
        <v>1406</v>
      </c>
      <c r="O164" s="123">
        <v>44319</v>
      </c>
      <c r="P164" s="123">
        <v>44498</v>
      </c>
      <c r="Q164" s="123">
        <v>44431</v>
      </c>
      <c r="R164" s="123">
        <v>44437</v>
      </c>
      <c r="S164" s="124">
        <v>34</v>
      </c>
      <c r="T164" s="124">
        <v>34</v>
      </c>
      <c r="U164" s="124">
        <v>5</v>
      </c>
      <c r="V164" s="125">
        <v>0</v>
      </c>
      <c r="W164" s="124">
        <v>0</v>
      </c>
      <c r="X164" s="126">
        <v>1</v>
      </c>
      <c r="Y164" s="126">
        <v>0</v>
      </c>
      <c r="Z164" s="126">
        <v>0</v>
      </c>
      <c r="AC164" s="125">
        <v>0</v>
      </c>
      <c r="AD164" s="124">
        <v>0</v>
      </c>
    </row>
    <row r="165" spans="1:30">
      <c r="A165" s="127" t="s">
        <v>1104</v>
      </c>
      <c r="B165" s="127" t="s">
        <v>1536</v>
      </c>
      <c r="C165" s="127" t="s">
        <v>1085</v>
      </c>
      <c r="D165" s="127" t="s">
        <v>1325</v>
      </c>
      <c r="E165" s="127" t="s">
        <v>1294</v>
      </c>
      <c r="F165" s="127" t="s">
        <v>1296</v>
      </c>
      <c r="G165" s="127" t="s">
        <v>1536</v>
      </c>
      <c r="M165" s="127" t="s">
        <v>1674</v>
      </c>
      <c r="N165" s="127" t="s">
        <v>1406</v>
      </c>
      <c r="O165" s="123">
        <v>44319</v>
      </c>
      <c r="P165" s="123">
        <v>44498</v>
      </c>
      <c r="Q165" s="123">
        <v>44438</v>
      </c>
      <c r="R165" s="123">
        <v>44444</v>
      </c>
      <c r="S165" s="124">
        <v>35</v>
      </c>
      <c r="T165" s="124">
        <v>35</v>
      </c>
      <c r="U165" s="124">
        <v>5</v>
      </c>
      <c r="V165" s="125">
        <v>0</v>
      </c>
      <c r="W165" s="124">
        <v>0</v>
      </c>
      <c r="X165" s="126">
        <v>1</v>
      </c>
      <c r="Y165" s="126">
        <v>0</v>
      </c>
      <c r="Z165" s="126">
        <v>0</v>
      </c>
      <c r="AC165" s="125">
        <v>0</v>
      </c>
      <c r="AD165" s="124">
        <v>0</v>
      </c>
    </row>
    <row r="166" spans="1:30">
      <c r="A166" s="127" t="s">
        <v>1104</v>
      </c>
      <c r="B166" s="127" t="s">
        <v>1536</v>
      </c>
      <c r="C166" s="127" t="s">
        <v>1085</v>
      </c>
      <c r="D166" s="127" t="s">
        <v>1325</v>
      </c>
      <c r="E166" s="127" t="s">
        <v>1294</v>
      </c>
      <c r="F166" s="127" t="s">
        <v>1296</v>
      </c>
      <c r="G166" s="127" t="s">
        <v>1536</v>
      </c>
      <c r="M166" s="127" t="s">
        <v>1674</v>
      </c>
      <c r="N166" s="127" t="s">
        <v>1406</v>
      </c>
      <c r="O166" s="123">
        <v>44319</v>
      </c>
      <c r="P166" s="123">
        <v>44498</v>
      </c>
      <c r="Q166" s="123">
        <v>44445</v>
      </c>
      <c r="R166" s="123">
        <v>44451</v>
      </c>
      <c r="S166" s="124">
        <v>36</v>
      </c>
      <c r="T166" s="124">
        <v>36</v>
      </c>
      <c r="U166" s="124">
        <v>5</v>
      </c>
      <c r="V166" s="125">
        <v>0</v>
      </c>
      <c r="W166" s="124">
        <v>0</v>
      </c>
      <c r="X166" s="126">
        <v>1</v>
      </c>
      <c r="Y166" s="126">
        <v>0</v>
      </c>
      <c r="Z166" s="126">
        <v>0</v>
      </c>
      <c r="AC166" s="125">
        <v>0</v>
      </c>
      <c r="AD166" s="124">
        <v>0</v>
      </c>
    </row>
    <row r="167" spans="1:30">
      <c r="A167" s="127" t="s">
        <v>1104</v>
      </c>
      <c r="B167" s="127" t="s">
        <v>1536</v>
      </c>
      <c r="C167" s="127" t="s">
        <v>1085</v>
      </c>
      <c r="D167" s="127" t="s">
        <v>1325</v>
      </c>
      <c r="E167" s="127" t="s">
        <v>1294</v>
      </c>
      <c r="F167" s="127" t="s">
        <v>1296</v>
      </c>
      <c r="G167" s="127" t="s">
        <v>1536</v>
      </c>
      <c r="M167" s="127" t="s">
        <v>1674</v>
      </c>
      <c r="N167" s="127" t="s">
        <v>1406</v>
      </c>
      <c r="O167" s="123">
        <v>44319</v>
      </c>
      <c r="P167" s="123">
        <v>44498</v>
      </c>
      <c r="Q167" s="123">
        <v>44452</v>
      </c>
      <c r="R167" s="123">
        <v>44458</v>
      </c>
      <c r="S167" s="124">
        <v>37</v>
      </c>
      <c r="T167" s="124">
        <v>37</v>
      </c>
      <c r="U167" s="124">
        <v>5</v>
      </c>
      <c r="V167" s="125">
        <v>0</v>
      </c>
      <c r="W167" s="124">
        <v>0</v>
      </c>
      <c r="X167" s="126">
        <v>1</v>
      </c>
      <c r="Y167" s="126">
        <v>0</v>
      </c>
      <c r="Z167" s="126">
        <v>0</v>
      </c>
      <c r="AC167" s="125">
        <v>0</v>
      </c>
      <c r="AD167" s="124">
        <v>0</v>
      </c>
    </row>
    <row r="168" spans="1:30">
      <c r="A168" s="127" t="s">
        <v>1104</v>
      </c>
      <c r="B168" s="127" t="s">
        <v>1536</v>
      </c>
      <c r="C168" s="127" t="s">
        <v>1085</v>
      </c>
      <c r="D168" s="127" t="s">
        <v>1325</v>
      </c>
      <c r="E168" s="127" t="s">
        <v>1294</v>
      </c>
      <c r="F168" s="127" t="s">
        <v>1296</v>
      </c>
      <c r="G168" s="127" t="s">
        <v>1536</v>
      </c>
      <c r="M168" s="127" t="s">
        <v>1674</v>
      </c>
      <c r="N168" s="127" t="s">
        <v>1406</v>
      </c>
      <c r="O168" s="123">
        <v>44319</v>
      </c>
      <c r="P168" s="123">
        <v>44498</v>
      </c>
      <c r="Q168" s="123">
        <v>44459</v>
      </c>
      <c r="R168" s="123">
        <v>44465</v>
      </c>
      <c r="S168" s="124">
        <v>38</v>
      </c>
      <c r="T168" s="124">
        <v>38</v>
      </c>
      <c r="U168" s="124">
        <v>2</v>
      </c>
      <c r="V168" s="125">
        <v>0</v>
      </c>
      <c r="W168" s="124">
        <v>0</v>
      </c>
      <c r="X168" s="126">
        <v>1</v>
      </c>
      <c r="Y168" s="126">
        <v>0</v>
      </c>
      <c r="Z168" s="126">
        <v>0</v>
      </c>
      <c r="AC168" s="125">
        <v>0</v>
      </c>
      <c r="AD168" s="124">
        <v>0</v>
      </c>
    </row>
    <row r="169" spans="1:30">
      <c r="A169" s="127" t="s">
        <v>1104</v>
      </c>
      <c r="B169" s="127" t="s">
        <v>1536</v>
      </c>
      <c r="C169" s="127" t="s">
        <v>1085</v>
      </c>
      <c r="D169" s="127" t="s">
        <v>1325</v>
      </c>
      <c r="E169" s="127" t="s">
        <v>1294</v>
      </c>
      <c r="F169" s="127" t="s">
        <v>1296</v>
      </c>
      <c r="G169" s="127" t="s">
        <v>1536</v>
      </c>
      <c r="M169" s="127" t="s">
        <v>1674</v>
      </c>
      <c r="N169" s="127" t="s">
        <v>1406</v>
      </c>
      <c r="O169" s="123">
        <v>44319</v>
      </c>
      <c r="P169" s="123">
        <v>44498</v>
      </c>
      <c r="Q169" s="123">
        <v>44466</v>
      </c>
      <c r="R169" s="123">
        <v>44472</v>
      </c>
      <c r="S169" s="124">
        <v>39</v>
      </c>
      <c r="T169" s="124">
        <v>39</v>
      </c>
      <c r="U169" s="124">
        <v>5</v>
      </c>
      <c r="V169" s="125">
        <v>0</v>
      </c>
      <c r="W169" s="124">
        <v>0</v>
      </c>
      <c r="X169" s="126">
        <v>1</v>
      </c>
      <c r="Y169" s="126">
        <v>0</v>
      </c>
      <c r="Z169" s="126">
        <v>0</v>
      </c>
      <c r="AC169" s="125">
        <v>0</v>
      </c>
      <c r="AD169" s="124">
        <v>0</v>
      </c>
    </row>
    <row r="170" spans="1:30">
      <c r="A170" s="127" t="s">
        <v>1104</v>
      </c>
      <c r="B170" s="127" t="s">
        <v>1536</v>
      </c>
      <c r="C170" s="127" t="s">
        <v>1085</v>
      </c>
      <c r="D170" s="127" t="s">
        <v>1325</v>
      </c>
      <c r="E170" s="127" t="s">
        <v>1294</v>
      </c>
      <c r="F170" s="127" t="s">
        <v>1296</v>
      </c>
      <c r="G170" s="127" t="s">
        <v>1536</v>
      </c>
      <c r="M170" s="127" t="s">
        <v>1674</v>
      </c>
      <c r="N170" s="127" t="s">
        <v>1406</v>
      </c>
      <c r="O170" s="123">
        <v>44319</v>
      </c>
      <c r="P170" s="123">
        <v>44498</v>
      </c>
      <c r="Q170" s="123">
        <v>44473</v>
      </c>
      <c r="R170" s="123">
        <v>44479</v>
      </c>
      <c r="S170" s="124">
        <v>40</v>
      </c>
      <c r="T170" s="124">
        <v>40</v>
      </c>
      <c r="U170" s="124">
        <v>5</v>
      </c>
      <c r="V170" s="125">
        <v>0</v>
      </c>
      <c r="W170" s="124">
        <v>0</v>
      </c>
      <c r="X170" s="126">
        <v>1</v>
      </c>
      <c r="Y170" s="126">
        <v>0</v>
      </c>
      <c r="Z170" s="126">
        <v>0</v>
      </c>
      <c r="AC170" s="125">
        <v>0</v>
      </c>
      <c r="AD170" s="124">
        <v>0</v>
      </c>
    </row>
    <row r="171" spans="1:30">
      <c r="A171" s="127" t="s">
        <v>1104</v>
      </c>
      <c r="B171" s="127" t="s">
        <v>1536</v>
      </c>
      <c r="C171" s="127" t="s">
        <v>1085</v>
      </c>
      <c r="D171" s="127" t="s">
        <v>1325</v>
      </c>
      <c r="E171" s="127" t="s">
        <v>1294</v>
      </c>
      <c r="F171" s="127" t="s">
        <v>1296</v>
      </c>
      <c r="G171" s="127" t="s">
        <v>1536</v>
      </c>
      <c r="M171" s="127" t="s">
        <v>1674</v>
      </c>
      <c r="N171" s="127" t="s">
        <v>1406</v>
      </c>
      <c r="O171" s="123">
        <v>44319</v>
      </c>
      <c r="P171" s="123">
        <v>44498</v>
      </c>
      <c r="Q171" s="123">
        <v>44480</v>
      </c>
      <c r="R171" s="123">
        <v>44486</v>
      </c>
      <c r="S171" s="124">
        <v>41</v>
      </c>
      <c r="T171" s="124">
        <v>41</v>
      </c>
      <c r="U171" s="124">
        <v>5</v>
      </c>
      <c r="V171" s="125">
        <v>0</v>
      </c>
      <c r="W171" s="124">
        <v>0</v>
      </c>
      <c r="X171" s="126">
        <v>1</v>
      </c>
      <c r="Y171" s="126">
        <v>0</v>
      </c>
      <c r="Z171" s="126">
        <v>0</v>
      </c>
      <c r="AC171" s="125">
        <v>0</v>
      </c>
      <c r="AD171" s="124">
        <v>0</v>
      </c>
    </row>
    <row r="172" spans="1:30">
      <c r="A172" s="127" t="s">
        <v>1104</v>
      </c>
      <c r="B172" s="127" t="s">
        <v>1536</v>
      </c>
      <c r="C172" s="127" t="s">
        <v>1085</v>
      </c>
      <c r="D172" s="127" t="s">
        <v>1325</v>
      </c>
      <c r="E172" s="127" t="s">
        <v>1294</v>
      </c>
      <c r="F172" s="127" t="s">
        <v>1296</v>
      </c>
      <c r="G172" s="127" t="s">
        <v>1536</v>
      </c>
      <c r="M172" s="127" t="s">
        <v>1674</v>
      </c>
      <c r="N172" s="127" t="s">
        <v>1406</v>
      </c>
      <c r="O172" s="123">
        <v>44319</v>
      </c>
      <c r="P172" s="123">
        <v>44498</v>
      </c>
      <c r="Q172" s="123">
        <v>44487</v>
      </c>
      <c r="R172" s="123">
        <v>44493</v>
      </c>
      <c r="S172" s="124">
        <v>42</v>
      </c>
      <c r="T172" s="124">
        <v>42</v>
      </c>
      <c r="U172" s="124">
        <v>5</v>
      </c>
      <c r="V172" s="125">
        <v>0</v>
      </c>
      <c r="W172" s="124">
        <v>0</v>
      </c>
      <c r="X172" s="126">
        <v>1</v>
      </c>
      <c r="Y172" s="126">
        <v>0</v>
      </c>
      <c r="Z172" s="126">
        <v>0</v>
      </c>
      <c r="AC172" s="125">
        <v>0</v>
      </c>
      <c r="AD172" s="124">
        <v>0</v>
      </c>
    </row>
    <row r="173" spans="1:30">
      <c r="A173" s="127" t="s">
        <v>1104</v>
      </c>
      <c r="B173" s="127" t="s">
        <v>1536</v>
      </c>
      <c r="C173" s="127" t="s">
        <v>1085</v>
      </c>
      <c r="D173" s="127" t="s">
        <v>1325</v>
      </c>
      <c r="E173" s="127" t="s">
        <v>1294</v>
      </c>
      <c r="F173" s="127" t="s">
        <v>1296</v>
      </c>
      <c r="G173" s="127" t="s">
        <v>1536</v>
      </c>
      <c r="M173" s="127" t="s">
        <v>1674</v>
      </c>
      <c r="N173" s="127" t="s">
        <v>1406</v>
      </c>
      <c r="O173" s="123">
        <v>44319</v>
      </c>
      <c r="P173" s="123">
        <v>44498</v>
      </c>
      <c r="Q173" s="123">
        <v>44494</v>
      </c>
      <c r="R173" s="123">
        <v>44500</v>
      </c>
      <c r="S173" s="124">
        <v>43</v>
      </c>
      <c r="T173" s="124">
        <v>43</v>
      </c>
      <c r="U173" s="124">
        <v>5</v>
      </c>
      <c r="V173" s="125">
        <v>0</v>
      </c>
      <c r="W173" s="124">
        <v>0</v>
      </c>
      <c r="X173" s="126">
        <v>1</v>
      </c>
      <c r="Y173" s="126">
        <v>0</v>
      </c>
      <c r="Z173" s="126">
        <v>0</v>
      </c>
      <c r="AC173" s="125">
        <v>0</v>
      </c>
      <c r="AD173" s="124">
        <v>0</v>
      </c>
    </row>
    <row r="174" spans="1:30">
      <c r="A174" s="127" t="s">
        <v>1104</v>
      </c>
      <c r="B174" s="127" t="s">
        <v>1678</v>
      </c>
      <c r="C174" s="127" t="s">
        <v>1085</v>
      </c>
      <c r="D174" s="127" t="s">
        <v>1325</v>
      </c>
      <c r="E174" s="127" t="s">
        <v>1294</v>
      </c>
      <c r="F174" s="127" t="s">
        <v>1296</v>
      </c>
      <c r="G174" s="127" t="s">
        <v>1678</v>
      </c>
      <c r="M174" s="127" t="s">
        <v>1675</v>
      </c>
      <c r="N174" s="127" t="s">
        <v>1406</v>
      </c>
      <c r="O174" s="123">
        <v>44378</v>
      </c>
      <c r="P174" s="123">
        <v>44498</v>
      </c>
      <c r="Q174" s="123">
        <v>44375</v>
      </c>
      <c r="R174" s="123">
        <v>44381</v>
      </c>
      <c r="S174" s="124">
        <v>26</v>
      </c>
      <c r="T174" s="124">
        <v>26</v>
      </c>
      <c r="U174" s="124">
        <v>2</v>
      </c>
      <c r="V174" s="125">
        <v>0</v>
      </c>
      <c r="W174" s="124">
        <v>0</v>
      </c>
      <c r="X174" s="126">
        <v>1</v>
      </c>
      <c r="Y174" s="126">
        <v>0</v>
      </c>
      <c r="Z174" s="126">
        <v>0</v>
      </c>
      <c r="AC174" s="125">
        <v>0</v>
      </c>
      <c r="AD174" s="124">
        <v>0</v>
      </c>
    </row>
    <row r="175" spans="1:30">
      <c r="A175" s="127" t="s">
        <v>1104</v>
      </c>
      <c r="B175" s="127" t="s">
        <v>1678</v>
      </c>
      <c r="C175" s="127" t="s">
        <v>1085</v>
      </c>
      <c r="D175" s="127" t="s">
        <v>1325</v>
      </c>
      <c r="E175" s="127" t="s">
        <v>1294</v>
      </c>
      <c r="F175" s="127" t="s">
        <v>1296</v>
      </c>
      <c r="G175" s="127" t="s">
        <v>1678</v>
      </c>
      <c r="M175" s="127" t="s">
        <v>1675</v>
      </c>
      <c r="N175" s="127" t="s">
        <v>1406</v>
      </c>
      <c r="O175" s="123">
        <v>44378</v>
      </c>
      <c r="P175" s="123">
        <v>44498</v>
      </c>
      <c r="Q175" s="123">
        <v>44382</v>
      </c>
      <c r="R175" s="123">
        <v>44388</v>
      </c>
      <c r="S175" s="124">
        <v>27</v>
      </c>
      <c r="T175" s="124">
        <v>27</v>
      </c>
      <c r="U175" s="124">
        <v>5</v>
      </c>
      <c r="V175" s="125">
        <v>0</v>
      </c>
      <c r="W175" s="124">
        <v>0</v>
      </c>
      <c r="X175" s="126">
        <v>1</v>
      </c>
      <c r="Y175" s="126">
        <v>0</v>
      </c>
      <c r="Z175" s="126">
        <v>0</v>
      </c>
      <c r="AC175" s="125">
        <v>0</v>
      </c>
      <c r="AD175" s="124">
        <v>0</v>
      </c>
    </row>
    <row r="176" spans="1:30">
      <c r="A176" s="127" t="s">
        <v>1104</v>
      </c>
      <c r="B176" s="127" t="s">
        <v>1678</v>
      </c>
      <c r="C176" s="127" t="s">
        <v>1085</v>
      </c>
      <c r="D176" s="127" t="s">
        <v>1325</v>
      </c>
      <c r="E176" s="127" t="s">
        <v>1294</v>
      </c>
      <c r="F176" s="127" t="s">
        <v>1296</v>
      </c>
      <c r="G176" s="127" t="s">
        <v>1678</v>
      </c>
      <c r="M176" s="127" t="s">
        <v>1675</v>
      </c>
      <c r="N176" s="127" t="s">
        <v>1406</v>
      </c>
      <c r="O176" s="123">
        <v>44378</v>
      </c>
      <c r="P176" s="123">
        <v>44498</v>
      </c>
      <c r="Q176" s="123">
        <v>44389</v>
      </c>
      <c r="R176" s="123">
        <v>44395</v>
      </c>
      <c r="S176" s="124">
        <v>28</v>
      </c>
      <c r="T176" s="124">
        <v>28</v>
      </c>
      <c r="U176" s="124">
        <v>5</v>
      </c>
      <c r="V176" s="125">
        <v>0</v>
      </c>
      <c r="W176" s="124">
        <v>0</v>
      </c>
      <c r="X176" s="126">
        <v>1</v>
      </c>
      <c r="Y176" s="126">
        <v>0</v>
      </c>
      <c r="Z176" s="126">
        <v>0</v>
      </c>
      <c r="AC176" s="125">
        <v>0</v>
      </c>
      <c r="AD176" s="124">
        <v>0</v>
      </c>
    </row>
    <row r="177" spans="1:30">
      <c r="A177" s="127" t="s">
        <v>1104</v>
      </c>
      <c r="B177" s="127" t="s">
        <v>1678</v>
      </c>
      <c r="C177" s="127" t="s">
        <v>1085</v>
      </c>
      <c r="D177" s="127" t="s">
        <v>1325</v>
      </c>
      <c r="E177" s="127" t="s">
        <v>1294</v>
      </c>
      <c r="F177" s="127" t="s">
        <v>1296</v>
      </c>
      <c r="G177" s="127" t="s">
        <v>1678</v>
      </c>
      <c r="M177" s="127" t="s">
        <v>1675</v>
      </c>
      <c r="N177" s="127" t="s">
        <v>1406</v>
      </c>
      <c r="O177" s="123">
        <v>44378</v>
      </c>
      <c r="P177" s="123">
        <v>44498</v>
      </c>
      <c r="Q177" s="123">
        <v>44396</v>
      </c>
      <c r="R177" s="123">
        <v>44402</v>
      </c>
      <c r="S177" s="124">
        <v>29</v>
      </c>
      <c r="T177" s="124">
        <v>29</v>
      </c>
      <c r="U177" s="124">
        <v>5</v>
      </c>
      <c r="V177" s="125">
        <v>0</v>
      </c>
      <c r="W177" s="124">
        <v>0</v>
      </c>
      <c r="X177" s="126">
        <v>1</v>
      </c>
      <c r="Y177" s="126">
        <v>0</v>
      </c>
      <c r="Z177" s="126">
        <v>0</v>
      </c>
      <c r="AC177" s="125">
        <v>0</v>
      </c>
      <c r="AD177" s="124">
        <v>0</v>
      </c>
    </row>
    <row r="178" spans="1:30">
      <c r="A178" s="127" t="s">
        <v>1104</v>
      </c>
      <c r="B178" s="127" t="s">
        <v>1678</v>
      </c>
      <c r="C178" s="127" t="s">
        <v>1085</v>
      </c>
      <c r="D178" s="127" t="s">
        <v>1325</v>
      </c>
      <c r="E178" s="127" t="s">
        <v>1294</v>
      </c>
      <c r="F178" s="127" t="s">
        <v>1296</v>
      </c>
      <c r="G178" s="127" t="s">
        <v>1678</v>
      </c>
      <c r="M178" s="127" t="s">
        <v>1675</v>
      </c>
      <c r="N178" s="127" t="s">
        <v>1406</v>
      </c>
      <c r="O178" s="123">
        <v>44378</v>
      </c>
      <c r="P178" s="123">
        <v>44498</v>
      </c>
      <c r="Q178" s="123">
        <v>44403</v>
      </c>
      <c r="R178" s="123">
        <v>44409</v>
      </c>
      <c r="S178" s="124">
        <v>30</v>
      </c>
      <c r="T178" s="124">
        <v>30</v>
      </c>
      <c r="U178" s="124">
        <v>5</v>
      </c>
      <c r="V178" s="125">
        <v>0</v>
      </c>
      <c r="W178" s="124">
        <v>0</v>
      </c>
      <c r="X178" s="126">
        <v>1</v>
      </c>
      <c r="Y178" s="126">
        <v>0</v>
      </c>
      <c r="Z178" s="126">
        <v>0</v>
      </c>
      <c r="AC178" s="125">
        <v>0</v>
      </c>
      <c r="AD178" s="124">
        <v>0</v>
      </c>
    </row>
    <row r="179" spans="1:30">
      <c r="A179" s="127" t="s">
        <v>1104</v>
      </c>
      <c r="B179" s="127" t="s">
        <v>1678</v>
      </c>
      <c r="C179" s="127" t="s">
        <v>1085</v>
      </c>
      <c r="D179" s="127" t="s">
        <v>1325</v>
      </c>
      <c r="E179" s="127" t="s">
        <v>1294</v>
      </c>
      <c r="F179" s="127" t="s">
        <v>1296</v>
      </c>
      <c r="G179" s="127" t="s">
        <v>1678</v>
      </c>
      <c r="M179" s="127" t="s">
        <v>1675</v>
      </c>
      <c r="N179" s="127" t="s">
        <v>1406</v>
      </c>
      <c r="O179" s="123">
        <v>44378</v>
      </c>
      <c r="P179" s="123">
        <v>44498</v>
      </c>
      <c r="Q179" s="123">
        <v>44410</v>
      </c>
      <c r="R179" s="123">
        <v>44416</v>
      </c>
      <c r="S179" s="124">
        <v>31</v>
      </c>
      <c r="T179" s="124">
        <v>31</v>
      </c>
      <c r="U179" s="124">
        <v>5</v>
      </c>
      <c r="V179" s="125">
        <v>0</v>
      </c>
      <c r="W179" s="124">
        <v>0</v>
      </c>
      <c r="X179" s="126">
        <v>1</v>
      </c>
      <c r="Y179" s="126">
        <v>0</v>
      </c>
      <c r="Z179" s="126">
        <v>0</v>
      </c>
      <c r="AC179" s="125">
        <v>0</v>
      </c>
      <c r="AD179" s="124">
        <v>0</v>
      </c>
    </row>
    <row r="180" spans="1:30">
      <c r="A180" s="127" t="s">
        <v>1104</v>
      </c>
      <c r="B180" s="127" t="s">
        <v>1678</v>
      </c>
      <c r="C180" s="127" t="s">
        <v>1085</v>
      </c>
      <c r="D180" s="127" t="s">
        <v>1325</v>
      </c>
      <c r="E180" s="127" t="s">
        <v>1294</v>
      </c>
      <c r="F180" s="127" t="s">
        <v>1296</v>
      </c>
      <c r="G180" s="127" t="s">
        <v>1678</v>
      </c>
      <c r="M180" s="127" t="s">
        <v>1675</v>
      </c>
      <c r="N180" s="127" t="s">
        <v>1406</v>
      </c>
      <c r="O180" s="123">
        <v>44378</v>
      </c>
      <c r="P180" s="123">
        <v>44498</v>
      </c>
      <c r="Q180" s="123">
        <v>44417</v>
      </c>
      <c r="R180" s="123">
        <v>44423</v>
      </c>
      <c r="S180" s="124">
        <v>32</v>
      </c>
      <c r="T180" s="124">
        <v>32</v>
      </c>
      <c r="U180" s="124">
        <v>5</v>
      </c>
      <c r="V180" s="125">
        <v>0</v>
      </c>
      <c r="W180" s="124">
        <v>0</v>
      </c>
      <c r="X180" s="126">
        <v>1</v>
      </c>
      <c r="Y180" s="126">
        <v>0</v>
      </c>
      <c r="Z180" s="126">
        <v>0</v>
      </c>
      <c r="AC180" s="125">
        <v>0</v>
      </c>
      <c r="AD180" s="124">
        <v>0</v>
      </c>
    </row>
    <row r="181" spans="1:30">
      <c r="A181" s="127" t="s">
        <v>1104</v>
      </c>
      <c r="B181" s="127" t="s">
        <v>1678</v>
      </c>
      <c r="C181" s="127" t="s">
        <v>1085</v>
      </c>
      <c r="D181" s="127" t="s">
        <v>1325</v>
      </c>
      <c r="E181" s="127" t="s">
        <v>1294</v>
      </c>
      <c r="F181" s="127" t="s">
        <v>1296</v>
      </c>
      <c r="G181" s="127" t="s">
        <v>1678</v>
      </c>
      <c r="M181" s="127" t="s">
        <v>1675</v>
      </c>
      <c r="N181" s="127" t="s">
        <v>1406</v>
      </c>
      <c r="O181" s="123">
        <v>44378</v>
      </c>
      <c r="P181" s="123">
        <v>44498</v>
      </c>
      <c r="Q181" s="123">
        <v>44424</v>
      </c>
      <c r="R181" s="123">
        <v>44430</v>
      </c>
      <c r="S181" s="124">
        <v>33</v>
      </c>
      <c r="T181" s="124">
        <v>33</v>
      </c>
      <c r="U181" s="124">
        <v>5</v>
      </c>
      <c r="V181" s="125">
        <v>0</v>
      </c>
      <c r="W181" s="124">
        <v>0</v>
      </c>
      <c r="X181" s="126">
        <v>1</v>
      </c>
      <c r="Y181" s="126">
        <v>0</v>
      </c>
      <c r="Z181" s="126">
        <v>0</v>
      </c>
      <c r="AC181" s="125">
        <v>0</v>
      </c>
      <c r="AD181" s="124">
        <v>0</v>
      </c>
    </row>
    <row r="182" spans="1:30">
      <c r="A182" s="127" t="s">
        <v>1104</v>
      </c>
      <c r="B182" s="127" t="s">
        <v>1678</v>
      </c>
      <c r="C182" s="127" t="s">
        <v>1085</v>
      </c>
      <c r="D182" s="127" t="s">
        <v>1325</v>
      </c>
      <c r="E182" s="127" t="s">
        <v>1294</v>
      </c>
      <c r="F182" s="127" t="s">
        <v>1296</v>
      </c>
      <c r="G182" s="127" t="s">
        <v>1678</v>
      </c>
      <c r="M182" s="127" t="s">
        <v>1675</v>
      </c>
      <c r="N182" s="127" t="s">
        <v>1406</v>
      </c>
      <c r="O182" s="123">
        <v>44378</v>
      </c>
      <c r="P182" s="123">
        <v>44498</v>
      </c>
      <c r="Q182" s="123">
        <v>44431</v>
      </c>
      <c r="R182" s="123">
        <v>44437</v>
      </c>
      <c r="S182" s="124">
        <v>34</v>
      </c>
      <c r="T182" s="124">
        <v>34</v>
      </c>
      <c r="U182" s="124">
        <v>5</v>
      </c>
      <c r="V182" s="125">
        <v>0</v>
      </c>
      <c r="W182" s="124">
        <v>0</v>
      </c>
      <c r="X182" s="126">
        <v>1</v>
      </c>
      <c r="Y182" s="126">
        <v>0</v>
      </c>
      <c r="Z182" s="126">
        <v>0</v>
      </c>
      <c r="AC182" s="125">
        <v>0</v>
      </c>
      <c r="AD182" s="124">
        <v>0</v>
      </c>
    </row>
    <row r="183" spans="1:30">
      <c r="A183" s="127" t="s">
        <v>1104</v>
      </c>
      <c r="B183" s="127" t="s">
        <v>1678</v>
      </c>
      <c r="C183" s="127" t="s">
        <v>1085</v>
      </c>
      <c r="D183" s="127" t="s">
        <v>1325</v>
      </c>
      <c r="E183" s="127" t="s">
        <v>1294</v>
      </c>
      <c r="F183" s="127" t="s">
        <v>1296</v>
      </c>
      <c r="G183" s="127" t="s">
        <v>1678</v>
      </c>
      <c r="M183" s="127" t="s">
        <v>1675</v>
      </c>
      <c r="N183" s="127" t="s">
        <v>1406</v>
      </c>
      <c r="O183" s="123">
        <v>44378</v>
      </c>
      <c r="P183" s="123">
        <v>44498</v>
      </c>
      <c r="Q183" s="123">
        <v>44438</v>
      </c>
      <c r="R183" s="123">
        <v>44444</v>
      </c>
      <c r="S183" s="124">
        <v>35</v>
      </c>
      <c r="T183" s="124">
        <v>35</v>
      </c>
      <c r="U183" s="124">
        <v>5</v>
      </c>
      <c r="V183" s="125">
        <v>0</v>
      </c>
      <c r="W183" s="124">
        <v>0</v>
      </c>
      <c r="X183" s="126">
        <v>1</v>
      </c>
      <c r="Y183" s="126">
        <v>0</v>
      </c>
      <c r="Z183" s="126">
        <v>0</v>
      </c>
      <c r="AC183" s="125">
        <v>0</v>
      </c>
      <c r="AD183" s="124">
        <v>0</v>
      </c>
    </row>
    <row r="184" spans="1:30">
      <c r="A184" s="127" t="s">
        <v>1104</v>
      </c>
      <c r="B184" s="127" t="s">
        <v>1678</v>
      </c>
      <c r="C184" s="127" t="s">
        <v>1085</v>
      </c>
      <c r="D184" s="127" t="s">
        <v>1325</v>
      </c>
      <c r="E184" s="127" t="s">
        <v>1294</v>
      </c>
      <c r="F184" s="127" t="s">
        <v>1296</v>
      </c>
      <c r="G184" s="127" t="s">
        <v>1678</v>
      </c>
      <c r="M184" s="127" t="s">
        <v>1675</v>
      </c>
      <c r="N184" s="127" t="s">
        <v>1406</v>
      </c>
      <c r="O184" s="123">
        <v>44378</v>
      </c>
      <c r="P184" s="123">
        <v>44498</v>
      </c>
      <c r="Q184" s="123">
        <v>44445</v>
      </c>
      <c r="R184" s="123">
        <v>44451</v>
      </c>
      <c r="S184" s="124">
        <v>36</v>
      </c>
      <c r="T184" s="124">
        <v>36</v>
      </c>
      <c r="U184" s="124">
        <v>5</v>
      </c>
      <c r="V184" s="125">
        <v>0</v>
      </c>
      <c r="W184" s="124">
        <v>0</v>
      </c>
      <c r="X184" s="126">
        <v>1</v>
      </c>
      <c r="Y184" s="126">
        <v>0</v>
      </c>
      <c r="Z184" s="126">
        <v>0</v>
      </c>
      <c r="AC184" s="125">
        <v>0</v>
      </c>
      <c r="AD184" s="124">
        <v>0</v>
      </c>
    </row>
    <row r="185" spans="1:30">
      <c r="A185" s="127" t="s">
        <v>1104</v>
      </c>
      <c r="B185" s="127" t="s">
        <v>1678</v>
      </c>
      <c r="C185" s="127" t="s">
        <v>1085</v>
      </c>
      <c r="D185" s="127" t="s">
        <v>1325</v>
      </c>
      <c r="E185" s="127" t="s">
        <v>1294</v>
      </c>
      <c r="F185" s="127" t="s">
        <v>1296</v>
      </c>
      <c r="G185" s="127" t="s">
        <v>1678</v>
      </c>
      <c r="M185" s="127" t="s">
        <v>1675</v>
      </c>
      <c r="N185" s="127" t="s">
        <v>1406</v>
      </c>
      <c r="O185" s="123">
        <v>44378</v>
      </c>
      <c r="P185" s="123">
        <v>44498</v>
      </c>
      <c r="Q185" s="123">
        <v>44452</v>
      </c>
      <c r="R185" s="123">
        <v>44458</v>
      </c>
      <c r="S185" s="124">
        <v>37</v>
      </c>
      <c r="T185" s="124">
        <v>37</v>
      </c>
      <c r="U185" s="124">
        <v>5</v>
      </c>
      <c r="V185" s="125">
        <v>0</v>
      </c>
      <c r="W185" s="124">
        <v>0</v>
      </c>
      <c r="X185" s="126">
        <v>1</v>
      </c>
      <c r="Y185" s="126">
        <v>0</v>
      </c>
      <c r="Z185" s="126">
        <v>0</v>
      </c>
      <c r="AC185" s="125">
        <v>0</v>
      </c>
      <c r="AD185" s="124">
        <v>0</v>
      </c>
    </row>
    <row r="186" spans="1:30">
      <c r="A186" s="127" t="s">
        <v>1104</v>
      </c>
      <c r="B186" s="127" t="s">
        <v>1678</v>
      </c>
      <c r="C186" s="127" t="s">
        <v>1085</v>
      </c>
      <c r="D186" s="127" t="s">
        <v>1325</v>
      </c>
      <c r="E186" s="127" t="s">
        <v>1294</v>
      </c>
      <c r="F186" s="127" t="s">
        <v>1296</v>
      </c>
      <c r="G186" s="127" t="s">
        <v>1678</v>
      </c>
      <c r="M186" s="127" t="s">
        <v>1675</v>
      </c>
      <c r="N186" s="127" t="s">
        <v>1406</v>
      </c>
      <c r="O186" s="123">
        <v>44378</v>
      </c>
      <c r="P186" s="123">
        <v>44498</v>
      </c>
      <c r="Q186" s="123">
        <v>44459</v>
      </c>
      <c r="R186" s="123">
        <v>44465</v>
      </c>
      <c r="S186" s="124">
        <v>38</v>
      </c>
      <c r="T186" s="124">
        <v>38</v>
      </c>
      <c r="U186" s="124">
        <v>2</v>
      </c>
      <c r="V186" s="125">
        <v>0</v>
      </c>
      <c r="W186" s="124">
        <v>0</v>
      </c>
      <c r="X186" s="126">
        <v>1</v>
      </c>
      <c r="Y186" s="126">
        <v>0</v>
      </c>
      <c r="Z186" s="126">
        <v>0</v>
      </c>
      <c r="AC186" s="125">
        <v>0</v>
      </c>
      <c r="AD186" s="124">
        <v>0</v>
      </c>
    </row>
    <row r="187" spans="1:30">
      <c r="A187" s="127" t="s">
        <v>1104</v>
      </c>
      <c r="B187" s="127" t="s">
        <v>1678</v>
      </c>
      <c r="C187" s="127" t="s">
        <v>1085</v>
      </c>
      <c r="D187" s="127" t="s">
        <v>1325</v>
      </c>
      <c r="E187" s="127" t="s">
        <v>1294</v>
      </c>
      <c r="F187" s="127" t="s">
        <v>1296</v>
      </c>
      <c r="G187" s="127" t="s">
        <v>1678</v>
      </c>
      <c r="M187" s="127" t="s">
        <v>1675</v>
      </c>
      <c r="N187" s="127" t="s">
        <v>1406</v>
      </c>
      <c r="O187" s="123">
        <v>44378</v>
      </c>
      <c r="P187" s="123">
        <v>44498</v>
      </c>
      <c r="Q187" s="123">
        <v>44466</v>
      </c>
      <c r="R187" s="123">
        <v>44472</v>
      </c>
      <c r="S187" s="124">
        <v>39</v>
      </c>
      <c r="T187" s="124">
        <v>39</v>
      </c>
      <c r="U187" s="124">
        <v>5</v>
      </c>
      <c r="V187" s="125">
        <v>0</v>
      </c>
      <c r="W187" s="124">
        <v>0</v>
      </c>
      <c r="X187" s="126">
        <v>1</v>
      </c>
      <c r="Y187" s="126">
        <v>0</v>
      </c>
      <c r="Z187" s="126">
        <v>0</v>
      </c>
      <c r="AC187" s="125">
        <v>0</v>
      </c>
      <c r="AD187" s="124">
        <v>0</v>
      </c>
    </row>
    <row r="188" spans="1:30">
      <c r="A188" s="127" t="s">
        <v>1104</v>
      </c>
      <c r="B188" s="127" t="s">
        <v>1678</v>
      </c>
      <c r="C188" s="127" t="s">
        <v>1085</v>
      </c>
      <c r="D188" s="127" t="s">
        <v>1325</v>
      </c>
      <c r="E188" s="127" t="s">
        <v>1294</v>
      </c>
      <c r="F188" s="127" t="s">
        <v>1296</v>
      </c>
      <c r="G188" s="127" t="s">
        <v>1678</v>
      </c>
      <c r="M188" s="127" t="s">
        <v>1675</v>
      </c>
      <c r="N188" s="127" t="s">
        <v>1406</v>
      </c>
      <c r="O188" s="123">
        <v>44378</v>
      </c>
      <c r="P188" s="123">
        <v>44498</v>
      </c>
      <c r="Q188" s="123">
        <v>44473</v>
      </c>
      <c r="R188" s="123">
        <v>44479</v>
      </c>
      <c r="S188" s="124">
        <v>40</v>
      </c>
      <c r="T188" s="124">
        <v>40</v>
      </c>
      <c r="U188" s="124">
        <v>5</v>
      </c>
      <c r="V188" s="125">
        <v>0</v>
      </c>
      <c r="W188" s="124">
        <v>0</v>
      </c>
      <c r="X188" s="126">
        <v>1</v>
      </c>
      <c r="Y188" s="126">
        <v>0</v>
      </c>
      <c r="Z188" s="126">
        <v>0</v>
      </c>
      <c r="AC188" s="125">
        <v>0</v>
      </c>
      <c r="AD188" s="124">
        <v>0</v>
      </c>
    </row>
    <row r="189" spans="1:30">
      <c r="A189" s="127" t="s">
        <v>1104</v>
      </c>
      <c r="B189" s="127" t="s">
        <v>1678</v>
      </c>
      <c r="C189" s="127" t="s">
        <v>1085</v>
      </c>
      <c r="D189" s="127" t="s">
        <v>1325</v>
      </c>
      <c r="E189" s="127" t="s">
        <v>1294</v>
      </c>
      <c r="F189" s="127" t="s">
        <v>1296</v>
      </c>
      <c r="G189" s="127" t="s">
        <v>1678</v>
      </c>
      <c r="M189" s="127" t="s">
        <v>1675</v>
      </c>
      <c r="N189" s="127" t="s">
        <v>1406</v>
      </c>
      <c r="O189" s="123">
        <v>44378</v>
      </c>
      <c r="P189" s="123">
        <v>44498</v>
      </c>
      <c r="Q189" s="123">
        <v>44480</v>
      </c>
      <c r="R189" s="123">
        <v>44486</v>
      </c>
      <c r="S189" s="124">
        <v>41</v>
      </c>
      <c r="T189" s="124">
        <v>41</v>
      </c>
      <c r="U189" s="124">
        <v>5</v>
      </c>
      <c r="V189" s="125">
        <v>0</v>
      </c>
      <c r="W189" s="124">
        <v>0</v>
      </c>
      <c r="X189" s="126">
        <v>1</v>
      </c>
      <c r="Y189" s="126">
        <v>0</v>
      </c>
      <c r="Z189" s="126">
        <v>0</v>
      </c>
      <c r="AC189" s="125">
        <v>0</v>
      </c>
      <c r="AD189" s="124">
        <v>0</v>
      </c>
    </row>
    <row r="190" spans="1:30">
      <c r="A190" s="127" t="s">
        <v>1104</v>
      </c>
      <c r="B190" s="127" t="s">
        <v>1678</v>
      </c>
      <c r="C190" s="127" t="s">
        <v>1085</v>
      </c>
      <c r="D190" s="127" t="s">
        <v>1325</v>
      </c>
      <c r="E190" s="127" t="s">
        <v>1294</v>
      </c>
      <c r="F190" s="127" t="s">
        <v>1296</v>
      </c>
      <c r="G190" s="127" t="s">
        <v>1678</v>
      </c>
      <c r="M190" s="127" t="s">
        <v>1675</v>
      </c>
      <c r="N190" s="127" t="s">
        <v>1406</v>
      </c>
      <c r="O190" s="123">
        <v>44378</v>
      </c>
      <c r="P190" s="123">
        <v>44498</v>
      </c>
      <c r="Q190" s="123">
        <v>44487</v>
      </c>
      <c r="R190" s="123">
        <v>44493</v>
      </c>
      <c r="S190" s="124">
        <v>42</v>
      </c>
      <c r="T190" s="124">
        <v>42</v>
      </c>
      <c r="U190" s="124">
        <v>5</v>
      </c>
      <c r="V190" s="125">
        <v>0</v>
      </c>
      <c r="W190" s="124">
        <v>0</v>
      </c>
      <c r="X190" s="126">
        <v>1</v>
      </c>
      <c r="Y190" s="126">
        <v>0</v>
      </c>
      <c r="Z190" s="126">
        <v>0</v>
      </c>
      <c r="AC190" s="125">
        <v>0</v>
      </c>
      <c r="AD190" s="124">
        <v>0</v>
      </c>
    </row>
    <row r="191" spans="1:30">
      <c r="A191" s="127" t="s">
        <v>1104</v>
      </c>
      <c r="B191" s="127" t="s">
        <v>1678</v>
      </c>
      <c r="C191" s="127" t="s">
        <v>1085</v>
      </c>
      <c r="D191" s="127" t="s">
        <v>1325</v>
      </c>
      <c r="E191" s="127" t="s">
        <v>1294</v>
      </c>
      <c r="F191" s="127" t="s">
        <v>1296</v>
      </c>
      <c r="G191" s="127" t="s">
        <v>1678</v>
      </c>
      <c r="M191" s="127" t="s">
        <v>1675</v>
      </c>
      <c r="N191" s="127" t="s">
        <v>1406</v>
      </c>
      <c r="O191" s="123">
        <v>44378</v>
      </c>
      <c r="P191" s="123">
        <v>44498</v>
      </c>
      <c r="Q191" s="123">
        <v>44494</v>
      </c>
      <c r="R191" s="123">
        <v>44500</v>
      </c>
      <c r="S191" s="124">
        <v>43</v>
      </c>
      <c r="T191" s="124">
        <v>43</v>
      </c>
      <c r="U191" s="124">
        <v>5</v>
      </c>
      <c r="V191" s="125">
        <v>0</v>
      </c>
      <c r="W191" s="124">
        <v>0</v>
      </c>
      <c r="X191" s="126">
        <v>1</v>
      </c>
      <c r="Y191" s="126">
        <v>0</v>
      </c>
      <c r="Z191" s="126">
        <v>0</v>
      </c>
      <c r="AC191" s="125">
        <v>0</v>
      </c>
      <c r="AD191" s="124">
        <v>0</v>
      </c>
    </row>
    <row r="192" spans="1:30">
      <c r="A192" s="127" t="s">
        <v>1104</v>
      </c>
      <c r="B192" s="127" t="s">
        <v>1679</v>
      </c>
      <c r="C192" s="127" t="s">
        <v>1085</v>
      </c>
      <c r="D192" s="127" t="s">
        <v>1325</v>
      </c>
      <c r="E192" s="127" t="s">
        <v>1294</v>
      </c>
      <c r="F192" s="127" t="s">
        <v>1296</v>
      </c>
      <c r="G192" s="127" t="s">
        <v>1679</v>
      </c>
      <c r="M192" s="127" t="s">
        <v>1677</v>
      </c>
      <c r="N192" s="127" t="s">
        <v>1406</v>
      </c>
      <c r="O192" s="123">
        <v>44424</v>
      </c>
      <c r="P192" s="123">
        <v>44498</v>
      </c>
      <c r="Q192" s="123">
        <v>44424</v>
      </c>
      <c r="R192" s="123">
        <v>44430</v>
      </c>
      <c r="S192" s="124">
        <v>33</v>
      </c>
      <c r="T192" s="124">
        <v>33</v>
      </c>
      <c r="U192" s="124">
        <v>5</v>
      </c>
      <c r="V192" s="125">
        <v>0</v>
      </c>
      <c r="W192" s="124">
        <v>0</v>
      </c>
      <c r="X192" s="126">
        <v>1</v>
      </c>
      <c r="Y192" s="126">
        <v>0</v>
      </c>
      <c r="Z192" s="126">
        <v>0</v>
      </c>
      <c r="AC192" s="125">
        <v>0</v>
      </c>
      <c r="AD192" s="124">
        <v>0</v>
      </c>
    </row>
    <row r="193" spans="1:30">
      <c r="A193" s="127" t="s">
        <v>1104</v>
      </c>
      <c r="B193" s="127" t="s">
        <v>1679</v>
      </c>
      <c r="C193" s="127" t="s">
        <v>1085</v>
      </c>
      <c r="D193" s="127" t="s">
        <v>1325</v>
      </c>
      <c r="E193" s="127" t="s">
        <v>1294</v>
      </c>
      <c r="F193" s="127" t="s">
        <v>1296</v>
      </c>
      <c r="G193" s="127" t="s">
        <v>1679</v>
      </c>
      <c r="M193" s="127" t="s">
        <v>1677</v>
      </c>
      <c r="N193" s="127" t="s">
        <v>1406</v>
      </c>
      <c r="O193" s="123">
        <v>44424</v>
      </c>
      <c r="P193" s="123">
        <v>44498</v>
      </c>
      <c r="Q193" s="123">
        <v>44431</v>
      </c>
      <c r="R193" s="123">
        <v>44437</v>
      </c>
      <c r="S193" s="124">
        <v>34</v>
      </c>
      <c r="T193" s="124">
        <v>34</v>
      </c>
      <c r="U193" s="124">
        <v>5</v>
      </c>
      <c r="V193" s="125">
        <v>0</v>
      </c>
      <c r="W193" s="124">
        <v>0</v>
      </c>
      <c r="X193" s="126">
        <v>1</v>
      </c>
      <c r="Y193" s="126">
        <v>0</v>
      </c>
      <c r="Z193" s="126">
        <v>0</v>
      </c>
      <c r="AC193" s="125">
        <v>0</v>
      </c>
      <c r="AD193" s="124">
        <v>0</v>
      </c>
    </row>
    <row r="194" spans="1:30">
      <c r="A194" s="127" t="s">
        <v>1104</v>
      </c>
      <c r="B194" s="127" t="s">
        <v>1679</v>
      </c>
      <c r="C194" s="127" t="s">
        <v>1085</v>
      </c>
      <c r="D194" s="127" t="s">
        <v>1325</v>
      </c>
      <c r="E194" s="127" t="s">
        <v>1294</v>
      </c>
      <c r="F194" s="127" t="s">
        <v>1296</v>
      </c>
      <c r="G194" s="127" t="s">
        <v>1679</v>
      </c>
      <c r="M194" s="127" t="s">
        <v>1677</v>
      </c>
      <c r="N194" s="127" t="s">
        <v>1406</v>
      </c>
      <c r="O194" s="123">
        <v>44424</v>
      </c>
      <c r="P194" s="123">
        <v>44498</v>
      </c>
      <c r="Q194" s="123">
        <v>44438</v>
      </c>
      <c r="R194" s="123">
        <v>44444</v>
      </c>
      <c r="S194" s="124">
        <v>35</v>
      </c>
      <c r="T194" s="124">
        <v>35</v>
      </c>
      <c r="U194" s="124">
        <v>5</v>
      </c>
      <c r="V194" s="125">
        <v>0</v>
      </c>
      <c r="W194" s="124">
        <v>0</v>
      </c>
      <c r="X194" s="126">
        <v>1</v>
      </c>
      <c r="Y194" s="126">
        <v>0</v>
      </c>
      <c r="Z194" s="126">
        <v>0</v>
      </c>
      <c r="AC194" s="125">
        <v>0</v>
      </c>
      <c r="AD194" s="124">
        <v>0</v>
      </c>
    </row>
    <row r="195" spans="1:30">
      <c r="A195" s="127" t="s">
        <v>1104</v>
      </c>
      <c r="B195" s="127" t="s">
        <v>1679</v>
      </c>
      <c r="C195" s="127" t="s">
        <v>1085</v>
      </c>
      <c r="D195" s="127" t="s">
        <v>1325</v>
      </c>
      <c r="E195" s="127" t="s">
        <v>1294</v>
      </c>
      <c r="F195" s="127" t="s">
        <v>1296</v>
      </c>
      <c r="G195" s="127" t="s">
        <v>1679</v>
      </c>
      <c r="M195" s="127" t="s">
        <v>1677</v>
      </c>
      <c r="N195" s="127" t="s">
        <v>1406</v>
      </c>
      <c r="O195" s="123">
        <v>44424</v>
      </c>
      <c r="P195" s="123">
        <v>44498</v>
      </c>
      <c r="Q195" s="123">
        <v>44445</v>
      </c>
      <c r="R195" s="123">
        <v>44451</v>
      </c>
      <c r="S195" s="124">
        <v>36</v>
      </c>
      <c r="T195" s="124">
        <v>36</v>
      </c>
      <c r="U195" s="124">
        <v>5</v>
      </c>
      <c r="V195" s="125">
        <v>0</v>
      </c>
      <c r="W195" s="124">
        <v>0</v>
      </c>
      <c r="X195" s="126">
        <v>1</v>
      </c>
      <c r="Y195" s="126">
        <v>0</v>
      </c>
      <c r="Z195" s="126">
        <v>0</v>
      </c>
      <c r="AC195" s="125">
        <v>0</v>
      </c>
      <c r="AD195" s="124">
        <v>0</v>
      </c>
    </row>
    <row r="196" spans="1:30">
      <c r="A196" s="127" t="s">
        <v>1104</v>
      </c>
      <c r="B196" s="127" t="s">
        <v>1679</v>
      </c>
      <c r="C196" s="127" t="s">
        <v>1085</v>
      </c>
      <c r="D196" s="127" t="s">
        <v>1325</v>
      </c>
      <c r="E196" s="127" t="s">
        <v>1294</v>
      </c>
      <c r="F196" s="127" t="s">
        <v>1296</v>
      </c>
      <c r="G196" s="127" t="s">
        <v>1679</v>
      </c>
      <c r="M196" s="127" t="s">
        <v>1677</v>
      </c>
      <c r="N196" s="127" t="s">
        <v>1406</v>
      </c>
      <c r="O196" s="123">
        <v>44424</v>
      </c>
      <c r="P196" s="123">
        <v>44498</v>
      </c>
      <c r="Q196" s="123">
        <v>44452</v>
      </c>
      <c r="R196" s="123">
        <v>44458</v>
      </c>
      <c r="S196" s="124">
        <v>37</v>
      </c>
      <c r="T196" s="124">
        <v>37</v>
      </c>
      <c r="U196" s="124">
        <v>5</v>
      </c>
      <c r="V196" s="125">
        <v>0</v>
      </c>
      <c r="W196" s="124">
        <v>0</v>
      </c>
      <c r="X196" s="126">
        <v>1</v>
      </c>
      <c r="Y196" s="126">
        <v>0</v>
      </c>
      <c r="Z196" s="126">
        <v>0</v>
      </c>
      <c r="AC196" s="125">
        <v>0</v>
      </c>
      <c r="AD196" s="124">
        <v>0</v>
      </c>
    </row>
    <row r="197" spans="1:30">
      <c r="A197" s="127" t="s">
        <v>1104</v>
      </c>
      <c r="B197" s="127" t="s">
        <v>1679</v>
      </c>
      <c r="C197" s="127" t="s">
        <v>1085</v>
      </c>
      <c r="D197" s="127" t="s">
        <v>1325</v>
      </c>
      <c r="E197" s="127" t="s">
        <v>1294</v>
      </c>
      <c r="F197" s="127" t="s">
        <v>1296</v>
      </c>
      <c r="G197" s="127" t="s">
        <v>1679</v>
      </c>
      <c r="M197" s="127" t="s">
        <v>1677</v>
      </c>
      <c r="N197" s="127" t="s">
        <v>1406</v>
      </c>
      <c r="O197" s="123">
        <v>44424</v>
      </c>
      <c r="P197" s="123">
        <v>44498</v>
      </c>
      <c r="Q197" s="123">
        <v>44459</v>
      </c>
      <c r="R197" s="123">
        <v>44465</v>
      </c>
      <c r="S197" s="124">
        <v>38</v>
      </c>
      <c r="T197" s="124">
        <v>38</v>
      </c>
      <c r="U197" s="124">
        <v>2</v>
      </c>
      <c r="V197" s="125">
        <v>0</v>
      </c>
      <c r="W197" s="124">
        <v>0</v>
      </c>
      <c r="X197" s="126">
        <v>1</v>
      </c>
      <c r="Y197" s="126">
        <v>0</v>
      </c>
      <c r="Z197" s="126">
        <v>0</v>
      </c>
      <c r="AC197" s="125">
        <v>0</v>
      </c>
      <c r="AD197" s="124">
        <v>0</v>
      </c>
    </row>
    <row r="198" spans="1:30">
      <c r="A198" s="127" t="s">
        <v>1104</v>
      </c>
      <c r="B198" s="127" t="s">
        <v>1679</v>
      </c>
      <c r="C198" s="127" t="s">
        <v>1085</v>
      </c>
      <c r="D198" s="127" t="s">
        <v>1325</v>
      </c>
      <c r="E198" s="127" t="s">
        <v>1294</v>
      </c>
      <c r="F198" s="127" t="s">
        <v>1296</v>
      </c>
      <c r="G198" s="127" t="s">
        <v>1679</v>
      </c>
      <c r="M198" s="127" t="s">
        <v>1677</v>
      </c>
      <c r="N198" s="127" t="s">
        <v>1406</v>
      </c>
      <c r="O198" s="123">
        <v>44424</v>
      </c>
      <c r="P198" s="123">
        <v>44498</v>
      </c>
      <c r="Q198" s="123">
        <v>44466</v>
      </c>
      <c r="R198" s="123">
        <v>44472</v>
      </c>
      <c r="S198" s="124">
        <v>39</v>
      </c>
      <c r="T198" s="124">
        <v>39</v>
      </c>
      <c r="U198" s="124">
        <v>5</v>
      </c>
      <c r="V198" s="125">
        <v>0</v>
      </c>
      <c r="W198" s="124">
        <v>0</v>
      </c>
      <c r="X198" s="126">
        <v>1</v>
      </c>
      <c r="Y198" s="126">
        <v>0</v>
      </c>
      <c r="Z198" s="126">
        <v>0</v>
      </c>
      <c r="AC198" s="125">
        <v>0</v>
      </c>
      <c r="AD198" s="124">
        <v>0</v>
      </c>
    </row>
    <row r="199" spans="1:30">
      <c r="A199" s="127" t="s">
        <v>1104</v>
      </c>
      <c r="B199" s="127" t="s">
        <v>1679</v>
      </c>
      <c r="C199" s="127" t="s">
        <v>1085</v>
      </c>
      <c r="D199" s="127" t="s">
        <v>1325</v>
      </c>
      <c r="E199" s="127" t="s">
        <v>1294</v>
      </c>
      <c r="F199" s="127" t="s">
        <v>1296</v>
      </c>
      <c r="G199" s="127" t="s">
        <v>1679</v>
      </c>
      <c r="M199" s="127" t="s">
        <v>1677</v>
      </c>
      <c r="N199" s="127" t="s">
        <v>1406</v>
      </c>
      <c r="O199" s="123">
        <v>44424</v>
      </c>
      <c r="P199" s="123">
        <v>44498</v>
      </c>
      <c r="Q199" s="123">
        <v>44473</v>
      </c>
      <c r="R199" s="123">
        <v>44479</v>
      </c>
      <c r="S199" s="124">
        <v>40</v>
      </c>
      <c r="T199" s="124">
        <v>40</v>
      </c>
      <c r="U199" s="124">
        <v>5</v>
      </c>
      <c r="V199" s="125">
        <v>0</v>
      </c>
      <c r="W199" s="124">
        <v>0</v>
      </c>
      <c r="X199" s="126">
        <v>1</v>
      </c>
      <c r="Y199" s="126">
        <v>0</v>
      </c>
      <c r="Z199" s="126">
        <v>0</v>
      </c>
      <c r="AC199" s="125">
        <v>0</v>
      </c>
      <c r="AD199" s="124">
        <v>0</v>
      </c>
    </row>
    <row r="200" spans="1:30">
      <c r="A200" s="127" t="s">
        <v>1104</v>
      </c>
      <c r="B200" s="127" t="s">
        <v>1679</v>
      </c>
      <c r="C200" s="127" t="s">
        <v>1085</v>
      </c>
      <c r="D200" s="127" t="s">
        <v>1325</v>
      </c>
      <c r="E200" s="127" t="s">
        <v>1294</v>
      </c>
      <c r="F200" s="127" t="s">
        <v>1296</v>
      </c>
      <c r="G200" s="127" t="s">
        <v>1679</v>
      </c>
      <c r="M200" s="127" t="s">
        <v>1677</v>
      </c>
      <c r="N200" s="127" t="s">
        <v>1406</v>
      </c>
      <c r="O200" s="123">
        <v>44424</v>
      </c>
      <c r="P200" s="123">
        <v>44498</v>
      </c>
      <c r="Q200" s="123">
        <v>44480</v>
      </c>
      <c r="R200" s="123">
        <v>44486</v>
      </c>
      <c r="S200" s="124">
        <v>41</v>
      </c>
      <c r="T200" s="124">
        <v>41</v>
      </c>
      <c r="U200" s="124">
        <v>5</v>
      </c>
      <c r="V200" s="125">
        <v>0</v>
      </c>
      <c r="W200" s="124">
        <v>0</v>
      </c>
      <c r="X200" s="126">
        <v>1</v>
      </c>
      <c r="Y200" s="126">
        <v>0</v>
      </c>
      <c r="Z200" s="126">
        <v>0</v>
      </c>
      <c r="AC200" s="125">
        <v>0</v>
      </c>
      <c r="AD200" s="124">
        <v>0</v>
      </c>
    </row>
    <row r="201" spans="1:30">
      <c r="A201" s="127" t="s">
        <v>1104</v>
      </c>
      <c r="B201" s="127" t="s">
        <v>1679</v>
      </c>
      <c r="C201" s="127" t="s">
        <v>1085</v>
      </c>
      <c r="D201" s="127" t="s">
        <v>1325</v>
      </c>
      <c r="E201" s="127" t="s">
        <v>1294</v>
      </c>
      <c r="F201" s="127" t="s">
        <v>1296</v>
      </c>
      <c r="G201" s="127" t="s">
        <v>1679</v>
      </c>
      <c r="M201" s="127" t="s">
        <v>1677</v>
      </c>
      <c r="N201" s="127" t="s">
        <v>1406</v>
      </c>
      <c r="O201" s="123">
        <v>44424</v>
      </c>
      <c r="P201" s="123">
        <v>44498</v>
      </c>
      <c r="Q201" s="123">
        <v>44487</v>
      </c>
      <c r="R201" s="123">
        <v>44493</v>
      </c>
      <c r="S201" s="124">
        <v>42</v>
      </c>
      <c r="T201" s="124">
        <v>42</v>
      </c>
      <c r="U201" s="124">
        <v>5</v>
      </c>
      <c r="V201" s="125">
        <v>0</v>
      </c>
      <c r="W201" s="124">
        <v>0</v>
      </c>
      <c r="X201" s="126">
        <v>1</v>
      </c>
      <c r="Y201" s="126">
        <v>0</v>
      </c>
      <c r="Z201" s="126">
        <v>0</v>
      </c>
      <c r="AC201" s="125">
        <v>0</v>
      </c>
      <c r="AD201" s="124">
        <v>0</v>
      </c>
    </row>
    <row r="202" spans="1:30">
      <c r="A202" s="127" t="s">
        <v>1104</v>
      </c>
      <c r="B202" s="127" t="s">
        <v>1679</v>
      </c>
      <c r="C202" s="127" t="s">
        <v>1085</v>
      </c>
      <c r="D202" s="127" t="s">
        <v>1325</v>
      </c>
      <c r="E202" s="127" t="s">
        <v>1294</v>
      </c>
      <c r="F202" s="127" t="s">
        <v>1296</v>
      </c>
      <c r="G202" s="127" t="s">
        <v>1679</v>
      </c>
      <c r="M202" s="127" t="s">
        <v>1677</v>
      </c>
      <c r="N202" s="127" t="s">
        <v>1406</v>
      </c>
      <c r="O202" s="123">
        <v>44424</v>
      </c>
      <c r="P202" s="123">
        <v>44498</v>
      </c>
      <c r="Q202" s="123">
        <v>44494</v>
      </c>
      <c r="R202" s="123">
        <v>44500</v>
      </c>
      <c r="S202" s="124">
        <v>43</v>
      </c>
      <c r="T202" s="124">
        <v>43</v>
      </c>
      <c r="U202" s="124">
        <v>5</v>
      </c>
      <c r="V202" s="125">
        <v>0</v>
      </c>
      <c r="W202" s="124">
        <v>0</v>
      </c>
      <c r="X202" s="126">
        <v>1</v>
      </c>
      <c r="Y202" s="126">
        <v>0</v>
      </c>
      <c r="Z202" s="126">
        <v>0</v>
      </c>
      <c r="AC202" s="125">
        <v>0</v>
      </c>
      <c r="AD202" s="124">
        <v>0</v>
      </c>
    </row>
    <row r="203" spans="1:30">
      <c r="A203" s="127" t="s">
        <v>1104</v>
      </c>
      <c r="B203" s="127" t="s">
        <v>1680</v>
      </c>
      <c r="C203" s="127" t="s">
        <v>1085</v>
      </c>
      <c r="D203" s="127" t="s">
        <v>1325</v>
      </c>
      <c r="E203" s="127" t="s">
        <v>1294</v>
      </c>
      <c r="F203" s="127" t="s">
        <v>1296</v>
      </c>
      <c r="G203" s="127" t="s">
        <v>1680</v>
      </c>
      <c r="M203" s="127" t="s">
        <v>1672</v>
      </c>
      <c r="N203" s="127" t="s">
        <v>1406</v>
      </c>
      <c r="O203" s="123">
        <v>44410</v>
      </c>
      <c r="P203" s="123">
        <v>44498</v>
      </c>
      <c r="Q203" s="123">
        <v>44410</v>
      </c>
      <c r="R203" s="123">
        <v>44416</v>
      </c>
      <c r="S203" s="124">
        <v>31</v>
      </c>
      <c r="T203" s="124">
        <v>31</v>
      </c>
      <c r="U203" s="124">
        <v>5</v>
      </c>
      <c r="V203" s="125">
        <v>0</v>
      </c>
      <c r="W203" s="124">
        <v>0</v>
      </c>
      <c r="X203" s="126">
        <v>1</v>
      </c>
      <c r="Y203" s="126">
        <v>0</v>
      </c>
      <c r="Z203" s="126">
        <v>0</v>
      </c>
      <c r="AC203" s="125">
        <v>0</v>
      </c>
      <c r="AD203" s="124">
        <v>0</v>
      </c>
    </row>
    <row r="204" spans="1:30">
      <c r="A204" s="127" t="s">
        <v>1104</v>
      </c>
      <c r="B204" s="127" t="s">
        <v>1680</v>
      </c>
      <c r="C204" s="127" t="s">
        <v>1085</v>
      </c>
      <c r="D204" s="127" t="s">
        <v>1325</v>
      </c>
      <c r="E204" s="127" t="s">
        <v>1294</v>
      </c>
      <c r="F204" s="127" t="s">
        <v>1296</v>
      </c>
      <c r="G204" s="127" t="s">
        <v>1680</v>
      </c>
      <c r="M204" s="127" t="s">
        <v>1672</v>
      </c>
      <c r="N204" s="127" t="s">
        <v>1406</v>
      </c>
      <c r="O204" s="123">
        <v>44410</v>
      </c>
      <c r="P204" s="123">
        <v>44498</v>
      </c>
      <c r="Q204" s="123">
        <v>44417</v>
      </c>
      <c r="R204" s="123">
        <v>44423</v>
      </c>
      <c r="S204" s="124">
        <v>32</v>
      </c>
      <c r="T204" s="124">
        <v>32</v>
      </c>
      <c r="U204" s="124">
        <v>5</v>
      </c>
      <c r="V204" s="125">
        <v>0</v>
      </c>
      <c r="W204" s="124">
        <v>0</v>
      </c>
      <c r="X204" s="126">
        <v>1</v>
      </c>
      <c r="Y204" s="126">
        <v>0</v>
      </c>
      <c r="Z204" s="126">
        <v>0</v>
      </c>
      <c r="AC204" s="125">
        <v>0</v>
      </c>
      <c r="AD204" s="124">
        <v>0</v>
      </c>
    </row>
    <row r="205" spans="1:30">
      <c r="A205" s="127" t="s">
        <v>1104</v>
      </c>
      <c r="B205" s="127" t="s">
        <v>1680</v>
      </c>
      <c r="C205" s="127" t="s">
        <v>1085</v>
      </c>
      <c r="D205" s="127" t="s">
        <v>1325</v>
      </c>
      <c r="E205" s="127" t="s">
        <v>1294</v>
      </c>
      <c r="F205" s="127" t="s">
        <v>1296</v>
      </c>
      <c r="G205" s="127" t="s">
        <v>1680</v>
      </c>
      <c r="M205" s="127" t="s">
        <v>1672</v>
      </c>
      <c r="N205" s="127" t="s">
        <v>1406</v>
      </c>
      <c r="O205" s="123">
        <v>44410</v>
      </c>
      <c r="P205" s="123">
        <v>44498</v>
      </c>
      <c r="Q205" s="123">
        <v>44424</v>
      </c>
      <c r="R205" s="123">
        <v>44430</v>
      </c>
      <c r="S205" s="124">
        <v>33</v>
      </c>
      <c r="T205" s="124">
        <v>33</v>
      </c>
      <c r="U205" s="124">
        <v>5</v>
      </c>
      <c r="V205" s="125">
        <v>0</v>
      </c>
      <c r="W205" s="124">
        <v>0</v>
      </c>
      <c r="X205" s="126">
        <v>1</v>
      </c>
      <c r="Y205" s="126">
        <v>0</v>
      </c>
      <c r="Z205" s="126">
        <v>0</v>
      </c>
      <c r="AC205" s="125">
        <v>0</v>
      </c>
      <c r="AD205" s="124">
        <v>0</v>
      </c>
    </row>
    <row r="206" spans="1:30">
      <c r="A206" s="127" t="s">
        <v>1104</v>
      </c>
      <c r="B206" s="127" t="s">
        <v>1680</v>
      </c>
      <c r="C206" s="127" t="s">
        <v>1085</v>
      </c>
      <c r="D206" s="127" t="s">
        <v>1325</v>
      </c>
      <c r="E206" s="127" t="s">
        <v>1294</v>
      </c>
      <c r="F206" s="127" t="s">
        <v>1296</v>
      </c>
      <c r="G206" s="127" t="s">
        <v>1680</v>
      </c>
      <c r="M206" s="127" t="s">
        <v>1672</v>
      </c>
      <c r="N206" s="127" t="s">
        <v>1406</v>
      </c>
      <c r="O206" s="123">
        <v>44410</v>
      </c>
      <c r="P206" s="123">
        <v>44498</v>
      </c>
      <c r="Q206" s="123">
        <v>44431</v>
      </c>
      <c r="R206" s="123">
        <v>44437</v>
      </c>
      <c r="S206" s="124">
        <v>34</v>
      </c>
      <c r="T206" s="124">
        <v>34</v>
      </c>
      <c r="U206" s="124">
        <v>5</v>
      </c>
      <c r="V206" s="125">
        <v>0</v>
      </c>
      <c r="W206" s="124">
        <v>0</v>
      </c>
      <c r="X206" s="126">
        <v>1</v>
      </c>
      <c r="Y206" s="126">
        <v>0</v>
      </c>
      <c r="Z206" s="126">
        <v>0</v>
      </c>
      <c r="AC206" s="125">
        <v>0</v>
      </c>
      <c r="AD206" s="124">
        <v>0</v>
      </c>
    </row>
    <row r="207" spans="1:30">
      <c r="A207" s="127" t="s">
        <v>1104</v>
      </c>
      <c r="B207" s="127" t="s">
        <v>1680</v>
      </c>
      <c r="C207" s="127" t="s">
        <v>1085</v>
      </c>
      <c r="D207" s="127" t="s">
        <v>1325</v>
      </c>
      <c r="E207" s="127" t="s">
        <v>1294</v>
      </c>
      <c r="F207" s="127" t="s">
        <v>1296</v>
      </c>
      <c r="G207" s="127" t="s">
        <v>1680</v>
      </c>
      <c r="M207" s="127" t="s">
        <v>1672</v>
      </c>
      <c r="N207" s="127" t="s">
        <v>1406</v>
      </c>
      <c r="O207" s="123">
        <v>44410</v>
      </c>
      <c r="P207" s="123">
        <v>44498</v>
      </c>
      <c r="Q207" s="123">
        <v>44438</v>
      </c>
      <c r="R207" s="123">
        <v>44444</v>
      </c>
      <c r="S207" s="124">
        <v>35</v>
      </c>
      <c r="T207" s="124">
        <v>35</v>
      </c>
      <c r="U207" s="124">
        <v>5</v>
      </c>
      <c r="V207" s="125">
        <v>0</v>
      </c>
      <c r="W207" s="124">
        <v>0</v>
      </c>
      <c r="X207" s="126">
        <v>1</v>
      </c>
      <c r="Y207" s="126">
        <v>0</v>
      </c>
      <c r="Z207" s="126">
        <v>0</v>
      </c>
      <c r="AC207" s="125">
        <v>0</v>
      </c>
      <c r="AD207" s="124">
        <v>0</v>
      </c>
    </row>
    <row r="208" spans="1:30">
      <c r="A208" s="127" t="s">
        <v>1104</v>
      </c>
      <c r="B208" s="127" t="s">
        <v>1680</v>
      </c>
      <c r="C208" s="127" t="s">
        <v>1085</v>
      </c>
      <c r="D208" s="127" t="s">
        <v>1325</v>
      </c>
      <c r="E208" s="127" t="s">
        <v>1294</v>
      </c>
      <c r="F208" s="127" t="s">
        <v>1296</v>
      </c>
      <c r="G208" s="127" t="s">
        <v>1680</v>
      </c>
      <c r="M208" s="127" t="s">
        <v>1672</v>
      </c>
      <c r="N208" s="127" t="s">
        <v>1406</v>
      </c>
      <c r="O208" s="123">
        <v>44410</v>
      </c>
      <c r="P208" s="123">
        <v>44498</v>
      </c>
      <c r="Q208" s="123">
        <v>44445</v>
      </c>
      <c r="R208" s="123">
        <v>44451</v>
      </c>
      <c r="S208" s="124">
        <v>36</v>
      </c>
      <c r="T208" s="124">
        <v>36</v>
      </c>
      <c r="U208" s="124">
        <v>5</v>
      </c>
      <c r="V208" s="125">
        <v>0</v>
      </c>
      <c r="W208" s="124">
        <v>0</v>
      </c>
      <c r="X208" s="126">
        <v>1</v>
      </c>
      <c r="Y208" s="126">
        <v>0</v>
      </c>
      <c r="Z208" s="126">
        <v>0</v>
      </c>
      <c r="AC208" s="125">
        <v>0</v>
      </c>
      <c r="AD208" s="124">
        <v>0</v>
      </c>
    </row>
    <row r="209" spans="1:30">
      <c r="A209" s="127" t="s">
        <v>1104</v>
      </c>
      <c r="B209" s="127" t="s">
        <v>1680</v>
      </c>
      <c r="C209" s="127" t="s">
        <v>1085</v>
      </c>
      <c r="D209" s="127" t="s">
        <v>1325</v>
      </c>
      <c r="E209" s="127" t="s">
        <v>1294</v>
      </c>
      <c r="F209" s="127" t="s">
        <v>1296</v>
      </c>
      <c r="G209" s="127" t="s">
        <v>1680</v>
      </c>
      <c r="M209" s="127" t="s">
        <v>1672</v>
      </c>
      <c r="N209" s="127" t="s">
        <v>1406</v>
      </c>
      <c r="O209" s="123">
        <v>44410</v>
      </c>
      <c r="P209" s="123">
        <v>44498</v>
      </c>
      <c r="Q209" s="123">
        <v>44452</v>
      </c>
      <c r="R209" s="123">
        <v>44458</v>
      </c>
      <c r="S209" s="124">
        <v>37</v>
      </c>
      <c r="T209" s="124">
        <v>37</v>
      </c>
      <c r="U209" s="124">
        <v>5</v>
      </c>
      <c r="V209" s="125">
        <v>0</v>
      </c>
      <c r="W209" s="124">
        <v>0</v>
      </c>
      <c r="X209" s="126">
        <v>1</v>
      </c>
      <c r="Y209" s="126">
        <v>0</v>
      </c>
      <c r="Z209" s="126">
        <v>0</v>
      </c>
      <c r="AC209" s="125">
        <v>0</v>
      </c>
      <c r="AD209" s="124">
        <v>0</v>
      </c>
    </row>
    <row r="210" spans="1:30">
      <c r="A210" s="127" t="s">
        <v>1104</v>
      </c>
      <c r="B210" s="127" t="s">
        <v>1680</v>
      </c>
      <c r="C210" s="127" t="s">
        <v>1085</v>
      </c>
      <c r="D210" s="127" t="s">
        <v>1325</v>
      </c>
      <c r="E210" s="127" t="s">
        <v>1294</v>
      </c>
      <c r="F210" s="127" t="s">
        <v>1296</v>
      </c>
      <c r="G210" s="127" t="s">
        <v>1680</v>
      </c>
      <c r="M210" s="127" t="s">
        <v>1672</v>
      </c>
      <c r="N210" s="127" t="s">
        <v>1406</v>
      </c>
      <c r="O210" s="123">
        <v>44410</v>
      </c>
      <c r="P210" s="123">
        <v>44498</v>
      </c>
      <c r="Q210" s="123">
        <v>44459</v>
      </c>
      <c r="R210" s="123">
        <v>44465</v>
      </c>
      <c r="S210" s="124">
        <v>38</v>
      </c>
      <c r="T210" s="124">
        <v>38</v>
      </c>
      <c r="U210" s="124">
        <v>2</v>
      </c>
      <c r="V210" s="125">
        <v>0</v>
      </c>
      <c r="W210" s="124">
        <v>0</v>
      </c>
      <c r="X210" s="126">
        <v>1</v>
      </c>
      <c r="Y210" s="126">
        <v>0</v>
      </c>
      <c r="Z210" s="126">
        <v>0</v>
      </c>
      <c r="AC210" s="125">
        <v>0</v>
      </c>
      <c r="AD210" s="124">
        <v>0</v>
      </c>
    </row>
    <row r="211" spans="1:30">
      <c r="A211" s="127" t="s">
        <v>1104</v>
      </c>
      <c r="B211" s="127" t="s">
        <v>1680</v>
      </c>
      <c r="C211" s="127" t="s">
        <v>1085</v>
      </c>
      <c r="D211" s="127" t="s">
        <v>1325</v>
      </c>
      <c r="E211" s="127" t="s">
        <v>1294</v>
      </c>
      <c r="F211" s="127" t="s">
        <v>1296</v>
      </c>
      <c r="G211" s="127" t="s">
        <v>1680</v>
      </c>
      <c r="M211" s="127" t="s">
        <v>1672</v>
      </c>
      <c r="N211" s="127" t="s">
        <v>1406</v>
      </c>
      <c r="O211" s="123">
        <v>44410</v>
      </c>
      <c r="P211" s="123">
        <v>44498</v>
      </c>
      <c r="Q211" s="123">
        <v>44466</v>
      </c>
      <c r="R211" s="123">
        <v>44472</v>
      </c>
      <c r="S211" s="124">
        <v>39</v>
      </c>
      <c r="T211" s="124">
        <v>39</v>
      </c>
      <c r="U211" s="124">
        <v>5</v>
      </c>
      <c r="V211" s="125">
        <v>0</v>
      </c>
      <c r="W211" s="124">
        <v>0</v>
      </c>
      <c r="X211" s="126">
        <v>1</v>
      </c>
      <c r="Y211" s="126">
        <v>0</v>
      </c>
      <c r="Z211" s="126">
        <v>0</v>
      </c>
      <c r="AC211" s="125">
        <v>0</v>
      </c>
      <c r="AD211" s="124">
        <v>0</v>
      </c>
    </row>
    <row r="212" spans="1:30">
      <c r="A212" s="127" t="s">
        <v>1104</v>
      </c>
      <c r="B212" s="127" t="s">
        <v>1680</v>
      </c>
      <c r="C212" s="127" t="s">
        <v>1085</v>
      </c>
      <c r="D212" s="127" t="s">
        <v>1325</v>
      </c>
      <c r="E212" s="127" t="s">
        <v>1294</v>
      </c>
      <c r="F212" s="127" t="s">
        <v>1296</v>
      </c>
      <c r="G212" s="127" t="s">
        <v>1680</v>
      </c>
      <c r="M212" s="127" t="s">
        <v>1672</v>
      </c>
      <c r="N212" s="127" t="s">
        <v>1406</v>
      </c>
      <c r="O212" s="123">
        <v>44410</v>
      </c>
      <c r="P212" s="123">
        <v>44498</v>
      </c>
      <c r="Q212" s="123">
        <v>44473</v>
      </c>
      <c r="R212" s="123">
        <v>44479</v>
      </c>
      <c r="S212" s="124">
        <v>40</v>
      </c>
      <c r="T212" s="124">
        <v>40</v>
      </c>
      <c r="U212" s="124">
        <v>5</v>
      </c>
      <c r="V212" s="125">
        <v>0</v>
      </c>
      <c r="W212" s="124">
        <v>0</v>
      </c>
      <c r="X212" s="126">
        <v>1</v>
      </c>
      <c r="Y212" s="126">
        <v>0</v>
      </c>
      <c r="Z212" s="126">
        <v>0</v>
      </c>
      <c r="AC212" s="125">
        <v>0</v>
      </c>
      <c r="AD212" s="124">
        <v>0</v>
      </c>
    </row>
    <row r="213" spans="1:30">
      <c r="A213" s="127" t="s">
        <v>1104</v>
      </c>
      <c r="B213" s="127" t="s">
        <v>1680</v>
      </c>
      <c r="C213" s="127" t="s">
        <v>1085</v>
      </c>
      <c r="D213" s="127" t="s">
        <v>1325</v>
      </c>
      <c r="E213" s="127" t="s">
        <v>1294</v>
      </c>
      <c r="F213" s="127" t="s">
        <v>1296</v>
      </c>
      <c r="G213" s="127" t="s">
        <v>1680</v>
      </c>
      <c r="M213" s="127" t="s">
        <v>1672</v>
      </c>
      <c r="N213" s="127" t="s">
        <v>1406</v>
      </c>
      <c r="O213" s="123">
        <v>44410</v>
      </c>
      <c r="P213" s="123">
        <v>44498</v>
      </c>
      <c r="Q213" s="123">
        <v>44480</v>
      </c>
      <c r="R213" s="123">
        <v>44486</v>
      </c>
      <c r="S213" s="124">
        <v>41</v>
      </c>
      <c r="T213" s="124">
        <v>41</v>
      </c>
      <c r="U213" s="124">
        <v>5</v>
      </c>
      <c r="V213" s="125">
        <v>0</v>
      </c>
      <c r="W213" s="124">
        <v>0</v>
      </c>
      <c r="X213" s="126">
        <v>1</v>
      </c>
      <c r="Y213" s="126">
        <v>0</v>
      </c>
      <c r="Z213" s="126">
        <v>0</v>
      </c>
      <c r="AC213" s="125">
        <v>0</v>
      </c>
      <c r="AD213" s="124">
        <v>0</v>
      </c>
    </row>
    <row r="214" spans="1:30">
      <c r="A214" s="127" t="s">
        <v>1104</v>
      </c>
      <c r="B214" s="127" t="s">
        <v>1680</v>
      </c>
      <c r="C214" s="127" t="s">
        <v>1085</v>
      </c>
      <c r="D214" s="127" t="s">
        <v>1325</v>
      </c>
      <c r="E214" s="127" t="s">
        <v>1294</v>
      </c>
      <c r="F214" s="127" t="s">
        <v>1296</v>
      </c>
      <c r="G214" s="127" t="s">
        <v>1680</v>
      </c>
      <c r="M214" s="127" t="s">
        <v>1672</v>
      </c>
      <c r="N214" s="127" t="s">
        <v>1406</v>
      </c>
      <c r="O214" s="123">
        <v>44410</v>
      </c>
      <c r="P214" s="123">
        <v>44498</v>
      </c>
      <c r="Q214" s="123">
        <v>44487</v>
      </c>
      <c r="R214" s="123">
        <v>44493</v>
      </c>
      <c r="S214" s="124">
        <v>42</v>
      </c>
      <c r="T214" s="124">
        <v>42</v>
      </c>
      <c r="U214" s="124">
        <v>5</v>
      </c>
      <c r="V214" s="125">
        <v>0</v>
      </c>
      <c r="W214" s="124">
        <v>0</v>
      </c>
      <c r="X214" s="126">
        <v>1</v>
      </c>
      <c r="Y214" s="126">
        <v>0</v>
      </c>
      <c r="Z214" s="126">
        <v>0</v>
      </c>
      <c r="AC214" s="125">
        <v>0</v>
      </c>
      <c r="AD214" s="124">
        <v>0</v>
      </c>
    </row>
    <row r="215" spans="1:30">
      <c r="A215" s="127" t="s">
        <v>1104</v>
      </c>
      <c r="B215" s="127" t="s">
        <v>1680</v>
      </c>
      <c r="C215" s="127" t="s">
        <v>1085</v>
      </c>
      <c r="D215" s="127" t="s">
        <v>1325</v>
      </c>
      <c r="E215" s="127" t="s">
        <v>1294</v>
      </c>
      <c r="F215" s="127" t="s">
        <v>1296</v>
      </c>
      <c r="G215" s="127" t="s">
        <v>1680</v>
      </c>
      <c r="M215" s="127" t="s">
        <v>1672</v>
      </c>
      <c r="N215" s="127" t="s">
        <v>1406</v>
      </c>
      <c r="O215" s="123">
        <v>44410</v>
      </c>
      <c r="P215" s="123">
        <v>44498</v>
      </c>
      <c r="Q215" s="123">
        <v>44494</v>
      </c>
      <c r="R215" s="123">
        <v>44500</v>
      </c>
      <c r="S215" s="124">
        <v>43</v>
      </c>
      <c r="T215" s="124">
        <v>43</v>
      </c>
      <c r="U215" s="124">
        <v>5</v>
      </c>
      <c r="V215" s="125">
        <v>0</v>
      </c>
      <c r="W215" s="124">
        <v>0</v>
      </c>
      <c r="X215" s="126">
        <v>1</v>
      </c>
      <c r="Y215" s="126">
        <v>0</v>
      </c>
      <c r="Z215" s="126">
        <v>0</v>
      </c>
      <c r="AC215" s="125">
        <v>0</v>
      </c>
      <c r="AD215" s="124">
        <v>0</v>
      </c>
    </row>
    <row r="216" spans="1:30">
      <c r="A216" s="127" t="s">
        <v>1103</v>
      </c>
      <c r="B216" s="127" t="s">
        <v>1300</v>
      </c>
      <c r="C216" s="127" t="s">
        <v>1085</v>
      </c>
      <c r="D216" s="127" t="s">
        <v>1325</v>
      </c>
      <c r="E216" s="127" t="s">
        <v>1298</v>
      </c>
      <c r="F216" s="127" t="s">
        <v>1300</v>
      </c>
      <c r="M216" s="127" t="s">
        <v>1301</v>
      </c>
      <c r="N216" s="127" t="s">
        <v>1406</v>
      </c>
      <c r="O216" s="123">
        <v>44501</v>
      </c>
      <c r="P216" s="123">
        <v>44554</v>
      </c>
      <c r="Q216" s="123">
        <v>44501</v>
      </c>
      <c r="R216" s="123">
        <v>44507</v>
      </c>
      <c r="S216" s="124">
        <v>44</v>
      </c>
      <c r="T216" s="124">
        <v>44</v>
      </c>
      <c r="U216" s="124">
        <v>5</v>
      </c>
      <c r="V216" s="125">
        <v>0</v>
      </c>
      <c r="W216" s="124">
        <v>0</v>
      </c>
      <c r="X216" s="126">
        <v>1</v>
      </c>
      <c r="Y216" s="126">
        <v>0</v>
      </c>
      <c r="Z216" s="126">
        <v>0</v>
      </c>
      <c r="AC216" s="125">
        <v>0</v>
      </c>
      <c r="AD216" s="124">
        <v>0</v>
      </c>
    </row>
    <row r="217" spans="1:30">
      <c r="A217" s="127" t="s">
        <v>1103</v>
      </c>
      <c r="B217" s="127" t="s">
        <v>1300</v>
      </c>
      <c r="C217" s="127" t="s">
        <v>1085</v>
      </c>
      <c r="D217" s="127" t="s">
        <v>1325</v>
      </c>
      <c r="E217" s="127" t="s">
        <v>1298</v>
      </c>
      <c r="F217" s="127" t="s">
        <v>1300</v>
      </c>
      <c r="M217" s="127" t="s">
        <v>1301</v>
      </c>
      <c r="N217" s="127" t="s">
        <v>1406</v>
      </c>
      <c r="O217" s="123">
        <v>44501</v>
      </c>
      <c r="P217" s="123">
        <v>44554</v>
      </c>
      <c r="Q217" s="123">
        <v>44508</v>
      </c>
      <c r="R217" s="123">
        <v>44514</v>
      </c>
      <c r="S217" s="124">
        <v>45</v>
      </c>
      <c r="T217" s="124">
        <v>45</v>
      </c>
      <c r="U217" s="124">
        <v>5</v>
      </c>
      <c r="V217" s="125">
        <v>0</v>
      </c>
      <c r="W217" s="124">
        <v>0</v>
      </c>
      <c r="X217" s="126">
        <v>1</v>
      </c>
      <c r="Y217" s="126">
        <v>0</v>
      </c>
      <c r="Z217" s="126">
        <v>0</v>
      </c>
      <c r="AC217" s="125">
        <v>0</v>
      </c>
      <c r="AD217" s="124">
        <v>0</v>
      </c>
    </row>
    <row r="218" spans="1:30">
      <c r="A218" s="127" t="s">
        <v>1103</v>
      </c>
      <c r="B218" s="127" t="s">
        <v>1300</v>
      </c>
      <c r="C218" s="127" t="s">
        <v>1085</v>
      </c>
      <c r="D218" s="127" t="s">
        <v>1325</v>
      </c>
      <c r="E218" s="127" t="s">
        <v>1298</v>
      </c>
      <c r="F218" s="127" t="s">
        <v>1300</v>
      </c>
      <c r="M218" s="127" t="s">
        <v>1301</v>
      </c>
      <c r="N218" s="127" t="s">
        <v>1406</v>
      </c>
      <c r="O218" s="123">
        <v>44501</v>
      </c>
      <c r="P218" s="123">
        <v>44554</v>
      </c>
      <c r="Q218" s="123">
        <v>44515</v>
      </c>
      <c r="R218" s="123">
        <v>44521</v>
      </c>
      <c r="S218" s="124">
        <v>46</v>
      </c>
      <c r="T218" s="124">
        <v>46</v>
      </c>
      <c r="U218" s="124">
        <v>5</v>
      </c>
      <c r="V218" s="125">
        <v>0</v>
      </c>
      <c r="W218" s="124">
        <v>0</v>
      </c>
      <c r="X218" s="126">
        <v>1</v>
      </c>
      <c r="Y218" s="126">
        <v>0</v>
      </c>
      <c r="Z218" s="126">
        <v>0</v>
      </c>
      <c r="AC218" s="125">
        <v>0</v>
      </c>
      <c r="AD218" s="124">
        <v>0</v>
      </c>
    </row>
    <row r="219" spans="1:30">
      <c r="A219" s="127" t="s">
        <v>1103</v>
      </c>
      <c r="B219" s="127" t="s">
        <v>1300</v>
      </c>
      <c r="C219" s="127" t="s">
        <v>1085</v>
      </c>
      <c r="D219" s="127" t="s">
        <v>1325</v>
      </c>
      <c r="E219" s="127" t="s">
        <v>1298</v>
      </c>
      <c r="F219" s="127" t="s">
        <v>1300</v>
      </c>
      <c r="M219" s="127" t="s">
        <v>1301</v>
      </c>
      <c r="N219" s="127" t="s">
        <v>1406</v>
      </c>
      <c r="O219" s="123">
        <v>44501</v>
      </c>
      <c r="P219" s="123">
        <v>44554</v>
      </c>
      <c r="Q219" s="123">
        <v>44522</v>
      </c>
      <c r="R219" s="123">
        <v>44528</v>
      </c>
      <c r="S219" s="124">
        <v>47</v>
      </c>
      <c r="T219" s="124">
        <v>47</v>
      </c>
      <c r="U219" s="124">
        <v>5</v>
      </c>
      <c r="V219" s="125">
        <v>0</v>
      </c>
      <c r="W219" s="124">
        <v>0</v>
      </c>
      <c r="X219" s="126">
        <v>1</v>
      </c>
      <c r="Y219" s="126">
        <v>0</v>
      </c>
      <c r="Z219" s="126">
        <v>0</v>
      </c>
      <c r="AC219" s="125">
        <v>0</v>
      </c>
      <c r="AD219" s="124">
        <v>0</v>
      </c>
    </row>
    <row r="220" spans="1:30">
      <c r="A220" s="127" t="s">
        <v>1103</v>
      </c>
      <c r="B220" s="127" t="s">
        <v>1300</v>
      </c>
      <c r="C220" s="127" t="s">
        <v>1085</v>
      </c>
      <c r="D220" s="127" t="s">
        <v>1325</v>
      </c>
      <c r="E220" s="127" t="s">
        <v>1298</v>
      </c>
      <c r="F220" s="127" t="s">
        <v>1300</v>
      </c>
      <c r="M220" s="127" t="s">
        <v>1301</v>
      </c>
      <c r="N220" s="127" t="s">
        <v>1406</v>
      </c>
      <c r="O220" s="123">
        <v>44501</v>
      </c>
      <c r="P220" s="123">
        <v>44554</v>
      </c>
      <c r="Q220" s="123">
        <v>44529</v>
      </c>
      <c r="R220" s="123">
        <v>44535</v>
      </c>
      <c r="S220" s="124">
        <v>48</v>
      </c>
      <c r="T220" s="124">
        <v>48</v>
      </c>
      <c r="U220" s="124">
        <v>5</v>
      </c>
      <c r="V220" s="125">
        <v>0</v>
      </c>
      <c r="W220" s="124">
        <v>0</v>
      </c>
      <c r="X220" s="126">
        <v>1</v>
      </c>
      <c r="Y220" s="126">
        <v>0</v>
      </c>
      <c r="Z220" s="126">
        <v>0</v>
      </c>
      <c r="AC220" s="125">
        <v>0</v>
      </c>
      <c r="AD220" s="124">
        <v>0</v>
      </c>
    </row>
    <row r="221" spans="1:30">
      <c r="A221" s="127" t="s">
        <v>1103</v>
      </c>
      <c r="B221" s="127" t="s">
        <v>1300</v>
      </c>
      <c r="C221" s="127" t="s">
        <v>1085</v>
      </c>
      <c r="D221" s="127" t="s">
        <v>1325</v>
      </c>
      <c r="E221" s="127" t="s">
        <v>1298</v>
      </c>
      <c r="F221" s="127" t="s">
        <v>1300</v>
      </c>
      <c r="M221" s="127" t="s">
        <v>1301</v>
      </c>
      <c r="N221" s="127" t="s">
        <v>1406</v>
      </c>
      <c r="O221" s="123">
        <v>44501</v>
      </c>
      <c r="P221" s="123">
        <v>44554</v>
      </c>
      <c r="Q221" s="123">
        <v>44536</v>
      </c>
      <c r="R221" s="123">
        <v>44542</v>
      </c>
      <c r="S221" s="124">
        <v>49</v>
      </c>
      <c r="T221" s="124">
        <v>49</v>
      </c>
      <c r="U221" s="124">
        <v>5</v>
      </c>
      <c r="V221" s="125">
        <v>0</v>
      </c>
      <c r="W221" s="124">
        <v>0</v>
      </c>
      <c r="X221" s="126">
        <v>1</v>
      </c>
      <c r="Y221" s="126">
        <v>0</v>
      </c>
      <c r="Z221" s="126">
        <v>0</v>
      </c>
      <c r="AC221" s="125">
        <v>0</v>
      </c>
      <c r="AD221" s="124">
        <v>0</v>
      </c>
    </row>
    <row r="222" spans="1:30">
      <c r="A222" s="127" t="s">
        <v>1103</v>
      </c>
      <c r="B222" s="127" t="s">
        <v>1300</v>
      </c>
      <c r="C222" s="127" t="s">
        <v>1085</v>
      </c>
      <c r="D222" s="127" t="s">
        <v>1325</v>
      </c>
      <c r="E222" s="127" t="s">
        <v>1298</v>
      </c>
      <c r="F222" s="127" t="s">
        <v>1300</v>
      </c>
      <c r="M222" s="127" t="s">
        <v>1301</v>
      </c>
      <c r="N222" s="127" t="s">
        <v>1406</v>
      </c>
      <c r="O222" s="123">
        <v>44501</v>
      </c>
      <c r="P222" s="123">
        <v>44554</v>
      </c>
      <c r="Q222" s="123">
        <v>44543</v>
      </c>
      <c r="R222" s="123">
        <v>44549</v>
      </c>
      <c r="S222" s="124">
        <v>50</v>
      </c>
      <c r="T222" s="124">
        <v>50</v>
      </c>
      <c r="U222" s="124">
        <v>5</v>
      </c>
      <c r="V222" s="125">
        <v>0</v>
      </c>
      <c r="W222" s="124">
        <v>0</v>
      </c>
      <c r="X222" s="126">
        <v>1</v>
      </c>
      <c r="Y222" s="126">
        <v>0</v>
      </c>
      <c r="Z222" s="126">
        <v>0</v>
      </c>
      <c r="AC222" s="125">
        <v>0</v>
      </c>
      <c r="AD222" s="124">
        <v>0</v>
      </c>
    </row>
    <row r="223" spans="1:30">
      <c r="A223" s="127" t="s">
        <v>1103</v>
      </c>
      <c r="B223" s="127" t="s">
        <v>1300</v>
      </c>
      <c r="C223" s="127" t="s">
        <v>1085</v>
      </c>
      <c r="D223" s="127" t="s">
        <v>1325</v>
      </c>
      <c r="E223" s="127" t="s">
        <v>1298</v>
      </c>
      <c r="F223" s="127" t="s">
        <v>1300</v>
      </c>
      <c r="M223" s="127" t="s">
        <v>1301</v>
      </c>
      <c r="N223" s="127" t="s">
        <v>1406</v>
      </c>
      <c r="O223" s="123">
        <v>44501</v>
      </c>
      <c r="P223" s="123">
        <v>44554</v>
      </c>
      <c r="Q223" s="123">
        <v>44550</v>
      </c>
      <c r="R223" s="123">
        <v>44556</v>
      </c>
      <c r="S223" s="124">
        <v>51</v>
      </c>
      <c r="T223" s="124">
        <v>51</v>
      </c>
      <c r="U223" s="124">
        <v>5</v>
      </c>
      <c r="V223" s="125">
        <v>0</v>
      </c>
      <c r="W223" s="124">
        <v>0</v>
      </c>
      <c r="X223" s="126">
        <v>1</v>
      </c>
      <c r="Y223" s="126">
        <v>0</v>
      </c>
      <c r="Z223" s="126">
        <v>0</v>
      </c>
      <c r="AC223" s="125">
        <v>0</v>
      </c>
      <c r="AD223" s="124">
        <v>0</v>
      </c>
    </row>
    <row r="224" spans="1:30">
      <c r="A224" s="127" t="s">
        <v>1103</v>
      </c>
      <c r="B224" s="127" t="s">
        <v>1302</v>
      </c>
      <c r="C224" s="127" t="s">
        <v>1085</v>
      </c>
      <c r="D224" s="127" t="s">
        <v>1325</v>
      </c>
      <c r="E224" s="127" t="s">
        <v>1298</v>
      </c>
      <c r="F224" s="127" t="s">
        <v>1302</v>
      </c>
      <c r="M224" s="127" t="s">
        <v>1303</v>
      </c>
      <c r="N224" s="127" t="s">
        <v>1406</v>
      </c>
      <c r="O224" s="123">
        <v>44480</v>
      </c>
      <c r="P224" s="123">
        <v>44498</v>
      </c>
      <c r="Q224" s="123">
        <v>44480</v>
      </c>
      <c r="R224" s="123">
        <v>44486</v>
      </c>
      <c r="S224" s="124">
        <v>41</v>
      </c>
      <c r="T224" s="124">
        <v>41</v>
      </c>
      <c r="U224" s="124">
        <v>5</v>
      </c>
      <c r="V224" s="125">
        <v>0</v>
      </c>
      <c r="W224" s="124">
        <v>0</v>
      </c>
      <c r="X224" s="126">
        <v>1</v>
      </c>
      <c r="Y224" s="126">
        <v>0</v>
      </c>
      <c r="Z224" s="126">
        <v>0</v>
      </c>
      <c r="AC224" s="125">
        <v>0</v>
      </c>
      <c r="AD224" s="124">
        <v>0</v>
      </c>
    </row>
    <row r="225" spans="1:30">
      <c r="A225" s="127" t="s">
        <v>1103</v>
      </c>
      <c r="B225" s="127" t="s">
        <v>1302</v>
      </c>
      <c r="C225" s="127" t="s">
        <v>1085</v>
      </c>
      <c r="D225" s="127" t="s">
        <v>1325</v>
      </c>
      <c r="E225" s="127" t="s">
        <v>1298</v>
      </c>
      <c r="F225" s="127" t="s">
        <v>1302</v>
      </c>
      <c r="M225" s="127" t="s">
        <v>1303</v>
      </c>
      <c r="N225" s="127" t="s">
        <v>1406</v>
      </c>
      <c r="O225" s="123">
        <v>44480</v>
      </c>
      <c r="P225" s="123">
        <v>44498</v>
      </c>
      <c r="Q225" s="123">
        <v>44487</v>
      </c>
      <c r="R225" s="123">
        <v>44493</v>
      </c>
      <c r="S225" s="124">
        <v>42</v>
      </c>
      <c r="T225" s="124">
        <v>42</v>
      </c>
      <c r="U225" s="124">
        <v>5</v>
      </c>
      <c r="V225" s="125">
        <v>0</v>
      </c>
      <c r="W225" s="124">
        <v>0</v>
      </c>
      <c r="X225" s="126">
        <v>1</v>
      </c>
      <c r="Y225" s="126">
        <v>0</v>
      </c>
      <c r="Z225" s="126">
        <v>0</v>
      </c>
      <c r="AC225" s="125">
        <v>0</v>
      </c>
      <c r="AD225" s="124">
        <v>0</v>
      </c>
    </row>
    <row r="226" spans="1:30">
      <c r="A226" s="127" t="s">
        <v>1103</v>
      </c>
      <c r="B226" s="127" t="s">
        <v>1302</v>
      </c>
      <c r="C226" s="127" t="s">
        <v>1085</v>
      </c>
      <c r="D226" s="127" t="s">
        <v>1325</v>
      </c>
      <c r="E226" s="127" t="s">
        <v>1298</v>
      </c>
      <c r="F226" s="127" t="s">
        <v>1302</v>
      </c>
      <c r="M226" s="127" t="s">
        <v>1303</v>
      </c>
      <c r="N226" s="127" t="s">
        <v>1406</v>
      </c>
      <c r="O226" s="123">
        <v>44480</v>
      </c>
      <c r="P226" s="123">
        <v>44498</v>
      </c>
      <c r="Q226" s="123">
        <v>44494</v>
      </c>
      <c r="R226" s="123">
        <v>44500</v>
      </c>
      <c r="S226" s="124">
        <v>43</v>
      </c>
      <c r="T226" s="124">
        <v>43</v>
      </c>
      <c r="U226" s="124">
        <v>5</v>
      </c>
      <c r="V226" s="125">
        <v>0</v>
      </c>
      <c r="W226" s="124">
        <v>0</v>
      </c>
      <c r="X226" s="126">
        <v>1</v>
      </c>
      <c r="Y226" s="126">
        <v>0</v>
      </c>
      <c r="Z226" s="126">
        <v>0</v>
      </c>
      <c r="AC226" s="125">
        <v>0</v>
      </c>
      <c r="AD226" s="124">
        <v>0</v>
      </c>
    </row>
    <row r="227" spans="1:30">
      <c r="A227" s="127" t="s">
        <v>1103</v>
      </c>
      <c r="B227" s="127" t="s">
        <v>1307</v>
      </c>
      <c r="C227" s="127" t="s">
        <v>1085</v>
      </c>
      <c r="D227" s="127" t="s">
        <v>1326</v>
      </c>
      <c r="E227" s="127" t="s">
        <v>1305</v>
      </c>
      <c r="F227" s="127" t="s">
        <v>1307</v>
      </c>
      <c r="M227" s="127" t="s">
        <v>1308</v>
      </c>
      <c r="N227" s="127" t="s">
        <v>1406</v>
      </c>
      <c r="O227" s="123">
        <v>44531</v>
      </c>
      <c r="P227" s="123">
        <v>44554</v>
      </c>
      <c r="Q227" s="123">
        <v>44529</v>
      </c>
      <c r="R227" s="123">
        <v>44535</v>
      </c>
      <c r="S227" s="124">
        <v>48</v>
      </c>
      <c r="T227" s="124">
        <v>48</v>
      </c>
      <c r="U227" s="124">
        <v>3</v>
      </c>
      <c r="V227" s="125">
        <v>0</v>
      </c>
      <c r="W227" s="124">
        <v>0</v>
      </c>
      <c r="X227" s="126">
        <v>1</v>
      </c>
      <c r="Y227" s="126">
        <v>0</v>
      </c>
      <c r="Z227" s="126">
        <v>0</v>
      </c>
      <c r="AC227" s="125">
        <v>0</v>
      </c>
      <c r="AD227" s="124">
        <v>0</v>
      </c>
    </row>
    <row r="228" spans="1:30">
      <c r="A228" s="127" t="s">
        <v>1103</v>
      </c>
      <c r="B228" s="127" t="s">
        <v>1307</v>
      </c>
      <c r="C228" s="127" t="s">
        <v>1085</v>
      </c>
      <c r="D228" s="127" t="s">
        <v>1326</v>
      </c>
      <c r="E228" s="127" t="s">
        <v>1305</v>
      </c>
      <c r="F228" s="127" t="s">
        <v>1307</v>
      </c>
      <c r="M228" s="127" t="s">
        <v>1308</v>
      </c>
      <c r="N228" s="127" t="s">
        <v>1406</v>
      </c>
      <c r="O228" s="123">
        <v>44531</v>
      </c>
      <c r="P228" s="123">
        <v>44554</v>
      </c>
      <c r="Q228" s="123">
        <v>44536</v>
      </c>
      <c r="R228" s="123">
        <v>44542</v>
      </c>
      <c r="S228" s="124">
        <v>49</v>
      </c>
      <c r="T228" s="124">
        <v>49</v>
      </c>
      <c r="U228" s="124">
        <v>5</v>
      </c>
      <c r="V228" s="125">
        <v>0</v>
      </c>
      <c r="W228" s="124">
        <v>0</v>
      </c>
      <c r="X228" s="126">
        <v>1</v>
      </c>
      <c r="Y228" s="126">
        <v>0</v>
      </c>
      <c r="Z228" s="126">
        <v>0</v>
      </c>
      <c r="AC228" s="125">
        <v>0</v>
      </c>
      <c r="AD228" s="124">
        <v>0</v>
      </c>
    </row>
    <row r="229" spans="1:30">
      <c r="A229" s="127" t="s">
        <v>1103</v>
      </c>
      <c r="B229" s="127" t="s">
        <v>1307</v>
      </c>
      <c r="C229" s="127" t="s">
        <v>1085</v>
      </c>
      <c r="D229" s="127" t="s">
        <v>1326</v>
      </c>
      <c r="E229" s="127" t="s">
        <v>1305</v>
      </c>
      <c r="F229" s="127" t="s">
        <v>1307</v>
      </c>
      <c r="M229" s="127" t="s">
        <v>1308</v>
      </c>
      <c r="N229" s="127" t="s">
        <v>1406</v>
      </c>
      <c r="O229" s="123">
        <v>44531</v>
      </c>
      <c r="P229" s="123">
        <v>44554</v>
      </c>
      <c r="Q229" s="123">
        <v>44543</v>
      </c>
      <c r="R229" s="123">
        <v>44549</v>
      </c>
      <c r="S229" s="124">
        <v>50</v>
      </c>
      <c r="T229" s="124">
        <v>50</v>
      </c>
      <c r="U229" s="124">
        <v>5</v>
      </c>
      <c r="V229" s="125">
        <v>0</v>
      </c>
      <c r="W229" s="124">
        <v>0</v>
      </c>
      <c r="X229" s="126">
        <v>1</v>
      </c>
      <c r="Y229" s="126">
        <v>0</v>
      </c>
      <c r="Z229" s="126">
        <v>0</v>
      </c>
      <c r="AC229" s="125">
        <v>0</v>
      </c>
      <c r="AD229" s="124">
        <v>0</v>
      </c>
    </row>
    <row r="230" spans="1:30">
      <c r="A230" s="127" t="s">
        <v>1103</v>
      </c>
      <c r="B230" s="127" t="s">
        <v>1307</v>
      </c>
      <c r="C230" s="127" t="s">
        <v>1085</v>
      </c>
      <c r="D230" s="127" t="s">
        <v>1326</v>
      </c>
      <c r="E230" s="127" t="s">
        <v>1305</v>
      </c>
      <c r="F230" s="127" t="s">
        <v>1307</v>
      </c>
      <c r="M230" s="127" t="s">
        <v>1308</v>
      </c>
      <c r="N230" s="127" t="s">
        <v>1406</v>
      </c>
      <c r="O230" s="123">
        <v>44531</v>
      </c>
      <c r="P230" s="123">
        <v>44554</v>
      </c>
      <c r="Q230" s="123">
        <v>44550</v>
      </c>
      <c r="R230" s="123">
        <v>44556</v>
      </c>
      <c r="S230" s="124">
        <v>51</v>
      </c>
      <c r="T230" s="124">
        <v>51</v>
      </c>
      <c r="U230" s="124">
        <v>5</v>
      </c>
      <c r="V230" s="125">
        <v>0</v>
      </c>
      <c r="W230" s="124">
        <v>0</v>
      </c>
      <c r="X230" s="126">
        <v>1</v>
      </c>
      <c r="Y230" s="126">
        <v>0</v>
      </c>
      <c r="Z230" s="126">
        <v>0</v>
      </c>
      <c r="AC230" s="125">
        <v>0</v>
      </c>
      <c r="AD230" s="124">
        <v>0</v>
      </c>
    </row>
    <row r="231" spans="1:30">
      <c r="A231" s="127" t="s">
        <v>1103</v>
      </c>
      <c r="B231" s="127" t="s">
        <v>1311</v>
      </c>
      <c r="C231" s="127" t="s">
        <v>1085</v>
      </c>
      <c r="D231" s="127" t="s">
        <v>1326</v>
      </c>
      <c r="E231" s="127" t="s">
        <v>1309</v>
      </c>
      <c r="F231" s="127" t="s">
        <v>1311</v>
      </c>
      <c r="M231" s="127" t="s">
        <v>1312</v>
      </c>
      <c r="N231" s="127" t="s">
        <v>1406</v>
      </c>
      <c r="O231" s="123">
        <v>44557</v>
      </c>
      <c r="P231" s="123">
        <v>44562</v>
      </c>
      <c r="Q231" s="123">
        <v>44557</v>
      </c>
      <c r="R231" s="123">
        <v>44563</v>
      </c>
      <c r="S231" s="124">
        <v>52</v>
      </c>
      <c r="T231" s="124">
        <v>52</v>
      </c>
      <c r="U231" s="124">
        <v>5</v>
      </c>
      <c r="V231" s="125">
        <v>0</v>
      </c>
      <c r="W231" s="124">
        <v>0</v>
      </c>
      <c r="X231" s="126">
        <v>1</v>
      </c>
      <c r="Y231" s="126">
        <v>0</v>
      </c>
      <c r="Z231" s="126">
        <v>0</v>
      </c>
      <c r="AC231" s="125">
        <v>0</v>
      </c>
      <c r="AD231" s="124">
        <v>0</v>
      </c>
    </row>
    <row r="232" spans="1:30">
      <c r="A232" s="127" t="s">
        <v>1103</v>
      </c>
      <c r="B232" s="127" t="s">
        <v>1313</v>
      </c>
      <c r="C232" s="127" t="s">
        <v>1085</v>
      </c>
      <c r="D232" s="127" t="s">
        <v>1326</v>
      </c>
      <c r="E232" s="127" t="s">
        <v>1309</v>
      </c>
      <c r="F232" s="127" t="s">
        <v>1313</v>
      </c>
      <c r="M232" s="127" t="s">
        <v>1314</v>
      </c>
      <c r="N232" s="127" t="s">
        <v>1406</v>
      </c>
      <c r="O232" s="123">
        <v>44557</v>
      </c>
      <c r="P232" s="123">
        <v>44562</v>
      </c>
      <c r="Q232" s="123">
        <v>44557</v>
      </c>
      <c r="R232" s="123">
        <v>44563</v>
      </c>
      <c r="S232" s="124">
        <v>52</v>
      </c>
      <c r="T232" s="124">
        <v>52</v>
      </c>
      <c r="U232" s="124">
        <v>5</v>
      </c>
      <c r="V232" s="125">
        <v>0</v>
      </c>
      <c r="W232" s="124">
        <v>0</v>
      </c>
      <c r="X232" s="126">
        <v>1</v>
      </c>
      <c r="Y232" s="126">
        <v>0</v>
      </c>
      <c r="Z232" s="126">
        <v>0</v>
      </c>
      <c r="AC232" s="125">
        <v>0</v>
      </c>
      <c r="AD232" s="124">
        <v>0</v>
      </c>
    </row>
    <row r="233" spans="1:30">
      <c r="A233" s="127" t="s">
        <v>1103</v>
      </c>
      <c r="B233" s="127" t="s">
        <v>1315</v>
      </c>
      <c r="C233" s="127" t="s">
        <v>1085</v>
      </c>
      <c r="D233" s="127" t="s">
        <v>1326</v>
      </c>
      <c r="E233" s="127" t="s">
        <v>1309</v>
      </c>
      <c r="F233" s="127" t="s">
        <v>1315</v>
      </c>
      <c r="M233" s="127" t="s">
        <v>1681</v>
      </c>
      <c r="N233" s="127" t="s">
        <v>1406</v>
      </c>
      <c r="O233" s="123">
        <v>44563</v>
      </c>
      <c r="P233" s="123">
        <v>44563</v>
      </c>
      <c r="Q233" s="123">
        <v>44557</v>
      </c>
      <c r="R233" s="123">
        <v>44563</v>
      </c>
      <c r="S233" s="124">
        <v>52</v>
      </c>
      <c r="T233" s="124">
        <v>52</v>
      </c>
      <c r="U233" s="124">
        <v>0</v>
      </c>
      <c r="V233" s="125">
        <v>0</v>
      </c>
      <c r="W233" s="124">
        <v>0</v>
      </c>
      <c r="X233" s="126">
        <v>1</v>
      </c>
      <c r="Y233" s="126">
        <v>0</v>
      </c>
      <c r="Z233" s="126">
        <v>0</v>
      </c>
      <c r="AC233" s="125">
        <v>0</v>
      </c>
      <c r="AD233" s="124">
        <v>0</v>
      </c>
    </row>
    <row r="234" spans="1:30">
      <c r="A234" s="127" t="s">
        <v>1103</v>
      </c>
      <c r="B234" s="127" t="s">
        <v>1316</v>
      </c>
      <c r="C234" s="127" t="s">
        <v>1085</v>
      </c>
      <c r="D234" s="127" t="s">
        <v>1326</v>
      </c>
      <c r="E234" s="127" t="s">
        <v>1309</v>
      </c>
      <c r="F234" s="127" t="s">
        <v>1316</v>
      </c>
      <c r="M234" s="127" t="s">
        <v>1317</v>
      </c>
      <c r="N234" s="127" t="s">
        <v>1406</v>
      </c>
      <c r="O234" s="123">
        <v>44564</v>
      </c>
      <c r="P234" s="123">
        <v>44564</v>
      </c>
      <c r="Q234" s="123">
        <v>44564</v>
      </c>
      <c r="R234" s="123">
        <v>44570</v>
      </c>
      <c r="S234" s="124">
        <v>1</v>
      </c>
      <c r="T234" s="124">
        <v>53</v>
      </c>
      <c r="U234" s="124">
        <v>0</v>
      </c>
      <c r="V234" s="125">
        <v>0</v>
      </c>
      <c r="W234" s="124">
        <v>0</v>
      </c>
      <c r="X234" s="126">
        <v>0</v>
      </c>
      <c r="Y234" s="126">
        <v>0</v>
      </c>
      <c r="Z234" s="126">
        <v>0</v>
      </c>
      <c r="AC234" s="125">
        <v>0</v>
      </c>
      <c r="AD234" s="124">
        <v>0</v>
      </c>
    </row>
    <row r="235" spans="1:30">
      <c r="A235" s="127" t="s">
        <v>1102</v>
      </c>
      <c r="B235" s="127" t="s">
        <v>1526</v>
      </c>
      <c r="C235" s="127" t="s">
        <v>1085</v>
      </c>
      <c r="D235" s="127" t="s">
        <v>1326</v>
      </c>
      <c r="E235" s="127" t="s">
        <v>1526</v>
      </c>
      <c r="M235" s="127" t="s">
        <v>1527</v>
      </c>
      <c r="N235" s="127" t="s">
        <v>1406</v>
      </c>
      <c r="O235" s="123">
        <v>44564</v>
      </c>
      <c r="P235" s="123">
        <v>44651</v>
      </c>
      <c r="Q235" s="123">
        <v>44564</v>
      </c>
      <c r="R235" s="123">
        <v>44570</v>
      </c>
      <c r="S235" s="124">
        <v>1</v>
      </c>
      <c r="T235" s="124">
        <v>53</v>
      </c>
      <c r="U235" s="124">
        <v>5</v>
      </c>
      <c r="V235" s="125">
        <v>0</v>
      </c>
      <c r="W235" s="124">
        <v>0</v>
      </c>
      <c r="X235" s="126">
        <v>1</v>
      </c>
      <c r="Y235" s="126">
        <v>0</v>
      </c>
      <c r="Z235" s="126">
        <v>0</v>
      </c>
      <c r="AC235" s="125">
        <v>0</v>
      </c>
      <c r="AD235" s="124">
        <v>0</v>
      </c>
    </row>
    <row r="236" spans="1:30">
      <c r="A236" s="127" t="s">
        <v>1102</v>
      </c>
      <c r="B236" s="127" t="s">
        <v>1526</v>
      </c>
      <c r="C236" s="127" t="s">
        <v>1085</v>
      </c>
      <c r="D236" s="127" t="s">
        <v>1326</v>
      </c>
      <c r="E236" s="127" t="s">
        <v>1526</v>
      </c>
      <c r="M236" s="127" t="s">
        <v>1527</v>
      </c>
      <c r="N236" s="127" t="s">
        <v>1406</v>
      </c>
      <c r="O236" s="123">
        <v>44564</v>
      </c>
      <c r="P236" s="123">
        <v>44651</v>
      </c>
      <c r="Q236" s="123">
        <v>44571</v>
      </c>
      <c r="R236" s="123">
        <v>44577</v>
      </c>
      <c r="S236" s="124">
        <v>2</v>
      </c>
      <c r="T236" s="124">
        <v>54</v>
      </c>
      <c r="U236" s="124">
        <v>5</v>
      </c>
      <c r="V236" s="125">
        <v>0</v>
      </c>
      <c r="W236" s="124">
        <v>0</v>
      </c>
      <c r="X236" s="126">
        <v>1</v>
      </c>
      <c r="Y236" s="126">
        <v>0</v>
      </c>
      <c r="Z236" s="126">
        <v>0</v>
      </c>
      <c r="AC236" s="125">
        <v>0</v>
      </c>
      <c r="AD236" s="124">
        <v>0</v>
      </c>
    </row>
    <row r="237" spans="1:30">
      <c r="A237" s="127" t="s">
        <v>1102</v>
      </c>
      <c r="B237" s="127" t="s">
        <v>1526</v>
      </c>
      <c r="C237" s="127" t="s">
        <v>1085</v>
      </c>
      <c r="D237" s="127" t="s">
        <v>1326</v>
      </c>
      <c r="E237" s="127" t="s">
        <v>1526</v>
      </c>
      <c r="M237" s="127" t="s">
        <v>1527</v>
      </c>
      <c r="N237" s="127" t="s">
        <v>1406</v>
      </c>
      <c r="O237" s="123">
        <v>44564</v>
      </c>
      <c r="P237" s="123">
        <v>44651</v>
      </c>
      <c r="Q237" s="123">
        <v>44578</v>
      </c>
      <c r="R237" s="123">
        <v>44584</v>
      </c>
      <c r="S237" s="124">
        <v>3</v>
      </c>
      <c r="T237" s="124">
        <v>55</v>
      </c>
      <c r="U237" s="124">
        <v>5</v>
      </c>
      <c r="V237" s="125">
        <v>0</v>
      </c>
      <c r="W237" s="124">
        <v>0</v>
      </c>
      <c r="X237" s="126">
        <v>1</v>
      </c>
      <c r="Y237" s="126">
        <v>0</v>
      </c>
      <c r="Z237" s="126">
        <v>0</v>
      </c>
      <c r="AC237" s="125">
        <v>0</v>
      </c>
      <c r="AD237" s="124">
        <v>0</v>
      </c>
    </row>
    <row r="238" spans="1:30">
      <c r="A238" s="127" t="s">
        <v>1102</v>
      </c>
      <c r="B238" s="127" t="s">
        <v>1526</v>
      </c>
      <c r="C238" s="127" t="s">
        <v>1085</v>
      </c>
      <c r="D238" s="127" t="s">
        <v>1326</v>
      </c>
      <c r="E238" s="127" t="s">
        <v>1526</v>
      </c>
      <c r="M238" s="127" t="s">
        <v>1527</v>
      </c>
      <c r="N238" s="127" t="s">
        <v>1406</v>
      </c>
      <c r="O238" s="123">
        <v>44564</v>
      </c>
      <c r="P238" s="123">
        <v>44651</v>
      </c>
      <c r="Q238" s="123">
        <v>44585</v>
      </c>
      <c r="R238" s="123">
        <v>44591</v>
      </c>
      <c r="S238" s="124">
        <v>4</v>
      </c>
      <c r="T238" s="124">
        <v>56</v>
      </c>
      <c r="U238" s="124">
        <v>5</v>
      </c>
      <c r="V238" s="125">
        <v>0</v>
      </c>
      <c r="W238" s="124">
        <v>0</v>
      </c>
      <c r="X238" s="126">
        <v>1</v>
      </c>
      <c r="Y238" s="126">
        <v>0</v>
      </c>
      <c r="Z238" s="126">
        <v>0</v>
      </c>
      <c r="AC238" s="125">
        <v>0</v>
      </c>
      <c r="AD238" s="124">
        <v>0</v>
      </c>
    </row>
    <row r="239" spans="1:30">
      <c r="A239" s="127" t="s">
        <v>1102</v>
      </c>
      <c r="B239" s="127" t="s">
        <v>1526</v>
      </c>
      <c r="C239" s="127" t="s">
        <v>1085</v>
      </c>
      <c r="D239" s="127" t="s">
        <v>1326</v>
      </c>
      <c r="E239" s="127" t="s">
        <v>1526</v>
      </c>
      <c r="M239" s="127" t="s">
        <v>1527</v>
      </c>
      <c r="N239" s="127" t="s">
        <v>1406</v>
      </c>
      <c r="O239" s="123">
        <v>44564</v>
      </c>
      <c r="P239" s="123">
        <v>44651</v>
      </c>
      <c r="Q239" s="123">
        <v>44592</v>
      </c>
      <c r="R239" s="123">
        <v>44598</v>
      </c>
      <c r="S239" s="124">
        <v>5</v>
      </c>
      <c r="T239" s="124">
        <v>57</v>
      </c>
      <c r="U239" s="124">
        <v>2</v>
      </c>
      <c r="V239" s="125">
        <v>0</v>
      </c>
      <c r="W239" s="124">
        <v>0</v>
      </c>
      <c r="X239" s="126">
        <v>1</v>
      </c>
      <c r="Y239" s="126">
        <v>0</v>
      </c>
      <c r="Z239" s="126">
        <v>0</v>
      </c>
      <c r="AC239" s="125">
        <v>0</v>
      </c>
      <c r="AD239" s="124">
        <v>0</v>
      </c>
    </row>
    <row r="240" spans="1:30">
      <c r="A240" s="127" t="s">
        <v>1102</v>
      </c>
      <c r="B240" s="127" t="s">
        <v>1526</v>
      </c>
      <c r="C240" s="127" t="s">
        <v>1085</v>
      </c>
      <c r="D240" s="127" t="s">
        <v>1326</v>
      </c>
      <c r="E240" s="127" t="s">
        <v>1526</v>
      </c>
      <c r="M240" s="127" t="s">
        <v>1527</v>
      </c>
      <c r="N240" s="127" t="s">
        <v>1406</v>
      </c>
      <c r="O240" s="123">
        <v>44564</v>
      </c>
      <c r="P240" s="123">
        <v>44651</v>
      </c>
      <c r="Q240" s="123">
        <v>44599</v>
      </c>
      <c r="R240" s="123">
        <v>44605</v>
      </c>
      <c r="S240" s="124">
        <v>6</v>
      </c>
      <c r="T240" s="124">
        <v>58</v>
      </c>
      <c r="U240" s="124">
        <v>5</v>
      </c>
      <c r="V240" s="125">
        <v>0</v>
      </c>
      <c r="W240" s="124">
        <v>0</v>
      </c>
      <c r="X240" s="126">
        <v>1</v>
      </c>
      <c r="Y240" s="126">
        <v>0</v>
      </c>
      <c r="Z240" s="126">
        <v>0</v>
      </c>
      <c r="AC240" s="125">
        <v>0</v>
      </c>
      <c r="AD240" s="124">
        <v>0</v>
      </c>
    </row>
    <row r="241" spans="1:30">
      <c r="A241" s="127" t="s">
        <v>1102</v>
      </c>
      <c r="B241" s="127" t="s">
        <v>1526</v>
      </c>
      <c r="C241" s="127" t="s">
        <v>1085</v>
      </c>
      <c r="D241" s="127" t="s">
        <v>1326</v>
      </c>
      <c r="E241" s="127" t="s">
        <v>1526</v>
      </c>
      <c r="M241" s="127" t="s">
        <v>1527</v>
      </c>
      <c r="N241" s="127" t="s">
        <v>1406</v>
      </c>
      <c r="O241" s="123">
        <v>44564</v>
      </c>
      <c r="P241" s="123">
        <v>44651</v>
      </c>
      <c r="Q241" s="123">
        <v>44606</v>
      </c>
      <c r="R241" s="123">
        <v>44612</v>
      </c>
      <c r="S241" s="124">
        <v>7</v>
      </c>
      <c r="T241" s="124">
        <v>59</v>
      </c>
      <c r="U241" s="124">
        <v>5</v>
      </c>
      <c r="V241" s="125">
        <v>0</v>
      </c>
      <c r="W241" s="124">
        <v>0</v>
      </c>
      <c r="X241" s="126">
        <v>1</v>
      </c>
      <c r="Y241" s="126">
        <v>0</v>
      </c>
      <c r="Z241" s="126">
        <v>0</v>
      </c>
      <c r="AC241" s="125">
        <v>0</v>
      </c>
      <c r="AD241" s="124">
        <v>0</v>
      </c>
    </row>
    <row r="242" spans="1:30">
      <c r="A242" s="127" t="s">
        <v>1102</v>
      </c>
      <c r="B242" s="127" t="s">
        <v>1526</v>
      </c>
      <c r="C242" s="127" t="s">
        <v>1085</v>
      </c>
      <c r="D242" s="127" t="s">
        <v>1326</v>
      </c>
      <c r="E242" s="127" t="s">
        <v>1526</v>
      </c>
      <c r="M242" s="127" t="s">
        <v>1527</v>
      </c>
      <c r="N242" s="127" t="s">
        <v>1406</v>
      </c>
      <c r="O242" s="123">
        <v>44564</v>
      </c>
      <c r="P242" s="123">
        <v>44651</v>
      </c>
      <c r="Q242" s="123">
        <v>44613</v>
      </c>
      <c r="R242" s="123">
        <v>44619</v>
      </c>
      <c r="S242" s="124">
        <v>8</v>
      </c>
      <c r="T242" s="124">
        <v>60</v>
      </c>
      <c r="U242" s="124">
        <v>5</v>
      </c>
      <c r="V242" s="125">
        <v>0</v>
      </c>
      <c r="W242" s="124">
        <v>0</v>
      </c>
      <c r="X242" s="126">
        <v>1</v>
      </c>
      <c r="Y242" s="126">
        <v>0</v>
      </c>
      <c r="Z242" s="126">
        <v>0</v>
      </c>
      <c r="AC242" s="125">
        <v>0</v>
      </c>
      <c r="AD242" s="124">
        <v>0</v>
      </c>
    </row>
    <row r="243" spans="1:30">
      <c r="A243" s="127" t="s">
        <v>1102</v>
      </c>
      <c r="B243" s="127" t="s">
        <v>1526</v>
      </c>
      <c r="C243" s="127" t="s">
        <v>1085</v>
      </c>
      <c r="D243" s="127" t="s">
        <v>1326</v>
      </c>
      <c r="E243" s="127" t="s">
        <v>1526</v>
      </c>
      <c r="M243" s="127" t="s">
        <v>1527</v>
      </c>
      <c r="N243" s="127" t="s">
        <v>1406</v>
      </c>
      <c r="O243" s="123">
        <v>44564</v>
      </c>
      <c r="P243" s="123">
        <v>44651</v>
      </c>
      <c r="Q243" s="123">
        <v>44620</v>
      </c>
      <c r="R243" s="123">
        <v>44626</v>
      </c>
      <c r="S243" s="124">
        <v>9</v>
      </c>
      <c r="T243" s="124">
        <v>61</v>
      </c>
      <c r="U243" s="124">
        <v>4</v>
      </c>
      <c r="V243" s="125">
        <v>0</v>
      </c>
      <c r="W243" s="124">
        <v>0</v>
      </c>
      <c r="X243" s="126">
        <v>1</v>
      </c>
      <c r="Y243" s="126">
        <v>0</v>
      </c>
      <c r="Z243" s="126">
        <v>0</v>
      </c>
      <c r="AC243" s="125">
        <v>0</v>
      </c>
      <c r="AD243" s="124">
        <v>0</v>
      </c>
    </row>
    <row r="244" spans="1:30">
      <c r="A244" s="127" t="s">
        <v>1102</v>
      </c>
      <c r="B244" s="127" t="s">
        <v>1526</v>
      </c>
      <c r="C244" s="127" t="s">
        <v>1085</v>
      </c>
      <c r="D244" s="127" t="s">
        <v>1326</v>
      </c>
      <c r="E244" s="127" t="s">
        <v>1526</v>
      </c>
      <c r="M244" s="127" t="s">
        <v>1527</v>
      </c>
      <c r="N244" s="127" t="s">
        <v>1406</v>
      </c>
      <c r="O244" s="123">
        <v>44564</v>
      </c>
      <c r="P244" s="123">
        <v>44651</v>
      </c>
      <c r="Q244" s="123">
        <v>44627</v>
      </c>
      <c r="R244" s="123">
        <v>44633</v>
      </c>
      <c r="S244" s="124">
        <v>10</v>
      </c>
      <c r="T244" s="124">
        <v>62</v>
      </c>
      <c r="U244" s="124">
        <v>5</v>
      </c>
      <c r="V244" s="125">
        <v>0</v>
      </c>
      <c r="W244" s="124">
        <v>0</v>
      </c>
      <c r="X244" s="126">
        <v>1</v>
      </c>
      <c r="Y244" s="126">
        <v>0</v>
      </c>
      <c r="Z244" s="126">
        <v>0</v>
      </c>
      <c r="AC244" s="125">
        <v>0</v>
      </c>
      <c r="AD244" s="124">
        <v>0</v>
      </c>
    </row>
    <row r="245" spans="1:30">
      <c r="A245" s="127" t="s">
        <v>1102</v>
      </c>
      <c r="B245" s="127" t="s">
        <v>1526</v>
      </c>
      <c r="C245" s="127" t="s">
        <v>1085</v>
      </c>
      <c r="D245" s="127" t="s">
        <v>1326</v>
      </c>
      <c r="E245" s="127" t="s">
        <v>1526</v>
      </c>
      <c r="M245" s="127" t="s">
        <v>1527</v>
      </c>
      <c r="N245" s="127" t="s">
        <v>1406</v>
      </c>
      <c r="O245" s="123">
        <v>44564</v>
      </c>
      <c r="P245" s="123">
        <v>44651</v>
      </c>
      <c r="Q245" s="123">
        <v>44634</v>
      </c>
      <c r="R245" s="123">
        <v>44640</v>
      </c>
      <c r="S245" s="124">
        <v>11</v>
      </c>
      <c r="T245" s="124">
        <v>63</v>
      </c>
      <c r="U245" s="124">
        <v>5</v>
      </c>
      <c r="V245" s="125">
        <v>0</v>
      </c>
      <c r="W245" s="124">
        <v>0</v>
      </c>
      <c r="X245" s="126">
        <v>1</v>
      </c>
      <c r="Y245" s="126">
        <v>0</v>
      </c>
      <c r="Z245" s="126">
        <v>0</v>
      </c>
      <c r="AC245" s="125">
        <v>0</v>
      </c>
      <c r="AD245" s="124">
        <v>0</v>
      </c>
    </row>
    <row r="246" spans="1:30">
      <c r="A246" s="127" t="s">
        <v>1102</v>
      </c>
      <c r="B246" s="127" t="s">
        <v>1526</v>
      </c>
      <c r="C246" s="127" t="s">
        <v>1085</v>
      </c>
      <c r="D246" s="127" t="s">
        <v>1326</v>
      </c>
      <c r="E246" s="127" t="s">
        <v>1526</v>
      </c>
      <c r="M246" s="127" t="s">
        <v>1527</v>
      </c>
      <c r="N246" s="127" t="s">
        <v>1406</v>
      </c>
      <c r="O246" s="123">
        <v>44564</v>
      </c>
      <c r="P246" s="123">
        <v>44651</v>
      </c>
      <c r="Q246" s="123">
        <v>44641</v>
      </c>
      <c r="R246" s="123">
        <v>44647</v>
      </c>
      <c r="S246" s="124">
        <v>12</v>
      </c>
      <c r="T246" s="124">
        <v>64</v>
      </c>
      <c r="U246" s="124">
        <v>5</v>
      </c>
      <c r="V246" s="125">
        <v>0</v>
      </c>
      <c r="W246" s="124">
        <v>0</v>
      </c>
      <c r="X246" s="126">
        <v>1</v>
      </c>
      <c r="Y246" s="126">
        <v>0</v>
      </c>
      <c r="Z246" s="126">
        <v>0</v>
      </c>
      <c r="AC246" s="125">
        <v>0</v>
      </c>
      <c r="AD246" s="124">
        <v>0</v>
      </c>
    </row>
    <row r="247" spans="1:30">
      <c r="A247" s="127" t="s">
        <v>1102</v>
      </c>
      <c r="B247" s="127" t="s">
        <v>1526</v>
      </c>
      <c r="C247" s="127" t="s">
        <v>1085</v>
      </c>
      <c r="D247" s="127" t="s">
        <v>1326</v>
      </c>
      <c r="E247" s="127" t="s">
        <v>1526</v>
      </c>
      <c r="M247" s="127" t="s">
        <v>1527</v>
      </c>
      <c r="N247" s="127" t="s">
        <v>1406</v>
      </c>
      <c r="O247" s="123">
        <v>44564</v>
      </c>
      <c r="P247" s="123">
        <v>44651</v>
      </c>
      <c r="Q247" s="123">
        <v>44648</v>
      </c>
      <c r="R247" s="123">
        <v>44654</v>
      </c>
      <c r="S247" s="124">
        <v>13</v>
      </c>
      <c r="T247" s="124">
        <v>65</v>
      </c>
      <c r="U247" s="124">
        <v>4</v>
      </c>
      <c r="V247" s="125">
        <v>0</v>
      </c>
      <c r="W247" s="124">
        <v>0</v>
      </c>
      <c r="X247" s="126">
        <v>1</v>
      </c>
      <c r="Y247" s="126">
        <v>0</v>
      </c>
      <c r="Z247" s="126">
        <v>0</v>
      </c>
      <c r="AC247" s="125">
        <v>0</v>
      </c>
      <c r="AD247" s="124">
        <v>0</v>
      </c>
    </row>
    <row r="248" spans="1:30">
      <c r="A248" s="127" t="s">
        <v>1085</v>
      </c>
      <c r="B248" s="127" t="s">
        <v>1689</v>
      </c>
      <c r="C248" s="127" t="s">
        <v>1102</v>
      </c>
      <c r="D248" s="127" t="s">
        <v>1689</v>
      </c>
      <c r="M248" s="127" t="s">
        <v>1682</v>
      </c>
      <c r="N248" s="127" t="s">
        <v>1406</v>
      </c>
      <c r="O248" s="123">
        <v>44230</v>
      </c>
      <c r="P248" s="123">
        <v>44230</v>
      </c>
      <c r="Q248" s="123">
        <v>44228</v>
      </c>
      <c r="R248" s="123">
        <v>44234</v>
      </c>
      <c r="S248" s="124">
        <v>5</v>
      </c>
      <c r="T248" s="124">
        <v>5</v>
      </c>
      <c r="U248" s="124">
        <v>1</v>
      </c>
      <c r="V248" s="125">
        <v>0</v>
      </c>
      <c r="W248" s="124">
        <v>0</v>
      </c>
      <c r="X248" s="126">
        <v>1</v>
      </c>
      <c r="Y248" s="126">
        <v>0</v>
      </c>
      <c r="Z248" s="126">
        <v>0</v>
      </c>
      <c r="AC248" s="125">
        <v>0</v>
      </c>
      <c r="AD248" s="124">
        <v>0</v>
      </c>
    </row>
    <row r="249" spans="1:30">
      <c r="A249" s="127" t="s">
        <v>1102</v>
      </c>
      <c r="B249" s="127" t="s">
        <v>1691</v>
      </c>
      <c r="C249" s="127" t="s">
        <v>1102</v>
      </c>
      <c r="D249" s="127" t="s">
        <v>1690</v>
      </c>
      <c r="E249" s="127" t="s">
        <v>1691</v>
      </c>
      <c r="M249" s="127" t="s">
        <v>1683</v>
      </c>
      <c r="N249" s="127" t="s">
        <v>1709</v>
      </c>
      <c r="O249" s="123">
        <v>44221</v>
      </c>
      <c r="P249" s="123">
        <v>44651</v>
      </c>
      <c r="Q249" s="123">
        <v>44221</v>
      </c>
      <c r="R249" s="123">
        <v>44227</v>
      </c>
      <c r="S249" s="124">
        <v>4</v>
      </c>
      <c r="T249" s="124">
        <v>4</v>
      </c>
      <c r="U249" s="124">
        <v>1</v>
      </c>
      <c r="V249" s="125">
        <v>0</v>
      </c>
      <c r="W249" s="124">
        <v>0</v>
      </c>
      <c r="X249" s="126">
        <v>0.2</v>
      </c>
      <c r="Y249" s="126">
        <v>0</v>
      </c>
      <c r="Z249" s="126">
        <v>0</v>
      </c>
      <c r="AC249" s="125">
        <v>0</v>
      </c>
      <c r="AD249" s="124">
        <v>0</v>
      </c>
    </row>
    <row r="250" spans="1:30">
      <c r="A250" s="127" t="s">
        <v>1102</v>
      </c>
      <c r="B250" s="127" t="s">
        <v>1691</v>
      </c>
      <c r="C250" s="127" t="s">
        <v>1102</v>
      </c>
      <c r="D250" s="127" t="s">
        <v>1690</v>
      </c>
      <c r="E250" s="127" t="s">
        <v>1691</v>
      </c>
      <c r="M250" s="127" t="s">
        <v>1683</v>
      </c>
      <c r="N250" s="127" t="s">
        <v>1709</v>
      </c>
      <c r="O250" s="123">
        <v>44221</v>
      </c>
      <c r="P250" s="123">
        <v>44651</v>
      </c>
      <c r="Q250" s="123">
        <v>44228</v>
      </c>
      <c r="R250" s="123">
        <v>44234</v>
      </c>
      <c r="S250" s="124">
        <v>5</v>
      </c>
      <c r="T250" s="124">
        <v>5</v>
      </c>
      <c r="U250" s="124">
        <v>1</v>
      </c>
      <c r="V250" s="125">
        <v>0</v>
      </c>
      <c r="W250" s="124">
        <v>0</v>
      </c>
      <c r="X250" s="126">
        <v>0.2</v>
      </c>
      <c r="Y250" s="126">
        <v>0</v>
      </c>
      <c r="Z250" s="126">
        <v>0</v>
      </c>
      <c r="AC250" s="125">
        <v>0</v>
      </c>
      <c r="AD250" s="124">
        <v>0</v>
      </c>
    </row>
    <row r="251" spans="1:30">
      <c r="A251" s="127" t="s">
        <v>1102</v>
      </c>
      <c r="B251" s="127" t="s">
        <v>1691</v>
      </c>
      <c r="C251" s="127" t="s">
        <v>1102</v>
      </c>
      <c r="D251" s="127" t="s">
        <v>1690</v>
      </c>
      <c r="E251" s="127" t="s">
        <v>1691</v>
      </c>
      <c r="M251" s="127" t="s">
        <v>1683</v>
      </c>
      <c r="N251" s="127" t="s">
        <v>1709</v>
      </c>
      <c r="O251" s="123">
        <v>44221</v>
      </c>
      <c r="P251" s="123">
        <v>44651</v>
      </c>
      <c r="Q251" s="123">
        <v>44235</v>
      </c>
      <c r="R251" s="123">
        <v>44241</v>
      </c>
      <c r="S251" s="124">
        <v>6</v>
      </c>
      <c r="T251" s="124">
        <v>6</v>
      </c>
      <c r="U251" s="124">
        <v>0.60000000000000009</v>
      </c>
      <c r="V251" s="125">
        <v>0</v>
      </c>
      <c r="W251" s="124">
        <v>0</v>
      </c>
      <c r="X251" s="126">
        <v>0.2</v>
      </c>
      <c r="Y251" s="126">
        <v>0</v>
      </c>
      <c r="Z251" s="126">
        <v>0</v>
      </c>
      <c r="AC251" s="125">
        <v>0</v>
      </c>
      <c r="AD251" s="124">
        <v>0</v>
      </c>
    </row>
    <row r="252" spans="1:30">
      <c r="A252" s="127" t="s">
        <v>1102</v>
      </c>
      <c r="B252" s="127" t="s">
        <v>1691</v>
      </c>
      <c r="C252" s="127" t="s">
        <v>1102</v>
      </c>
      <c r="D252" s="127" t="s">
        <v>1690</v>
      </c>
      <c r="E252" s="127" t="s">
        <v>1691</v>
      </c>
      <c r="M252" s="127" t="s">
        <v>1683</v>
      </c>
      <c r="N252" s="127" t="s">
        <v>1709</v>
      </c>
      <c r="O252" s="123">
        <v>44221</v>
      </c>
      <c r="P252" s="123">
        <v>44651</v>
      </c>
      <c r="Q252" s="123">
        <v>44242</v>
      </c>
      <c r="R252" s="123">
        <v>44248</v>
      </c>
      <c r="S252" s="124">
        <v>7</v>
      </c>
      <c r="T252" s="124">
        <v>7</v>
      </c>
      <c r="U252" s="124">
        <v>1</v>
      </c>
      <c r="V252" s="125">
        <v>0</v>
      </c>
      <c r="W252" s="124">
        <v>0</v>
      </c>
      <c r="X252" s="126">
        <v>0.2</v>
      </c>
      <c r="Y252" s="126">
        <v>0</v>
      </c>
      <c r="Z252" s="126">
        <v>0</v>
      </c>
      <c r="AC252" s="125">
        <v>0</v>
      </c>
      <c r="AD252" s="124">
        <v>0</v>
      </c>
    </row>
    <row r="253" spans="1:30">
      <c r="A253" s="127" t="s">
        <v>1102</v>
      </c>
      <c r="B253" s="127" t="s">
        <v>1691</v>
      </c>
      <c r="C253" s="127" t="s">
        <v>1102</v>
      </c>
      <c r="D253" s="127" t="s">
        <v>1690</v>
      </c>
      <c r="E253" s="127" t="s">
        <v>1691</v>
      </c>
      <c r="M253" s="127" t="s">
        <v>1683</v>
      </c>
      <c r="N253" s="127" t="s">
        <v>1709</v>
      </c>
      <c r="O253" s="123">
        <v>44221</v>
      </c>
      <c r="P253" s="123">
        <v>44651</v>
      </c>
      <c r="Q253" s="123">
        <v>44249</v>
      </c>
      <c r="R253" s="123">
        <v>44255</v>
      </c>
      <c r="S253" s="124">
        <v>8</v>
      </c>
      <c r="T253" s="124">
        <v>8</v>
      </c>
      <c r="U253" s="124">
        <v>1</v>
      </c>
      <c r="V253" s="125">
        <v>0</v>
      </c>
      <c r="W253" s="124">
        <v>0</v>
      </c>
      <c r="X253" s="126">
        <v>0.2</v>
      </c>
      <c r="Y253" s="126">
        <v>0</v>
      </c>
      <c r="Z253" s="126">
        <v>0</v>
      </c>
      <c r="AC253" s="125">
        <v>0</v>
      </c>
      <c r="AD253" s="124">
        <v>0</v>
      </c>
    </row>
    <row r="254" spans="1:30">
      <c r="A254" s="127" t="s">
        <v>1102</v>
      </c>
      <c r="B254" s="127" t="s">
        <v>1691</v>
      </c>
      <c r="C254" s="127" t="s">
        <v>1102</v>
      </c>
      <c r="D254" s="127" t="s">
        <v>1690</v>
      </c>
      <c r="E254" s="127" t="s">
        <v>1691</v>
      </c>
      <c r="M254" s="127" t="s">
        <v>1683</v>
      </c>
      <c r="N254" s="127" t="s">
        <v>1709</v>
      </c>
      <c r="O254" s="123">
        <v>44221</v>
      </c>
      <c r="P254" s="123">
        <v>44651</v>
      </c>
      <c r="Q254" s="123">
        <v>44256</v>
      </c>
      <c r="R254" s="123">
        <v>44262</v>
      </c>
      <c r="S254" s="124">
        <v>9</v>
      </c>
      <c r="T254" s="124">
        <v>9</v>
      </c>
      <c r="U254" s="124">
        <v>0.8</v>
      </c>
      <c r="V254" s="125">
        <v>0</v>
      </c>
      <c r="W254" s="124">
        <v>0</v>
      </c>
      <c r="X254" s="126">
        <v>0.2</v>
      </c>
      <c r="Y254" s="126">
        <v>0</v>
      </c>
      <c r="Z254" s="126">
        <v>0</v>
      </c>
      <c r="AC254" s="125">
        <v>0</v>
      </c>
      <c r="AD254" s="124">
        <v>0</v>
      </c>
    </row>
    <row r="255" spans="1:30">
      <c r="A255" s="127" t="s">
        <v>1102</v>
      </c>
      <c r="B255" s="127" t="s">
        <v>1691</v>
      </c>
      <c r="C255" s="127" t="s">
        <v>1102</v>
      </c>
      <c r="D255" s="127" t="s">
        <v>1690</v>
      </c>
      <c r="E255" s="127" t="s">
        <v>1691</v>
      </c>
      <c r="M255" s="127" t="s">
        <v>1683</v>
      </c>
      <c r="N255" s="127" t="s">
        <v>1709</v>
      </c>
      <c r="O255" s="123">
        <v>44221</v>
      </c>
      <c r="P255" s="123">
        <v>44651</v>
      </c>
      <c r="Q255" s="123">
        <v>44263</v>
      </c>
      <c r="R255" s="123">
        <v>44269</v>
      </c>
      <c r="S255" s="124">
        <v>10</v>
      </c>
      <c r="T255" s="124">
        <v>10</v>
      </c>
      <c r="U255" s="124">
        <v>1</v>
      </c>
      <c r="V255" s="125">
        <v>0</v>
      </c>
      <c r="W255" s="124">
        <v>0</v>
      </c>
      <c r="X255" s="126">
        <v>0.2</v>
      </c>
      <c r="Y255" s="126">
        <v>0</v>
      </c>
      <c r="Z255" s="126">
        <v>0</v>
      </c>
      <c r="AC255" s="125">
        <v>0</v>
      </c>
      <c r="AD255" s="124">
        <v>0</v>
      </c>
    </row>
    <row r="256" spans="1:30">
      <c r="A256" s="127" t="s">
        <v>1102</v>
      </c>
      <c r="B256" s="127" t="s">
        <v>1691</v>
      </c>
      <c r="C256" s="127" t="s">
        <v>1102</v>
      </c>
      <c r="D256" s="127" t="s">
        <v>1690</v>
      </c>
      <c r="E256" s="127" t="s">
        <v>1691</v>
      </c>
      <c r="M256" s="127" t="s">
        <v>1683</v>
      </c>
      <c r="N256" s="127" t="s">
        <v>1709</v>
      </c>
      <c r="O256" s="123">
        <v>44221</v>
      </c>
      <c r="P256" s="123">
        <v>44651</v>
      </c>
      <c r="Q256" s="123">
        <v>44270</v>
      </c>
      <c r="R256" s="123">
        <v>44276</v>
      </c>
      <c r="S256" s="124">
        <v>11</v>
      </c>
      <c r="T256" s="124">
        <v>11</v>
      </c>
      <c r="U256" s="124">
        <v>1</v>
      </c>
      <c r="V256" s="125">
        <v>0</v>
      </c>
      <c r="W256" s="124">
        <v>0</v>
      </c>
      <c r="X256" s="126">
        <v>0.2</v>
      </c>
      <c r="Y256" s="126">
        <v>0</v>
      </c>
      <c r="Z256" s="126">
        <v>0</v>
      </c>
      <c r="AC256" s="125">
        <v>0</v>
      </c>
      <c r="AD256" s="124">
        <v>0</v>
      </c>
    </row>
    <row r="257" spans="1:30">
      <c r="A257" s="127" t="s">
        <v>1102</v>
      </c>
      <c r="B257" s="127" t="s">
        <v>1691</v>
      </c>
      <c r="C257" s="127" t="s">
        <v>1102</v>
      </c>
      <c r="D257" s="127" t="s">
        <v>1690</v>
      </c>
      <c r="E257" s="127" t="s">
        <v>1691</v>
      </c>
      <c r="M257" s="127" t="s">
        <v>1683</v>
      </c>
      <c r="N257" s="127" t="s">
        <v>1709</v>
      </c>
      <c r="O257" s="123">
        <v>44221</v>
      </c>
      <c r="P257" s="123">
        <v>44651</v>
      </c>
      <c r="Q257" s="123">
        <v>44277</v>
      </c>
      <c r="R257" s="123">
        <v>44283</v>
      </c>
      <c r="S257" s="124">
        <v>12</v>
      </c>
      <c r="T257" s="124">
        <v>12</v>
      </c>
      <c r="U257" s="124">
        <v>1</v>
      </c>
      <c r="V257" s="125">
        <v>0</v>
      </c>
      <c r="W257" s="124">
        <v>0</v>
      </c>
      <c r="X257" s="126">
        <v>0.2</v>
      </c>
      <c r="Y257" s="126">
        <v>0</v>
      </c>
      <c r="Z257" s="126">
        <v>0</v>
      </c>
      <c r="AC257" s="125">
        <v>0</v>
      </c>
      <c r="AD257" s="124">
        <v>0</v>
      </c>
    </row>
    <row r="258" spans="1:30">
      <c r="A258" s="127" t="s">
        <v>1102</v>
      </c>
      <c r="B258" s="127" t="s">
        <v>1691</v>
      </c>
      <c r="C258" s="127" t="s">
        <v>1102</v>
      </c>
      <c r="D258" s="127" t="s">
        <v>1690</v>
      </c>
      <c r="E258" s="127" t="s">
        <v>1691</v>
      </c>
      <c r="M258" s="127" t="s">
        <v>1683</v>
      </c>
      <c r="N258" s="127" t="s">
        <v>1709</v>
      </c>
      <c r="O258" s="123">
        <v>44221</v>
      </c>
      <c r="P258" s="123">
        <v>44651</v>
      </c>
      <c r="Q258" s="123">
        <v>44284</v>
      </c>
      <c r="R258" s="123">
        <v>44290</v>
      </c>
      <c r="S258" s="124">
        <v>13</v>
      </c>
      <c r="T258" s="124">
        <v>13</v>
      </c>
      <c r="U258" s="124">
        <v>1</v>
      </c>
      <c r="V258" s="125">
        <v>0</v>
      </c>
      <c r="W258" s="124">
        <v>0</v>
      </c>
      <c r="X258" s="126">
        <v>0.2</v>
      </c>
      <c r="Y258" s="126">
        <v>0</v>
      </c>
      <c r="Z258" s="126">
        <v>0</v>
      </c>
      <c r="AC258" s="125">
        <v>0</v>
      </c>
      <c r="AD258" s="124">
        <v>0</v>
      </c>
    </row>
    <row r="259" spans="1:30">
      <c r="A259" s="127" t="s">
        <v>1102</v>
      </c>
      <c r="B259" s="127" t="s">
        <v>1691</v>
      </c>
      <c r="C259" s="127" t="s">
        <v>1102</v>
      </c>
      <c r="D259" s="127" t="s">
        <v>1690</v>
      </c>
      <c r="E259" s="127" t="s">
        <v>1691</v>
      </c>
      <c r="M259" s="127" t="s">
        <v>1683</v>
      </c>
      <c r="N259" s="127" t="s">
        <v>1709</v>
      </c>
      <c r="O259" s="123">
        <v>44221</v>
      </c>
      <c r="P259" s="123">
        <v>44651</v>
      </c>
      <c r="Q259" s="123">
        <v>44291</v>
      </c>
      <c r="R259" s="123">
        <v>44297</v>
      </c>
      <c r="S259" s="124">
        <v>14</v>
      </c>
      <c r="T259" s="124">
        <v>14</v>
      </c>
      <c r="U259" s="124">
        <v>1</v>
      </c>
      <c r="V259" s="125">
        <v>0</v>
      </c>
      <c r="W259" s="124">
        <v>0</v>
      </c>
      <c r="X259" s="126">
        <v>0.2</v>
      </c>
      <c r="Y259" s="126">
        <v>0</v>
      </c>
      <c r="Z259" s="126">
        <v>0</v>
      </c>
      <c r="AC259" s="125">
        <v>0</v>
      </c>
      <c r="AD259" s="124">
        <v>0</v>
      </c>
    </row>
    <row r="260" spans="1:30">
      <c r="A260" s="127" t="s">
        <v>1102</v>
      </c>
      <c r="B260" s="127" t="s">
        <v>1691</v>
      </c>
      <c r="C260" s="127" t="s">
        <v>1102</v>
      </c>
      <c r="D260" s="127" t="s">
        <v>1690</v>
      </c>
      <c r="E260" s="127" t="s">
        <v>1691</v>
      </c>
      <c r="M260" s="127" t="s">
        <v>1683</v>
      </c>
      <c r="N260" s="127" t="s">
        <v>1709</v>
      </c>
      <c r="O260" s="123">
        <v>44221</v>
      </c>
      <c r="P260" s="123">
        <v>44651</v>
      </c>
      <c r="Q260" s="123">
        <v>44298</v>
      </c>
      <c r="R260" s="123">
        <v>44304</v>
      </c>
      <c r="S260" s="124">
        <v>15</v>
      </c>
      <c r="T260" s="124">
        <v>15</v>
      </c>
      <c r="U260" s="124">
        <v>1</v>
      </c>
      <c r="V260" s="125">
        <v>0</v>
      </c>
      <c r="W260" s="124">
        <v>0</v>
      </c>
      <c r="X260" s="126">
        <v>0.2</v>
      </c>
      <c r="Y260" s="126">
        <v>0</v>
      </c>
      <c r="Z260" s="126">
        <v>0</v>
      </c>
      <c r="AC260" s="125">
        <v>0</v>
      </c>
      <c r="AD260" s="124">
        <v>0</v>
      </c>
    </row>
    <row r="261" spans="1:30">
      <c r="A261" s="127" t="s">
        <v>1102</v>
      </c>
      <c r="B261" s="127" t="s">
        <v>1691</v>
      </c>
      <c r="C261" s="127" t="s">
        <v>1102</v>
      </c>
      <c r="D261" s="127" t="s">
        <v>1690</v>
      </c>
      <c r="E261" s="127" t="s">
        <v>1691</v>
      </c>
      <c r="M261" s="127" t="s">
        <v>1683</v>
      </c>
      <c r="N261" s="127" t="s">
        <v>1709</v>
      </c>
      <c r="O261" s="123">
        <v>44221</v>
      </c>
      <c r="P261" s="123">
        <v>44651</v>
      </c>
      <c r="Q261" s="123">
        <v>44305</v>
      </c>
      <c r="R261" s="123">
        <v>44311</v>
      </c>
      <c r="S261" s="124">
        <v>16</v>
      </c>
      <c r="T261" s="124">
        <v>16</v>
      </c>
      <c r="U261" s="124">
        <v>1</v>
      </c>
      <c r="V261" s="125">
        <v>0</v>
      </c>
      <c r="W261" s="124">
        <v>0</v>
      </c>
      <c r="X261" s="126">
        <v>0.2</v>
      </c>
      <c r="Y261" s="126">
        <v>0</v>
      </c>
      <c r="Z261" s="126">
        <v>0</v>
      </c>
      <c r="AC261" s="125">
        <v>0</v>
      </c>
      <c r="AD261" s="124">
        <v>0</v>
      </c>
    </row>
    <row r="262" spans="1:30">
      <c r="A262" s="127" t="s">
        <v>1102</v>
      </c>
      <c r="B262" s="127" t="s">
        <v>1691</v>
      </c>
      <c r="C262" s="127" t="s">
        <v>1102</v>
      </c>
      <c r="D262" s="127" t="s">
        <v>1690</v>
      </c>
      <c r="E262" s="127" t="s">
        <v>1691</v>
      </c>
      <c r="M262" s="127" t="s">
        <v>1683</v>
      </c>
      <c r="N262" s="127" t="s">
        <v>1709</v>
      </c>
      <c r="O262" s="123">
        <v>44221</v>
      </c>
      <c r="P262" s="123">
        <v>44651</v>
      </c>
      <c r="Q262" s="123">
        <v>44312</v>
      </c>
      <c r="R262" s="123">
        <v>44318</v>
      </c>
      <c r="S262" s="124">
        <v>17</v>
      </c>
      <c r="T262" s="124">
        <v>17</v>
      </c>
      <c r="U262" s="124">
        <v>1</v>
      </c>
      <c r="V262" s="125">
        <v>0</v>
      </c>
      <c r="W262" s="124">
        <v>0</v>
      </c>
      <c r="X262" s="126">
        <v>0.2</v>
      </c>
      <c r="Y262" s="126">
        <v>0</v>
      </c>
      <c r="Z262" s="126">
        <v>0</v>
      </c>
      <c r="AC262" s="125">
        <v>0</v>
      </c>
      <c r="AD262" s="124">
        <v>0</v>
      </c>
    </row>
    <row r="263" spans="1:30">
      <c r="A263" s="127" t="s">
        <v>1102</v>
      </c>
      <c r="B263" s="127" t="s">
        <v>1691</v>
      </c>
      <c r="C263" s="127" t="s">
        <v>1102</v>
      </c>
      <c r="D263" s="127" t="s">
        <v>1690</v>
      </c>
      <c r="E263" s="127" t="s">
        <v>1691</v>
      </c>
      <c r="M263" s="127" t="s">
        <v>1683</v>
      </c>
      <c r="N263" s="127" t="s">
        <v>1709</v>
      </c>
      <c r="O263" s="123">
        <v>44221</v>
      </c>
      <c r="P263" s="123">
        <v>44651</v>
      </c>
      <c r="Q263" s="123">
        <v>44319</v>
      </c>
      <c r="R263" s="123">
        <v>44325</v>
      </c>
      <c r="S263" s="124">
        <v>18</v>
      </c>
      <c r="T263" s="124">
        <v>18</v>
      </c>
      <c r="U263" s="124">
        <v>0.8</v>
      </c>
      <c r="V263" s="125">
        <v>0</v>
      </c>
      <c r="W263" s="124">
        <v>0</v>
      </c>
      <c r="X263" s="126">
        <v>0.2</v>
      </c>
      <c r="Y263" s="126">
        <v>0</v>
      </c>
      <c r="Z263" s="126">
        <v>0</v>
      </c>
      <c r="AC263" s="125">
        <v>0</v>
      </c>
      <c r="AD263" s="124">
        <v>0</v>
      </c>
    </row>
    <row r="264" spans="1:30">
      <c r="A264" s="127" t="s">
        <v>1102</v>
      </c>
      <c r="B264" s="127" t="s">
        <v>1691</v>
      </c>
      <c r="C264" s="127" t="s">
        <v>1102</v>
      </c>
      <c r="D264" s="127" t="s">
        <v>1690</v>
      </c>
      <c r="E264" s="127" t="s">
        <v>1691</v>
      </c>
      <c r="M264" s="127" t="s">
        <v>1683</v>
      </c>
      <c r="N264" s="127" t="s">
        <v>1709</v>
      </c>
      <c r="O264" s="123">
        <v>44221</v>
      </c>
      <c r="P264" s="123">
        <v>44651</v>
      </c>
      <c r="Q264" s="123">
        <v>44326</v>
      </c>
      <c r="R264" s="123">
        <v>44332</v>
      </c>
      <c r="S264" s="124">
        <v>19</v>
      </c>
      <c r="T264" s="124">
        <v>19</v>
      </c>
      <c r="U264" s="124">
        <v>1</v>
      </c>
      <c r="V264" s="125">
        <v>0</v>
      </c>
      <c r="W264" s="124">
        <v>0</v>
      </c>
      <c r="X264" s="126">
        <v>0.2</v>
      </c>
      <c r="Y264" s="126">
        <v>0</v>
      </c>
      <c r="Z264" s="126">
        <v>0</v>
      </c>
      <c r="AC264" s="125">
        <v>0</v>
      </c>
      <c r="AD264" s="124">
        <v>0</v>
      </c>
    </row>
    <row r="265" spans="1:30">
      <c r="A265" s="127" t="s">
        <v>1102</v>
      </c>
      <c r="B265" s="127" t="s">
        <v>1691</v>
      </c>
      <c r="C265" s="127" t="s">
        <v>1102</v>
      </c>
      <c r="D265" s="127" t="s">
        <v>1690</v>
      </c>
      <c r="E265" s="127" t="s">
        <v>1691</v>
      </c>
      <c r="M265" s="127" t="s">
        <v>1683</v>
      </c>
      <c r="N265" s="127" t="s">
        <v>1709</v>
      </c>
      <c r="O265" s="123">
        <v>44221</v>
      </c>
      <c r="P265" s="123">
        <v>44651</v>
      </c>
      <c r="Q265" s="123">
        <v>44333</v>
      </c>
      <c r="R265" s="123">
        <v>44339</v>
      </c>
      <c r="S265" s="124">
        <v>20</v>
      </c>
      <c r="T265" s="124">
        <v>20</v>
      </c>
      <c r="U265" s="124">
        <v>0.8</v>
      </c>
      <c r="V265" s="125">
        <v>0</v>
      </c>
      <c r="W265" s="124">
        <v>0</v>
      </c>
      <c r="X265" s="126">
        <v>0.2</v>
      </c>
      <c r="Y265" s="126">
        <v>0</v>
      </c>
      <c r="Z265" s="126">
        <v>0</v>
      </c>
      <c r="AC265" s="125">
        <v>0</v>
      </c>
      <c r="AD265" s="124">
        <v>0</v>
      </c>
    </row>
    <row r="266" spans="1:30">
      <c r="A266" s="127" t="s">
        <v>1102</v>
      </c>
      <c r="B266" s="127" t="s">
        <v>1691</v>
      </c>
      <c r="C266" s="127" t="s">
        <v>1102</v>
      </c>
      <c r="D266" s="127" t="s">
        <v>1690</v>
      </c>
      <c r="E266" s="127" t="s">
        <v>1691</v>
      </c>
      <c r="M266" s="127" t="s">
        <v>1683</v>
      </c>
      <c r="N266" s="127" t="s">
        <v>1709</v>
      </c>
      <c r="O266" s="123">
        <v>44221</v>
      </c>
      <c r="P266" s="123">
        <v>44651</v>
      </c>
      <c r="Q266" s="123">
        <v>44340</v>
      </c>
      <c r="R266" s="123">
        <v>44346</v>
      </c>
      <c r="S266" s="124">
        <v>21</v>
      </c>
      <c r="T266" s="124">
        <v>21</v>
      </c>
      <c r="U266" s="124">
        <v>1</v>
      </c>
      <c r="V266" s="125">
        <v>0</v>
      </c>
      <c r="W266" s="124">
        <v>0</v>
      </c>
      <c r="X266" s="126">
        <v>0.2</v>
      </c>
      <c r="Y266" s="126">
        <v>0</v>
      </c>
      <c r="Z266" s="126">
        <v>0</v>
      </c>
      <c r="AC266" s="125">
        <v>0</v>
      </c>
      <c r="AD266" s="124">
        <v>0</v>
      </c>
    </row>
    <row r="267" spans="1:30">
      <c r="A267" s="127" t="s">
        <v>1102</v>
      </c>
      <c r="B267" s="127" t="s">
        <v>1691</v>
      </c>
      <c r="C267" s="127" t="s">
        <v>1102</v>
      </c>
      <c r="D267" s="127" t="s">
        <v>1690</v>
      </c>
      <c r="E267" s="127" t="s">
        <v>1691</v>
      </c>
      <c r="M267" s="127" t="s">
        <v>1683</v>
      </c>
      <c r="N267" s="127" t="s">
        <v>1709</v>
      </c>
      <c r="O267" s="123">
        <v>44221</v>
      </c>
      <c r="P267" s="123">
        <v>44651</v>
      </c>
      <c r="Q267" s="123">
        <v>44347</v>
      </c>
      <c r="R267" s="123">
        <v>44353</v>
      </c>
      <c r="S267" s="124">
        <v>22</v>
      </c>
      <c r="T267" s="124">
        <v>22</v>
      </c>
      <c r="U267" s="124">
        <v>1</v>
      </c>
      <c r="V267" s="125">
        <v>0</v>
      </c>
      <c r="W267" s="124">
        <v>0</v>
      </c>
      <c r="X267" s="126">
        <v>0.2</v>
      </c>
      <c r="Y267" s="126">
        <v>0</v>
      </c>
      <c r="Z267" s="126">
        <v>0</v>
      </c>
      <c r="AC267" s="125">
        <v>0</v>
      </c>
      <c r="AD267" s="124">
        <v>0</v>
      </c>
    </row>
    <row r="268" spans="1:30">
      <c r="A268" s="127" t="s">
        <v>1102</v>
      </c>
      <c r="B268" s="127" t="s">
        <v>1691</v>
      </c>
      <c r="C268" s="127" t="s">
        <v>1102</v>
      </c>
      <c r="D268" s="127" t="s">
        <v>1690</v>
      </c>
      <c r="E268" s="127" t="s">
        <v>1691</v>
      </c>
      <c r="M268" s="127" t="s">
        <v>1683</v>
      </c>
      <c r="N268" s="127" t="s">
        <v>1709</v>
      </c>
      <c r="O268" s="123">
        <v>44221</v>
      </c>
      <c r="P268" s="123">
        <v>44651</v>
      </c>
      <c r="Q268" s="123">
        <v>44354</v>
      </c>
      <c r="R268" s="123">
        <v>44360</v>
      </c>
      <c r="S268" s="124">
        <v>23</v>
      </c>
      <c r="T268" s="124">
        <v>23</v>
      </c>
      <c r="U268" s="124">
        <v>1</v>
      </c>
      <c r="V268" s="125">
        <v>0</v>
      </c>
      <c r="W268" s="124">
        <v>0</v>
      </c>
      <c r="X268" s="126">
        <v>0.2</v>
      </c>
      <c r="Y268" s="126">
        <v>0</v>
      </c>
      <c r="Z268" s="126">
        <v>0</v>
      </c>
      <c r="AC268" s="125">
        <v>0</v>
      </c>
      <c r="AD268" s="124">
        <v>0</v>
      </c>
    </row>
    <row r="269" spans="1:30">
      <c r="A269" s="127" t="s">
        <v>1102</v>
      </c>
      <c r="B269" s="127" t="s">
        <v>1691</v>
      </c>
      <c r="C269" s="127" t="s">
        <v>1102</v>
      </c>
      <c r="D269" s="127" t="s">
        <v>1690</v>
      </c>
      <c r="E269" s="127" t="s">
        <v>1691</v>
      </c>
      <c r="M269" s="127" t="s">
        <v>1683</v>
      </c>
      <c r="N269" s="127" t="s">
        <v>1709</v>
      </c>
      <c r="O269" s="123">
        <v>44221</v>
      </c>
      <c r="P269" s="123">
        <v>44651</v>
      </c>
      <c r="Q269" s="123">
        <v>44361</v>
      </c>
      <c r="R269" s="123">
        <v>44367</v>
      </c>
      <c r="S269" s="124">
        <v>24</v>
      </c>
      <c r="T269" s="124">
        <v>24</v>
      </c>
      <c r="U269" s="124">
        <v>1</v>
      </c>
      <c r="V269" s="125">
        <v>0</v>
      </c>
      <c r="W269" s="124">
        <v>0</v>
      </c>
      <c r="X269" s="126">
        <v>0.2</v>
      </c>
      <c r="Y269" s="126">
        <v>0</v>
      </c>
      <c r="Z269" s="126">
        <v>0</v>
      </c>
      <c r="AC269" s="125">
        <v>0</v>
      </c>
      <c r="AD269" s="124">
        <v>0</v>
      </c>
    </row>
    <row r="270" spans="1:30">
      <c r="A270" s="127" t="s">
        <v>1102</v>
      </c>
      <c r="B270" s="127" t="s">
        <v>1691</v>
      </c>
      <c r="C270" s="127" t="s">
        <v>1102</v>
      </c>
      <c r="D270" s="127" t="s">
        <v>1690</v>
      </c>
      <c r="E270" s="127" t="s">
        <v>1691</v>
      </c>
      <c r="M270" s="127" t="s">
        <v>1683</v>
      </c>
      <c r="N270" s="127" t="s">
        <v>1709</v>
      </c>
      <c r="O270" s="123">
        <v>44221</v>
      </c>
      <c r="P270" s="123">
        <v>44651</v>
      </c>
      <c r="Q270" s="123">
        <v>44368</v>
      </c>
      <c r="R270" s="123">
        <v>44374</v>
      </c>
      <c r="S270" s="124">
        <v>25</v>
      </c>
      <c r="T270" s="124">
        <v>25</v>
      </c>
      <c r="U270" s="124">
        <v>1</v>
      </c>
      <c r="V270" s="125">
        <v>0</v>
      </c>
      <c r="W270" s="124">
        <v>0</v>
      </c>
      <c r="X270" s="126">
        <v>0.2</v>
      </c>
      <c r="Y270" s="126">
        <v>0</v>
      </c>
      <c r="Z270" s="126">
        <v>0</v>
      </c>
      <c r="AC270" s="125">
        <v>0</v>
      </c>
      <c r="AD270" s="124">
        <v>0</v>
      </c>
    </row>
    <row r="271" spans="1:30">
      <c r="A271" s="127" t="s">
        <v>1102</v>
      </c>
      <c r="B271" s="127" t="s">
        <v>1691</v>
      </c>
      <c r="C271" s="127" t="s">
        <v>1102</v>
      </c>
      <c r="D271" s="127" t="s">
        <v>1690</v>
      </c>
      <c r="E271" s="127" t="s">
        <v>1691</v>
      </c>
      <c r="M271" s="127" t="s">
        <v>1683</v>
      </c>
      <c r="N271" s="127" t="s">
        <v>1709</v>
      </c>
      <c r="O271" s="123">
        <v>44221</v>
      </c>
      <c r="P271" s="123">
        <v>44651</v>
      </c>
      <c r="Q271" s="123">
        <v>44375</v>
      </c>
      <c r="R271" s="123">
        <v>44381</v>
      </c>
      <c r="S271" s="124">
        <v>26</v>
      </c>
      <c r="T271" s="124">
        <v>26</v>
      </c>
      <c r="U271" s="124">
        <v>1</v>
      </c>
      <c r="V271" s="125">
        <v>0</v>
      </c>
      <c r="W271" s="124">
        <v>0</v>
      </c>
      <c r="X271" s="126">
        <v>0.2</v>
      </c>
      <c r="Y271" s="126">
        <v>0</v>
      </c>
      <c r="Z271" s="126">
        <v>0</v>
      </c>
      <c r="AC271" s="125">
        <v>0</v>
      </c>
      <c r="AD271" s="124">
        <v>0</v>
      </c>
    </row>
    <row r="272" spans="1:30">
      <c r="A272" s="127" t="s">
        <v>1102</v>
      </c>
      <c r="B272" s="127" t="s">
        <v>1691</v>
      </c>
      <c r="C272" s="127" t="s">
        <v>1102</v>
      </c>
      <c r="D272" s="127" t="s">
        <v>1690</v>
      </c>
      <c r="E272" s="127" t="s">
        <v>1691</v>
      </c>
      <c r="M272" s="127" t="s">
        <v>1683</v>
      </c>
      <c r="N272" s="127" t="s">
        <v>1709</v>
      </c>
      <c r="O272" s="123">
        <v>44221</v>
      </c>
      <c r="P272" s="123">
        <v>44651</v>
      </c>
      <c r="Q272" s="123">
        <v>44382</v>
      </c>
      <c r="R272" s="123">
        <v>44388</v>
      </c>
      <c r="S272" s="124">
        <v>27</v>
      </c>
      <c r="T272" s="124">
        <v>27</v>
      </c>
      <c r="U272" s="124">
        <v>1</v>
      </c>
      <c r="V272" s="125">
        <v>0</v>
      </c>
      <c r="W272" s="124">
        <v>0</v>
      </c>
      <c r="X272" s="126">
        <v>0.2</v>
      </c>
      <c r="Y272" s="126">
        <v>0</v>
      </c>
      <c r="Z272" s="126">
        <v>0</v>
      </c>
      <c r="AC272" s="125">
        <v>0</v>
      </c>
      <c r="AD272" s="124">
        <v>0</v>
      </c>
    </row>
    <row r="273" spans="1:30">
      <c r="A273" s="127" t="s">
        <v>1102</v>
      </c>
      <c r="B273" s="127" t="s">
        <v>1691</v>
      </c>
      <c r="C273" s="127" t="s">
        <v>1102</v>
      </c>
      <c r="D273" s="127" t="s">
        <v>1690</v>
      </c>
      <c r="E273" s="127" t="s">
        <v>1691</v>
      </c>
      <c r="M273" s="127" t="s">
        <v>1683</v>
      </c>
      <c r="N273" s="127" t="s">
        <v>1709</v>
      </c>
      <c r="O273" s="123">
        <v>44221</v>
      </c>
      <c r="P273" s="123">
        <v>44651</v>
      </c>
      <c r="Q273" s="123">
        <v>44389</v>
      </c>
      <c r="R273" s="123">
        <v>44395</v>
      </c>
      <c r="S273" s="124">
        <v>28</v>
      </c>
      <c r="T273" s="124">
        <v>28</v>
      </c>
      <c r="U273" s="124">
        <v>1</v>
      </c>
      <c r="V273" s="125">
        <v>0</v>
      </c>
      <c r="W273" s="124">
        <v>0</v>
      </c>
      <c r="X273" s="126">
        <v>0.2</v>
      </c>
      <c r="Y273" s="126">
        <v>0</v>
      </c>
      <c r="Z273" s="126">
        <v>0</v>
      </c>
      <c r="AC273" s="125">
        <v>0</v>
      </c>
      <c r="AD273" s="124">
        <v>0</v>
      </c>
    </row>
    <row r="274" spans="1:30">
      <c r="A274" s="127" t="s">
        <v>1102</v>
      </c>
      <c r="B274" s="127" t="s">
        <v>1691</v>
      </c>
      <c r="C274" s="127" t="s">
        <v>1102</v>
      </c>
      <c r="D274" s="127" t="s">
        <v>1690</v>
      </c>
      <c r="E274" s="127" t="s">
        <v>1691</v>
      </c>
      <c r="M274" s="127" t="s">
        <v>1683</v>
      </c>
      <c r="N274" s="127" t="s">
        <v>1709</v>
      </c>
      <c r="O274" s="123">
        <v>44221</v>
      </c>
      <c r="P274" s="123">
        <v>44651</v>
      </c>
      <c r="Q274" s="123">
        <v>44396</v>
      </c>
      <c r="R274" s="123">
        <v>44402</v>
      </c>
      <c r="S274" s="124">
        <v>29</v>
      </c>
      <c r="T274" s="124">
        <v>29</v>
      </c>
      <c r="U274" s="124">
        <v>1</v>
      </c>
      <c r="V274" s="125">
        <v>0</v>
      </c>
      <c r="W274" s="124">
        <v>0</v>
      </c>
      <c r="X274" s="126">
        <v>0.2</v>
      </c>
      <c r="Y274" s="126">
        <v>0</v>
      </c>
      <c r="Z274" s="126">
        <v>0</v>
      </c>
      <c r="AC274" s="125">
        <v>0</v>
      </c>
      <c r="AD274" s="124">
        <v>0</v>
      </c>
    </row>
    <row r="275" spans="1:30">
      <c r="A275" s="127" t="s">
        <v>1102</v>
      </c>
      <c r="B275" s="127" t="s">
        <v>1691</v>
      </c>
      <c r="C275" s="127" t="s">
        <v>1102</v>
      </c>
      <c r="D275" s="127" t="s">
        <v>1690</v>
      </c>
      <c r="E275" s="127" t="s">
        <v>1691</v>
      </c>
      <c r="M275" s="127" t="s">
        <v>1683</v>
      </c>
      <c r="N275" s="127" t="s">
        <v>1709</v>
      </c>
      <c r="O275" s="123">
        <v>44221</v>
      </c>
      <c r="P275" s="123">
        <v>44651</v>
      </c>
      <c r="Q275" s="123">
        <v>44403</v>
      </c>
      <c r="R275" s="123">
        <v>44409</v>
      </c>
      <c r="S275" s="124">
        <v>30</v>
      </c>
      <c r="T275" s="124">
        <v>30</v>
      </c>
      <c r="U275" s="124">
        <v>1</v>
      </c>
      <c r="V275" s="125">
        <v>0</v>
      </c>
      <c r="W275" s="124">
        <v>0</v>
      </c>
      <c r="X275" s="126">
        <v>0.2</v>
      </c>
      <c r="Y275" s="126">
        <v>0</v>
      </c>
      <c r="Z275" s="126">
        <v>0</v>
      </c>
      <c r="AC275" s="125">
        <v>0</v>
      </c>
      <c r="AD275" s="124">
        <v>0</v>
      </c>
    </row>
    <row r="276" spans="1:30">
      <c r="A276" s="127" t="s">
        <v>1102</v>
      </c>
      <c r="B276" s="127" t="s">
        <v>1691</v>
      </c>
      <c r="C276" s="127" t="s">
        <v>1102</v>
      </c>
      <c r="D276" s="127" t="s">
        <v>1690</v>
      </c>
      <c r="E276" s="127" t="s">
        <v>1691</v>
      </c>
      <c r="M276" s="127" t="s">
        <v>1683</v>
      </c>
      <c r="N276" s="127" t="s">
        <v>1709</v>
      </c>
      <c r="O276" s="123">
        <v>44221</v>
      </c>
      <c r="P276" s="123">
        <v>44651</v>
      </c>
      <c r="Q276" s="123">
        <v>44410</v>
      </c>
      <c r="R276" s="123">
        <v>44416</v>
      </c>
      <c r="S276" s="124">
        <v>31</v>
      </c>
      <c r="T276" s="124">
        <v>31</v>
      </c>
      <c r="U276" s="124">
        <v>1</v>
      </c>
      <c r="V276" s="125">
        <v>0</v>
      </c>
      <c r="W276" s="124">
        <v>0</v>
      </c>
      <c r="X276" s="126">
        <v>0.2</v>
      </c>
      <c r="Y276" s="126">
        <v>0</v>
      </c>
      <c r="Z276" s="126">
        <v>0</v>
      </c>
      <c r="AC276" s="125">
        <v>0</v>
      </c>
      <c r="AD276" s="124">
        <v>0</v>
      </c>
    </row>
    <row r="277" spans="1:30">
      <c r="A277" s="127" t="s">
        <v>1102</v>
      </c>
      <c r="B277" s="127" t="s">
        <v>1691</v>
      </c>
      <c r="C277" s="127" t="s">
        <v>1102</v>
      </c>
      <c r="D277" s="127" t="s">
        <v>1690</v>
      </c>
      <c r="E277" s="127" t="s">
        <v>1691</v>
      </c>
      <c r="M277" s="127" t="s">
        <v>1683</v>
      </c>
      <c r="N277" s="127" t="s">
        <v>1709</v>
      </c>
      <c r="O277" s="123">
        <v>44221</v>
      </c>
      <c r="P277" s="123">
        <v>44651</v>
      </c>
      <c r="Q277" s="123">
        <v>44417</v>
      </c>
      <c r="R277" s="123">
        <v>44423</v>
      </c>
      <c r="S277" s="124">
        <v>32</v>
      </c>
      <c r="T277" s="124">
        <v>32</v>
      </c>
      <c r="U277" s="124">
        <v>1</v>
      </c>
      <c r="V277" s="125">
        <v>0</v>
      </c>
      <c r="W277" s="124">
        <v>0</v>
      </c>
      <c r="X277" s="126">
        <v>0.2</v>
      </c>
      <c r="Y277" s="126">
        <v>0</v>
      </c>
      <c r="Z277" s="126">
        <v>0</v>
      </c>
      <c r="AC277" s="125">
        <v>0</v>
      </c>
      <c r="AD277" s="124">
        <v>0</v>
      </c>
    </row>
    <row r="278" spans="1:30">
      <c r="A278" s="127" t="s">
        <v>1102</v>
      </c>
      <c r="B278" s="127" t="s">
        <v>1691</v>
      </c>
      <c r="C278" s="127" t="s">
        <v>1102</v>
      </c>
      <c r="D278" s="127" t="s">
        <v>1690</v>
      </c>
      <c r="E278" s="127" t="s">
        <v>1691</v>
      </c>
      <c r="M278" s="127" t="s">
        <v>1683</v>
      </c>
      <c r="N278" s="127" t="s">
        <v>1709</v>
      </c>
      <c r="O278" s="123">
        <v>44221</v>
      </c>
      <c r="P278" s="123">
        <v>44651</v>
      </c>
      <c r="Q278" s="123">
        <v>44424</v>
      </c>
      <c r="R278" s="123">
        <v>44430</v>
      </c>
      <c r="S278" s="124">
        <v>33</v>
      </c>
      <c r="T278" s="124">
        <v>33</v>
      </c>
      <c r="U278" s="124">
        <v>1</v>
      </c>
      <c r="V278" s="125">
        <v>0</v>
      </c>
      <c r="W278" s="124">
        <v>0</v>
      </c>
      <c r="X278" s="126">
        <v>0.2</v>
      </c>
      <c r="Y278" s="126">
        <v>0</v>
      </c>
      <c r="Z278" s="126">
        <v>0</v>
      </c>
      <c r="AC278" s="125">
        <v>0</v>
      </c>
      <c r="AD278" s="124">
        <v>0</v>
      </c>
    </row>
    <row r="279" spans="1:30">
      <c r="A279" s="127" t="s">
        <v>1102</v>
      </c>
      <c r="B279" s="127" t="s">
        <v>1691</v>
      </c>
      <c r="C279" s="127" t="s">
        <v>1102</v>
      </c>
      <c r="D279" s="127" t="s">
        <v>1690</v>
      </c>
      <c r="E279" s="127" t="s">
        <v>1691</v>
      </c>
      <c r="M279" s="127" t="s">
        <v>1683</v>
      </c>
      <c r="N279" s="127" t="s">
        <v>1709</v>
      </c>
      <c r="O279" s="123">
        <v>44221</v>
      </c>
      <c r="P279" s="123">
        <v>44651</v>
      </c>
      <c r="Q279" s="123">
        <v>44431</v>
      </c>
      <c r="R279" s="123">
        <v>44437</v>
      </c>
      <c r="S279" s="124">
        <v>34</v>
      </c>
      <c r="T279" s="124">
        <v>34</v>
      </c>
      <c r="U279" s="124">
        <v>1</v>
      </c>
      <c r="V279" s="125">
        <v>0</v>
      </c>
      <c r="W279" s="124">
        <v>0</v>
      </c>
      <c r="X279" s="126">
        <v>0.2</v>
      </c>
      <c r="Y279" s="126">
        <v>0</v>
      </c>
      <c r="Z279" s="126">
        <v>0</v>
      </c>
      <c r="AC279" s="125">
        <v>0</v>
      </c>
      <c r="AD279" s="124">
        <v>0</v>
      </c>
    </row>
    <row r="280" spans="1:30">
      <c r="A280" s="127" t="s">
        <v>1102</v>
      </c>
      <c r="B280" s="127" t="s">
        <v>1691</v>
      </c>
      <c r="C280" s="127" t="s">
        <v>1102</v>
      </c>
      <c r="D280" s="127" t="s">
        <v>1690</v>
      </c>
      <c r="E280" s="127" t="s">
        <v>1691</v>
      </c>
      <c r="M280" s="127" t="s">
        <v>1683</v>
      </c>
      <c r="N280" s="127" t="s">
        <v>1709</v>
      </c>
      <c r="O280" s="123">
        <v>44221</v>
      </c>
      <c r="P280" s="123">
        <v>44651</v>
      </c>
      <c r="Q280" s="123">
        <v>44438</v>
      </c>
      <c r="R280" s="123">
        <v>44444</v>
      </c>
      <c r="S280" s="124">
        <v>35</v>
      </c>
      <c r="T280" s="124">
        <v>35</v>
      </c>
      <c r="U280" s="124">
        <v>1</v>
      </c>
      <c r="V280" s="125">
        <v>0</v>
      </c>
      <c r="W280" s="124">
        <v>0</v>
      </c>
      <c r="X280" s="126">
        <v>0.2</v>
      </c>
      <c r="Y280" s="126">
        <v>0</v>
      </c>
      <c r="Z280" s="126">
        <v>0</v>
      </c>
      <c r="AC280" s="125">
        <v>0</v>
      </c>
      <c r="AD280" s="124">
        <v>0</v>
      </c>
    </row>
    <row r="281" spans="1:30">
      <c r="A281" s="127" t="s">
        <v>1102</v>
      </c>
      <c r="B281" s="127" t="s">
        <v>1691</v>
      </c>
      <c r="C281" s="127" t="s">
        <v>1102</v>
      </c>
      <c r="D281" s="127" t="s">
        <v>1690</v>
      </c>
      <c r="E281" s="127" t="s">
        <v>1691</v>
      </c>
      <c r="M281" s="127" t="s">
        <v>1683</v>
      </c>
      <c r="N281" s="127" t="s">
        <v>1709</v>
      </c>
      <c r="O281" s="123">
        <v>44221</v>
      </c>
      <c r="P281" s="123">
        <v>44651</v>
      </c>
      <c r="Q281" s="123">
        <v>44445</v>
      </c>
      <c r="R281" s="123">
        <v>44451</v>
      </c>
      <c r="S281" s="124">
        <v>36</v>
      </c>
      <c r="T281" s="124">
        <v>36</v>
      </c>
      <c r="U281" s="124">
        <v>1</v>
      </c>
      <c r="V281" s="125">
        <v>0</v>
      </c>
      <c r="W281" s="124">
        <v>0</v>
      </c>
      <c r="X281" s="126">
        <v>0.2</v>
      </c>
      <c r="Y281" s="126">
        <v>0</v>
      </c>
      <c r="Z281" s="126">
        <v>0</v>
      </c>
      <c r="AC281" s="125">
        <v>0</v>
      </c>
      <c r="AD281" s="124">
        <v>0</v>
      </c>
    </row>
    <row r="282" spans="1:30">
      <c r="A282" s="127" t="s">
        <v>1102</v>
      </c>
      <c r="B282" s="127" t="s">
        <v>1691</v>
      </c>
      <c r="C282" s="127" t="s">
        <v>1102</v>
      </c>
      <c r="D282" s="127" t="s">
        <v>1690</v>
      </c>
      <c r="E282" s="127" t="s">
        <v>1691</v>
      </c>
      <c r="M282" s="127" t="s">
        <v>1683</v>
      </c>
      <c r="N282" s="127" t="s">
        <v>1709</v>
      </c>
      <c r="O282" s="123">
        <v>44221</v>
      </c>
      <c r="P282" s="123">
        <v>44651</v>
      </c>
      <c r="Q282" s="123">
        <v>44452</v>
      </c>
      <c r="R282" s="123">
        <v>44458</v>
      </c>
      <c r="S282" s="124">
        <v>37</v>
      </c>
      <c r="T282" s="124">
        <v>37</v>
      </c>
      <c r="U282" s="124">
        <v>1</v>
      </c>
      <c r="V282" s="125">
        <v>0</v>
      </c>
      <c r="W282" s="124">
        <v>0</v>
      </c>
      <c r="X282" s="126">
        <v>0.2</v>
      </c>
      <c r="Y282" s="126">
        <v>0</v>
      </c>
      <c r="Z282" s="126">
        <v>0</v>
      </c>
      <c r="AC282" s="125">
        <v>0</v>
      </c>
      <c r="AD282" s="124">
        <v>0</v>
      </c>
    </row>
    <row r="283" spans="1:30">
      <c r="A283" s="127" t="s">
        <v>1102</v>
      </c>
      <c r="B283" s="127" t="s">
        <v>1691</v>
      </c>
      <c r="C283" s="127" t="s">
        <v>1102</v>
      </c>
      <c r="D283" s="127" t="s">
        <v>1690</v>
      </c>
      <c r="E283" s="127" t="s">
        <v>1691</v>
      </c>
      <c r="M283" s="127" t="s">
        <v>1683</v>
      </c>
      <c r="N283" s="127" t="s">
        <v>1709</v>
      </c>
      <c r="O283" s="123">
        <v>44221</v>
      </c>
      <c r="P283" s="123">
        <v>44651</v>
      </c>
      <c r="Q283" s="123">
        <v>44459</v>
      </c>
      <c r="R283" s="123">
        <v>44465</v>
      </c>
      <c r="S283" s="124">
        <v>38</v>
      </c>
      <c r="T283" s="124">
        <v>38</v>
      </c>
      <c r="U283" s="124">
        <v>0.4</v>
      </c>
      <c r="V283" s="125">
        <v>0</v>
      </c>
      <c r="W283" s="124">
        <v>0</v>
      </c>
      <c r="X283" s="126">
        <v>0.2</v>
      </c>
      <c r="Y283" s="126">
        <v>0</v>
      </c>
      <c r="Z283" s="126">
        <v>0</v>
      </c>
      <c r="AC283" s="125">
        <v>0</v>
      </c>
      <c r="AD283" s="124">
        <v>0</v>
      </c>
    </row>
    <row r="284" spans="1:30">
      <c r="A284" s="127" t="s">
        <v>1102</v>
      </c>
      <c r="B284" s="127" t="s">
        <v>1691</v>
      </c>
      <c r="C284" s="127" t="s">
        <v>1102</v>
      </c>
      <c r="D284" s="127" t="s">
        <v>1690</v>
      </c>
      <c r="E284" s="127" t="s">
        <v>1691</v>
      </c>
      <c r="M284" s="127" t="s">
        <v>1683</v>
      </c>
      <c r="N284" s="127" t="s">
        <v>1709</v>
      </c>
      <c r="O284" s="123">
        <v>44221</v>
      </c>
      <c r="P284" s="123">
        <v>44651</v>
      </c>
      <c r="Q284" s="123">
        <v>44466</v>
      </c>
      <c r="R284" s="123">
        <v>44472</v>
      </c>
      <c r="S284" s="124">
        <v>39</v>
      </c>
      <c r="T284" s="124">
        <v>39</v>
      </c>
      <c r="U284" s="124">
        <v>1</v>
      </c>
      <c r="V284" s="125">
        <v>0</v>
      </c>
      <c r="W284" s="124">
        <v>0</v>
      </c>
      <c r="X284" s="126">
        <v>0.2</v>
      </c>
      <c r="Y284" s="126">
        <v>0</v>
      </c>
      <c r="Z284" s="126">
        <v>0</v>
      </c>
      <c r="AC284" s="125">
        <v>0</v>
      </c>
      <c r="AD284" s="124">
        <v>0</v>
      </c>
    </row>
    <row r="285" spans="1:30">
      <c r="A285" s="127" t="s">
        <v>1102</v>
      </c>
      <c r="B285" s="127" t="s">
        <v>1691</v>
      </c>
      <c r="C285" s="127" t="s">
        <v>1102</v>
      </c>
      <c r="D285" s="127" t="s">
        <v>1690</v>
      </c>
      <c r="E285" s="127" t="s">
        <v>1691</v>
      </c>
      <c r="M285" s="127" t="s">
        <v>1683</v>
      </c>
      <c r="N285" s="127" t="s">
        <v>1709</v>
      </c>
      <c r="O285" s="123">
        <v>44221</v>
      </c>
      <c r="P285" s="123">
        <v>44651</v>
      </c>
      <c r="Q285" s="123">
        <v>44473</v>
      </c>
      <c r="R285" s="123">
        <v>44479</v>
      </c>
      <c r="S285" s="124">
        <v>40</v>
      </c>
      <c r="T285" s="124">
        <v>40</v>
      </c>
      <c r="U285" s="124">
        <v>1</v>
      </c>
      <c r="V285" s="125">
        <v>0</v>
      </c>
      <c r="W285" s="124">
        <v>0</v>
      </c>
      <c r="X285" s="126">
        <v>0.2</v>
      </c>
      <c r="Y285" s="126">
        <v>0</v>
      </c>
      <c r="Z285" s="126">
        <v>0</v>
      </c>
      <c r="AC285" s="125">
        <v>0</v>
      </c>
      <c r="AD285" s="124">
        <v>0</v>
      </c>
    </row>
    <row r="286" spans="1:30">
      <c r="A286" s="127" t="s">
        <v>1102</v>
      </c>
      <c r="B286" s="127" t="s">
        <v>1691</v>
      </c>
      <c r="C286" s="127" t="s">
        <v>1102</v>
      </c>
      <c r="D286" s="127" t="s">
        <v>1690</v>
      </c>
      <c r="E286" s="127" t="s">
        <v>1691</v>
      </c>
      <c r="M286" s="127" t="s">
        <v>1683</v>
      </c>
      <c r="N286" s="127" t="s">
        <v>1709</v>
      </c>
      <c r="O286" s="123">
        <v>44221</v>
      </c>
      <c r="P286" s="123">
        <v>44651</v>
      </c>
      <c r="Q286" s="123">
        <v>44480</v>
      </c>
      <c r="R286" s="123">
        <v>44486</v>
      </c>
      <c r="S286" s="124">
        <v>41</v>
      </c>
      <c r="T286" s="124">
        <v>41</v>
      </c>
      <c r="U286" s="124">
        <v>1</v>
      </c>
      <c r="V286" s="125">
        <v>0</v>
      </c>
      <c r="W286" s="124">
        <v>0</v>
      </c>
      <c r="X286" s="126">
        <v>0.2</v>
      </c>
      <c r="Y286" s="126">
        <v>0</v>
      </c>
      <c r="Z286" s="126">
        <v>0</v>
      </c>
      <c r="AC286" s="125">
        <v>0</v>
      </c>
      <c r="AD286" s="124">
        <v>0</v>
      </c>
    </row>
    <row r="287" spans="1:30">
      <c r="A287" s="127" t="s">
        <v>1102</v>
      </c>
      <c r="B287" s="127" t="s">
        <v>1691</v>
      </c>
      <c r="C287" s="127" t="s">
        <v>1102</v>
      </c>
      <c r="D287" s="127" t="s">
        <v>1690</v>
      </c>
      <c r="E287" s="127" t="s">
        <v>1691</v>
      </c>
      <c r="M287" s="127" t="s">
        <v>1683</v>
      </c>
      <c r="N287" s="127" t="s">
        <v>1709</v>
      </c>
      <c r="O287" s="123">
        <v>44221</v>
      </c>
      <c r="P287" s="123">
        <v>44651</v>
      </c>
      <c r="Q287" s="123">
        <v>44487</v>
      </c>
      <c r="R287" s="123">
        <v>44493</v>
      </c>
      <c r="S287" s="124">
        <v>42</v>
      </c>
      <c r="T287" s="124">
        <v>42</v>
      </c>
      <c r="U287" s="124">
        <v>1</v>
      </c>
      <c r="V287" s="125">
        <v>0</v>
      </c>
      <c r="W287" s="124">
        <v>0</v>
      </c>
      <c r="X287" s="126">
        <v>0.2</v>
      </c>
      <c r="Y287" s="126">
        <v>0</v>
      </c>
      <c r="Z287" s="126">
        <v>0</v>
      </c>
      <c r="AC287" s="125">
        <v>0</v>
      </c>
      <c r="AD287" s="124">
        <v>0</v>
      </c>
    </row>
    <row r="288" spans="1:30">
      <c r="A288" s="127" t="s">
        <v>1102</v>
      </c>
      <c r="B288" s="127" t="s">
        <v>1691</v>
      </c>
      <c r="C288" s="127" t="s">
        <v>1102</v>
      </c>
      <c r="D288" s="127" t="s">
        <v>1690</v>
      </c>
      <c r="E288" s="127" t="s">
        <v>1691</v>
      </c>
      <c r="M288" s="127" t="s">
        <v>1683</v>
      </c>
      <c r="N288" s="127" t="s">
        <v>1709</v>
      </c>
      <c r="O288" s="123">
        <v>44221</v>
      </c>
      <c r="P288" s="123">
        <v>44651</v>
      </c>
      <c r="Q288" s="123">
        <v>44494</v>
      </c>
      <c r="R288" s="123">
        <v>44500</v>
      </c>
      <c r="S288" s="124">
        <v>43</v>
      </c>
      <c r="T288" s="124">
        <v>43</v>
      </c>
      <c r="U288" s="124">
        <v>1</v>
      </c>
      <c r="V288" s="125">
        <v>0</v>
      </c>
      <c r="W288" s="124">
        <v>0</v>
      </c>
      <c r="X288" s="126">
        <v>0.2</v>
      </c>
      <c r="Y288" s="126">
        <v>0</v>
      </c>
      <c r="Z288" s="126">
        <v>0</v>
      </c>
      <c r="AC288" s="125">
        <v>0</v>
      </c>
      <c r="AD288" s="124">
        <v>0</v>
      </c>
    </row>
    <row r="289" spans="1:30">
      <c r="A289" s="127" t="s">
        <v>1102</v>
      </c>
      <c r="B289" s="127" t="s">
        <v>1691</v>
      </c>
      <c r="C289" s="127" t="s">
        <v>1102</v>
      </c>
      <c r="D289" s="127" t="s">
        <v>1690</v>
      </c>
      <c r="E289" s="127" t="s">
        <v>1691</v>
      </c>
      <c r="M289" s="127" t="s">
        <v>1683</v>
      </c>
      <c r="N289" s="127" t="s">
        <v>1709</v>
      </c>
      <c r="O289" s="123">
        <v>44221</v>
      </c>
      <c r="P289" s="123">
        <v>44651</v>
      </c>
      <c r="Q289" s="123">
        <v>44501</v>
      </c>
      <c r="R289" s="123">
        <v>44507</v>
      </c>
      <c r="S289" s="124">
        <v>44</v>
      </c>
      <c r="T289" s="124">
        <v>44</v>
      </c>
      <c r="U289" s="124">
        <v>1</v>
      </c>
      <c r="V289" s="125">
        <v>0</v>
      </c>
      <c r="W289" s="124">
        <v>0</v>
      </c>
      <c r="X289" s="126">
        <v>0.2</v>
      </c>
      <c r="Y289" s="126">
        <v>0</v>
      </c>
      <c r="Z289" s="126">
        <v>0</v>
      </c>
      <c r="AC289" s="125">
        <v>0</v>
      </c>
      <c r="AD289" s="124">
        <v>0</v>
      </c>
    </row>
    <row r="290" spans="1:30">
      <c r="A290" s="127" t="s">
        <v>1102</v>
      </c>
      <c r="B290" s="127" t="s">
        <v>1691</v>
      </c>
      <c r="C290" s="127" t="s">
        <v>1102</v>
      </c>
      <c r="D290" s="127" t="s">
        <v>1690</v>
      </c>
      <c r="E290" s="127" t="s">
        <v>1691</v>
      </c>
      <c r="M290" s="127" t="s">
        <v>1683</v>
      </c>
      <c r="N290" s="127" t="s">
        <v>1709</v>
      </c>
      <c r="O290" s="123">
        <v>44221</v>
      </c>
      <c r="P290" s="123">
        <v>44651</v>
      </c>
      <c r="Q290" s="123">
        <v>44508</v>
      </c>
      <c r="R290" s="123">
        <v>44514</v>
      </c>
      <c r="S290" s="124">
        <v>45</v>
      </c>
      <c r="T290" s="124">
        <v>45</v>
      </c>
      <c r="U290" s="124">
        <v>1</v>
      </c>
      <c r="V290" s="125">
        <v>0</v>
      </c>
      <c r="W290" s="124">
        <v>0</v>
      </c>
      <c r="X290" s="126">
        <v>0.2</v>
      </c>
      <c r="Y290" s="126">
        <v>0</v>
      </c>
      <c r="Z290" s="126">
        <v>0</v>
      </c>
      <c r="AC290" s="125">
        <v>0</v>
      </c>
      <c r="AD290" s="124">
        <v>0</v>
      </c>
    </row>
    <row r="291" spans="1:30">
      <c r="A291" s="127" t="s">
        <v>1102</v>
      </c>
      <c r="B291" s="127" t="s">
        <v>1691</v>
      </c>
      <c r="C291" s="127" t="s">
        <v>1102</v>
      </c>
      <c r="D291" s="127" t="s">
        <v>1690</v>
      </c>
      <c r="E291" s="127" t="s">
        <v>1691</v>
      </c>
      <c r="M291" s="127" t="s">
        <v>1683</v>
      </c>
      <c r="N291" s="127" t="s">
        <v>1709</v>
      </c>
      <c r="O291" s="123">
        <v>44221</v>
      </c>
      <c r="P291" s="123">
        <v>44651</v>
      </c>
      <c r="Q291" s="123">
        <v>44515</v>
      </c>
      <c r="R291" s="123">
        <v>44521</v>
      </c>
      <c r="S291" s="124">
        <v>46</v>
      </c>
      <c r="T291" s="124">
        <v>46</v>
      </c>
      <c r="U291" s="124">
        <v>1</v>
      </c>
      <c r="V291" s="125">
        <v>0</v>
      </c>
      <c r="W291" s="124">
        <v>0</v>
      </c>
      <c r="X291" s="126">
        <v>0.2</v>
      </c>
      <c r="Y291" s="126">
        <v>0</v>
      </c>
      <c r="Z291" s="126">
        <v>0</v>
      </c>
      <c r="AC291" s="125">
        <v>0</v>
      </c>
      <c r="AD291" s="124">
        <v>0</v>
      </c>
    </row>
    <row r="292" spans="1:30">
      <c r="A292" s="127" t="s">
        <v>1102</v>
      </c>
      <c r="B292" s="127" t="s">
        <v>1691</v>
      </c>
      <c r="C292" s="127" t="s">
        <v>1102</v>
      </c>
      <c r="D292" s="127" t="s">
        <v>1690</v>
      </c>
      <c r="E292" s="127" t="s">
        <v>1691</v>
      </c>
      <c r="M292" s="127" t="s">
        <v>1683</v>
      </c>
      <c r="N292" s="127" t="s">
        <v>1709</v>
      </c>
      <c r="O292" s="123">
        <v>44221</v>
      </c>
      <c r="P292" s="123">
        <v>44651</v>
      </c>
      <c r="Q292" s="123">
        <v>44522</v>
      </c>
      <c r="R292" s="123">
        <v>44528</v>
      </c>
      <c r="S292" s="124">
        <v>47</v>
      </c>
      <c r="T292" s="124">
        <v>47</v>
      </c>
      <c r="U292" s="124">
        <v>1</v>
      </c>
      <c r="V292" s="125">
        <v>0</v>
      </c>
      <c r="W292" s="124">
        <v>0</v>
      </c>
      <c r="X292" s="126">
        <v>0.2</v>
      </c>
      <c r="Y292" s="126">
        <v>0</v>
      </c>
      <c r="Z292" s="126">
        <v>0</v>
      </c>
      <c r="AC292" s="125">
        <v>0</v>
      </c>
      <c r="AD292" s="124">
        <v>0</v>
      </c>
    </row>
    <row r="293" spans="1:30">
      <c r="A293" s="127" t="s">
        <v>1102</v>
      </c>
      <c r="B293" s="127" t="s">
        <v>1691</v>
      </c>
      <c r="C293" s="127" t="s">
        <v>1102</v>
      </c>
      <c r="D293" s="127" t="s">
        <v>1690</v>
      </c>
      <c r="E293" s="127" t="s">
        <v>1691</v>
      </c>
      <c r="M293" s="127" t="s">
        <v>1683</v>
      </c>
      <c r="N293" s="127" t="s">
        <v>1709</v>
      </c>
      <c r="O293" s="123">
        <v>44221</v>
      </c>
      <c r="P293" s="123">
        <v>44651</v>
      </c>
      <c r="Q293" s="123">
        <v>44529</v>
      </c>
      <c r="R293" s="123">
        <v>44535</v>
      </c>
      <c r="S293" s="124">
        <v>48</v>
      </c>
      <c r="T293" s="124">
        <v>48</v>
      </c>
      <c r="U293" s="124">
        <v>1</v>
      </c>
      <c r="V293" s="125">
        <v>0</v>
      </c>
      <c r="W293" s="124">
        <v>0</v>
      </c>
      <c r="X293" s="126">
        <v>0.2</v>
      </c>
      <c r="Y293" s="126">
        <v>0</v>
      </c>
      <c r="Z293" s="126">
        <v>0</v>
      </c>
      <c r="AC293" s="125">
        <v>0</v>
      </c>
      <c r="AD293" s="124">
        <v>0</v>
      </c>
    </row>
    <row r="294" spans="1:30">
      <c r="A294" s="127" t="s">
        <v>1102</v>
      </c>
      <c r="B294" s="127" t="s">
        <v>1691</v>
      </c>
      <c r="C294" s="127" t="s">
        <v>1102</v>
      </c>
      <c r="D294" s="127" t="s">
        <v>1690</v>
      </c>
      <c r="E294" s="127" t="s">
        <v>1691</v>
      </c>
      <c r="M294" s="127" t="s">
        <v>1683</v>
      </c>
      <c r="N294" s="127" t="s">
        <v>1709</v>
      </c>
      <c r="O294" s="123">
        <v>44221</v>
      </c>
      <c r="P294" s="123">
        <v>44651</v>
      </c>
      <c r="Q294" s="123">
        <v>44536</v>
      </c>
      <c r="R294" s="123">
        <v>44542</v>
      </c>
      <c r="S294" s="124">
        <v>49</v>
      </c>
      <c r="T294" s="124">
        <v>49</v>
      </c>
      <c r="U294" s="124">
        <v>1</v>
      </c>
      <c r="V294" s="125">
        <v>0</v>
      </c>
      <c r="W294" s="124">
        <v>0</v>
      </c>
      <c r="X294" s="126">
        <v>0.2</v>
      </c>
      <c r="Y294" s="126">
        <v>0</v>
      </c>
      <c r="Z294" s="126">
        <v>0</v>
      </c>
      <c r="AC294" s="125">
        <v>0</v>
      </c>
      <c r="AD294" s="124">
        <v>0</v>
      </c>
    </row>
    <row r="295" spans="1:30">
      <c r="A295" s="127" t="s">
        <v>1102</v>
      </c>
      <c r="B295" s="127" t="s">
        <v>1691</v>
      </c>
      <c r="C295" s="127" t="s">
        <v>1102</v>
      </c>
      <c r="D295" s="127" t="s">
        <v>1690</v>
      </c>
      <c r="E295" s="127" t="s">
        <v>1691</v>
      </c>
      <c r="M295" s="127" t="s">
        <v>1683</v>
      </c>
      <c r="N295" s="127" t="s">
        <v>1709</v>
      </c>
      <c r="O295" s="123">
        <v>44221</v>
      </c>
      <c r="P295" s="123">
        <v>44651</v>
      </c>
      <c r="Q295" s="123">
        <v>44543</v>
      </c>
      <c r="R295" s="123">
        <v>44549</v>
      </c>
      <c r="S295" s="124">
        <v>50</v>
      </c>
      <c r="T295" s="124">
        <v>50</v>
      </c>
      <c r="U295" s="124">
        <v>1</v>
      </c>
      <c r="V295" s="125">
        <v>0</v>
      </c>
      <c r="W295" s="124">
        <v>0</v>
      </c>
      <c r="X295" s="126">
        <v>0.2</v>
      </c>
      <c r="Y295" s="126">
        <v>0</v>
      </c>
      <c r="Z295" s="126">
        <v>0</v>
      </c>
      <c r="AC295" s="125">
        <v>0</v>
      </c>
      <c r="AD295" s="124">
        <v>0</v>
      </c>
    </row>
    <row r="296" spans="1:30">
      <c r="A296" s="127" t="s">
        <v>1102</v>
      </c>
      <c r="B296" s="127" t="s">
        <v>1691</v>
      </c>
      <c r="C296" s="127" t="s">
        <v>1102</v>
      </c>
      <c r="D296" s="127" t="s">
        <v>1690</v>
      </c>
      <c r="E296" s="127" t="s">
        <v>1691</v>
      </c>
      <c r="M296" s="127" t="s">
        <v>1683</v>
      </c>
      <c r="N296" s="127" t="s">
        <v>1709</v>
      </c>
      <c r="O296" s="123">
        <v>44221</v>
      </c>
      <c r="P296" s="123">
        <v>44651</v>
      </c>
      <c r="Q296" s="123">
        <v>44550</v>
      </c>
      <c r="R296" s="123">
        <v>44556</v>
      </c>
      <c r="S296" s="124">
        <v>51</v>
      </c>
      <c r="T296" s="124">
        <v>51</v>
      </c>
      <c r="U296" s="124">
        <v>1</v>
      </c>
      <c r="V296" s="125">
        <v>0</v>
      </c>
      <c r="W296" s="124">
        <v>0</v>
      </c>
      <c r="X296" s="126">
        <v>0.2</v>
      </c>
      <c r="Y296" s="126">
        <v>0</v>
      </c>
      <c r="Z296" s="126">
        <v>0</v>
      </c>
      <c r="AC296" s="125">
        <v>0</v>
      </c>
      <c r="AD296" s="124">
        <v>0</v>
      </c>
    </row>
    <row r="297" spans="1:30">
      <c r="A297" s="127" t="s">
        <v>1102</v>
      </c>
      <c r="B297" s="127" t="s">
        <v>1691</v>
      </c>
      <c r="C297" s="127" t="s">
        <v>1102</v>
      </c>
      <c r="D297" s="127" t="s">
        <v>1690</v>
      </c>
      <c r="E297" s="127" t="s">
        <v>1691</v>
      </c>
      <c r="M297" s="127" t="s">
        <v>1683</v>
      </c>
      <c r="N297" s="127" t="s">
        <v>1709</v>
      </c>
      <c r="O297" s="123">
        <v>44221</v>
      </c>
      <c r="P297" s="123">
        <v>44651</v>
      </c>
      <c r="Q297" s="123">
        <v>44557</v>
      </c>
      <c r="R297" s="123">
        <v>44563</v>
      </c>
      <c r="S297" s="124">
        <v>52</v>
      </c>
      <c r="T297" s="124">
        <v>52</v>
      </c>
      <c r="U297" s="124">
        <v>1</v>
      </c>
      <c r="V297" s="125">
        <v>0</v>
      </c>
      <c r="W297" s="124">
        <v>0</v>
      </c>
      <c r="X297" s="126">
        <v>0.2</v>
      </c>
      <c r="Y297" s="126">
        <v>0</v>
      </c>
      <c r="Z297" s="126">
        <v>0</v>
      </c>
      <c r="AC297" s="125">
        <v>0</v>
      </c>
      <c r="AD297" s="124">
        <v>0</v>
      </c>
    </row>
    <row r="298" spans="1:30">
      <c r="A298" s="127" t="s">
        <v>1102</v>
      </c>
      <c r="B298" s="127" t="s">
        <v>1691</v>
      </c>
      <c r="C298" s="127" t="s">
        <v>1102</v>
      </c>
      <c r="D298" s="127" t="s">
        <v>1690</v>
      </c>
      <c r="E298" s="127" t="s">
        <v>1691</v>
      </c>
      <c r="M298" s="127" t="s">
        <v>1683</v>
      </c>
      <c r="N298" s="127" t="s">
        <v>1709</v>
      </c>
      <c r="O298" s="123">
        <v>44221</v>
      </c>
      <c r="P298" s="123">
        <v>44651</v>
      </c>
      <c r="Q298" s="123">
        <v>44564</v>
      </c>
      <c r="R298" s="123">
        <v>44570</v>
      </c>
      <c r="S298" s="124">
        <v>1</v>
      </c>
      <c r="T298" s="124">
        <v>53</v>
      </c>
      <c r="U298" s="124">
        <v>1</v>
      </c>
      <c r="V298" s="125">
        <v>0</v>
      </c>
      <c r="W298" s="124">
        <v>0</v>
      </c>
      <c r="X298" s="126">
        <v>0.2</v>
      </c>
      <c r="Y298" s="126">
        <v>0</v>
      </c>
      <c r="Z298" s="126">
        <v>0</v>
      </c>
      <c r="AC298" s="125">
        <v>0</v>
      </c>
      <c r="AD298" s="124">
        <v>0</v>
      </c>
    </row>
    <row r="299" spans="1:30">
      <c r="A299" s="127" t="s">
        <v>1102</v>
      </c>
      <c r="B299" s="127" t="s">
        <v>1691</v>
      </c>
      <c r="C299" s="127" t="s">
        <v>1102</v>
      </c>
      <c r="D299" s="127" t="s">
        <v>1690</v>
      </c>
      <c r="E299" s="127" t="s">
        <v>1691</v>
      </c>
      <c r="M299" s="127" t="s">
        <v>1683</v>
      </c>
      <c r="N299" s="127" t="s">
        <v>1709</v>
      </c>
      <c r="O299" s="123">
        <v>44221</v>
      </c>
      <c r="P299" s="123">
        <v>44651</v>
      </c>
      <c r="Q299" s="123">
        <v>44571</v>
      </c>
      <c r="R299" s="123">
        <v>44577</v>
      </c>
      <c r="S299" s="124">
        <v>2</v>
      </c>
      <c r="T299" s="124">
        <v>54</v>
      </c>
      <c r="U299" s="124">
        <v>1</v>
      </c>
      <c r="V299" s="125">
        <v>0</v>
      </c>
      <c r="W299" s="124">
        <v>0</v>
      </c>
      <c r="X299" s="126">
        <v>0.2</v>
      </c>
      <c r="Y299" s="126">
        <v>0</v>
      </c>
      <c r="Z299" s="126">
        <v>0</v>
      </c>
      <c r="AC299" s="125">
        <v>0</v>
      </c>
      <c r="AD299" s="124">
        <v>0</v>
      </c>
    </row>
    <row r="300" spans="1:30">
      <c r="A300" s="127" t="s">
        <v>1102</v>
      </c>
      <c r="B300" s="127" t="s">
        <v>1691</v>
      </c>
      <c r="C300" s="127" t="s">
        <v>1102</v>
      </c>
      <c r="D300" s="127" t="s">
        <v>1690</v>
      </c>
      <c r="E300" s="127" t="s">
        <v>1691</v>
      </c>
      <c r="M300" s="127" t="s">
        <v>1683</v>
      </c>
      <c r="N300" s="127" t="s">
        <v>1709</v>
      </c>
      <c r="O300" s="123">
        <v>44221</v>
      </c>
      <c r="P300" s="123">
        <v>44651</v>
      </c>
      <c r="Q300" s="123">
        <v>44578</v>
      </c>
      <c r="R300" s="123">
        <v>44584</v>
      </c>
      <c r="S300" s="124">
        <v>3</v>
      </c>
      <c r="T300" s="124">
        <v>55</v>
      </c>
      <c r="U300" s="124">
        <v>1</v>
      </c>
      <c r="V300" s="125">
        <v>0</v>
      </c>
      <c r="W300" s="124">
        <v>0</v>
      </c>
      <c r="X300" s="126">
        <v>0.2</v>
      </c>
      <c r="Y300" s="126">
        <v>0</v>
      </c>
      <c r="Z300" s="126">
        <v>0</v>
      </c>
      <c r="AC300" s="125">
        <v>0</v>
      </c>
      <c r="AD300" s="124">
        <v>0</v>
      </c>
    </row>
    <row r="301" spans="1:30">
      <c r="A301" s="127" t="s">
        <v>1102</v>
      </c>
      <c r="B301" s="127" t="s">
        <v>1691</v>
      </c>
      <c r="C301" s="127" t="s">
        <v>1102</v>
      </c>
      <c r="D301" s="127" t="s">
        <v>1690</v>
      </c>
      <c r="E301" s="127" t="s">
        <v>1691</v>
      </c>
      <c r="M301" s="127" t="s">
        <v>1683</v>
      </c>
      <c r="N301" s="127" t="s">
        <v>1709</v>
      </c>
      <c r="O301" s="123">
        <v>44221</v>
      </c>
      <c r="P301" s="123">
        <v>44651</v>
      </c>
      <c r="Q301" s="123">
        <v>44585</v>
      </c>
      <c r="R301" s="123">
        <v>44591</v>
      </c>
      <c r="S301" s="124">
        <v>4</v>
      </c>
      <c r="T301" s="124">
        <v>56</v>
      </c>
      <c r="U301" s="124">
        <v>1</v>
      </c>
      <c r="V301" s="125">
        <v>0</v>
      </c>
      <c r="W301" s="124">
        <v>0</v>
      </c>
      <c r="X301" s="126">
        <v>0.2</v>
      </c>
      <c r="Y301" s="126">
        <v>0</v>
      </c>
      <c r="Z301" s="126">
        <v>0</v>
      </c>
      <c r="AC301" s="125">
        <v>0</v>
      </c>
      <c r="AD301" s="124">
        <v>0</v>
      </c>
    </row>
    <row r="302" spans="1:30">
      <c r="A302" s="127" t="s">
        <v>1102</v>
      </c>
      <c r="B302" s="127" t="s">
        <v>1691</v>
      </c>
      <c r="C302" s="127" t="s">
        <v>1102</v>
      </c>
      <c r="D302" s="127" t="s">
        <v>1690</v>
      </c>
      <c r="E302" s="127" t="s">
        <v>1691</v>
      </c>
      <c r="M302" s="127" t="s">
        <v>1683</v>
      </c>
      <c r="N302" s="127" t="s">
        <v>1709</v>
      </c>
      <c r="O302" s="123">
        <v>44221</v>
      </c>
      <c r="P302" s="123">
        <v>44651</v>
      </c>
      <c r="Q302" s="123">
        <v>44592</v>
      </c>
      <c r="R302" s="123">
        <v>44598</v>
      </c>
      <c r="S302" s="124">
        <v>5</v>
      </c>
      <c r="T302" s="124">
        <v>57</v>
      </c>
      <c r="U302" s="124">
        <v>0.4</v>
      </c>
      <c r="V302" s="125">
        <v>0</v>
      </c>
      <c r="W302" s="124">
        <v>0</v>
      </c>
      <c r="X302" s="126">
        <v>0.2</v>
      </c>
      <c r="Y302" s="126">
        <v>0</v>
      </c>
      <c r="Z302" s="126">
        <v>0</v>
      </c>
      <c r="AC302" s="125">
        <v>0</v>
      </c>
      <c r="AD302" s="124">
        <v>0</v>
      </c>
    </row>
    <row r="303" spans="1:30">
      <c r="A303" s="127" t="s">
        <v>1102</v>
      </c>
      <c r="B303" s="127" t="s">
        <v>1691</v>
      </c>
      <c r="C303" s="127" t="s">
        <v>1102</v>
      </c>
      <c r="D303" s="127" t="s">
        <v>1690</v>
      </c>
      <c r="E303" s="127" t="s">
        <v>1691</v>
      </c>
      <c r="M303" s="127" t="s">
        <v>1683</v>
      </c>
      <c r="N303" s="127" t="s">
        <v>1709</v>
      </c>
      <c r="O303" s="123">
        <v>44221</v>
      </c>
      <c r="P303" s="123">
        <v>44651</v>
      </c>
      <c r="Q303" s="123">
        <v>44599</v>
      </c>
      <c r="R303" s="123">
        <v>44605</v>
      </c>
      <c r="S303" s="124">
        <v>6</v>
      </c>
      <c r="T303" s="124">
        <v>58</v>
      </c>
      <c r="U303" s="124">
        <v>1</v>
      </c>
      <c r="V303" s="125">
        <v>0</v>
      </c>
      <c r="W303" s="124">
        <v>0</v>
      </c>
      <c r="X303" s="126">
        <v>0.2</v>
      </c>
      <c r="Y303" s="126">
        <v>0</v>
      </c>
      <c r="Z303" s="126">
        <v>0</v>
      </c>
      <c r="AC303" s="125">
        <v>0</v>
      </c>
      <c r="AD303" s="124">
        <v>0</v>
      </c>
    </row>
    <row r="304" spans="1:30">
      <c r="A304" s="127" t="s">
        <v>1102</v>
      </c>
      <c r="B304" s="127" t="s">
        <v>1691</v>
      </c>
      <c r="C304" s="127" t="s">
        <v>1102</v>
      </c>
      <c r="D304" s="127" t="s">
        <v>1690</v>
      </c>
      <c r="E304" s="127" t="s">
        <v>1691</v>
      </c>
      <c r="M304" s="127" t="s">
        <v>1683</v>
      </c>
      <c r="N304" s="127" t="s">
        <v>1709</v>
      </c>
      <c r="O304" s="123">
        <v>44221</v>
      </c>
      <c r="P304" s="123">
        <v>44651</v>
      </c>
      <c r="Q304" s="123">
        <v>44606</v>
      </c>
      <c r="R304" s="123">
        <v>44612</v>
      </c>
      <c r="S304" s="124">
        <v>7</v>
      </c>
      <c r="T304" s="124">
        <v>59</v>
      </c>
      <c r="U304" s="124">
        <v>1</v>
      </c>
      <c r="V304" s="125">
        <v>0</v>
      </c>
      <c r="W304" s="124">
        <v>0</v>
      </c>
      <c r="X304" s="126">
        <v>0.2</v>
      </c>
      <c r="Y304" s="126">
        <v>0</v>
      </c>
      <c r="Z304" s="126">
        <v>0</v>
      </c>
      <c r="AC304" s="125">
        <v>0</v>
      </c>
      <c r="AD304" s="124">
        <v>0</v>
      </c>
    </row>
    <row r="305" spans="1:30">
      <c r="A305" s="127" t="s">
        <v>1102</v>
      </c>
      <c r="B305" s="127" t="s">
        <v>1691</v>
      </c>
      <c r="C305" s="127" t="s">
        <v>1102</v>
      </c>
      <c r="D305" s="127" t="s">
        <v>1690</v>
      </c>
      <c r="E305" s="127" t="s">
        <v>1691</v>
      </c>
      <c r="M305" s="127" t="s">
        <v>1683</v>
      </c>
      <c r="N305" s="127" t="s">
        <v>1709</v>
      </c>
      <c r="O305" s="123">
        <v>44221</v>
      </c>
      <c r="P305" s="123">
        <v>44651</v>
      </c>
      <c r="Q305" s="123">
        <v>44613</v>
      </c>
      <c r="R305" s="123">
        <v>44619</v>
      </c>
      <c r="S305" s="124">
        <v>8</v>
      </c>
      <c r="T305" s="124">
        <v>60</v>
      </c>
      <c r="U305" s="124">
        <v>1</v>
      </c>
      <c r="V305" s="125">
        <v>0</v>
      </c>
      <c r="W305" s="124">
        <v>0</v>
      </c>
      <c r="X305" s="126">
        <v>0.2</v>
      </c>
      <c r="Y305" s="126">
        <v>0</v>
      </c>
      <c r="Z305" s="126">
        <v>0</v>
      </c>
      <c r="AC305" s="125">
        <v>0</v>
      </c>
      <c r="AD305" s="124">
        <v>0</v>
      </c>
    </row>
    <row r="306" spans="1:30">
      <c r="A306" s="127" t="s">
        <v>1102</v>
      </c>
      <c r="B306" s="127" t="s">
        <v>1691</v>
      </c>
      <c r="C306" s="127" t="s">
        <v>1102</v>
      </c>
      <c r="D306" s="127" t="s">
        <v>1690</v>
      </c>
      <c r="E306" s="127" t="s">
        <v>1691</v>
      </c>
      <c r="M306" s="127" t="s">
        <v>1683</v>
      </c>
      <c r="N306" s="127" t="s">
        <v>1709</v>
      </c>
      <c r="O306" s="123">
        <v>44221</v>
      </c>
      <c r="P306" s="123">
        <v>44651</v>
      </c>
      <c r="Q306" s="123">
        <v>44620</v>
      </c>
      <c r="R306" s="123">
        <v>44626</v>
      </c>
      <c r="S306" s="124">
        <v>9</v>
      </c>
      <c r="T306" s="124">
        <v>61</v>
      </c>
      <c r="U306" s="124">
        <v>0.8</v>
      </c>
      <c r="V306" s="125">
        <v>0</v>
      </c>
      <c r="W306" s="124">
        <v>0</v>
      </c>
      <c r="X306" s="126">
        <v>0.2</v>
      </c>
      <c r="Y306" s="126">
        <v>0</v>
      </c>
      <c r="Z306" s="126">
        <v>0</v>
      </c>
      <c r="AC306" s="125">
        <v>0</v>
      </c>
      <c r="AD306" s="124">
        <v>0</v>
      </c>
    </row>
    <row r="307" spans="1:30">
      <c r="A307" s="127" t="s">
        <v>1102</v>
      </c>
      <c r="B307" s="127" t="s">
        <v>1691</v>
      </c>
      <c r="C307" s="127" t="s">
        <v>1102</v>
      </c>
      <c r="D307" s="127" t="s">
        <v>1690</v>
      </c>
      <c r="E307" s="127" t="s">
        <v>1691</v>
      </c>
      <c r="M307" s="127" t="s">
        <v>1683</v>
      </c>
      <c r="N307" s="127" t="s">
        <v>1709</v>
      </c>
      <c r="O307" s="123">
        <v>44221</v>
      </c>
      <c r="P307" s="123">
        <v>44651</v>
      </c>
      <c r="Q307" s="123">
        <v>44627</v>
      </c>
      <c r="R307" s="123">
        <v>44633</v>
      </c>
      <c r="S307" s="124">
        <v>10</v>
      </c>
      <c r="T307" s="124">
        <v>62</v>
      </c>
      <c r="U307" s="124">
        <v>1</v>
      </c>
      <c r="V307" s="125">
        <v>0</v>
      </c>
      <c r="W307" s="124">
        <v>0</v>
      </c>
      <c r="X307" s="126">
        <v>0.2</v>
      </c>
      <c r="Y307" s="126">
        <v>0</v>
      </c>
      <c r="Z307" s="126">
        <v>0</v>
      </c>
      <c r="AC307" s="125">
        <v>0</v>
      </c>
      <c r="AD307" s="124">
        <v>0</v>
      </c>
    </row>
    <row r="308" spans="1:30">
      <c r="A308" s="127" t="s">
        <v>1102</v>
      </c>
      <c r="B308" s="127" t="s">
        <v>1691</v>
      </c>
      <c r="C308" s="127" t="s">
        <v>1102</v>
      </c>
      <c r="D308" s="127" t="s">
        <v>1690</v>
      </c>
      <c r="E308" s="127" t="s">
        <v>1691</v>
      </c>
      <c r="M308" s="127" t="s">
        <v>1683</v>
      </c>
      <c r="N308" s="127" t="s">
        <v>1709</v>
      </c>
      <c r="O308" s="123">
        <v>44221</v>
      </c>
      <c r="P308" s="123">
        <v>44651</v>
      </c>
      <c r="Q308" s="123">
        <v>44634</v>
      </c>
      <c r="R308" s="123">
        <v>44640</v>
      </c>
      <c r="S308" s="124">
        <v>11</v>
      </c>
      <c r="T308" s="124">
        <v>63</v>
      </c>
      <c r="U308" s="124">
        <v>1</v>
      </c>
      <c r="V308" s="125">
        <v>0</v>
      </c>
      <c r="W308" s="124">
        <v>0</v>
      </c>
      <c r="X308" s="126">
        <v>0.2</v>
      </c>
      <c r="Y308" s="126">
        <v>0</v>
      </c>
      <c r="Z308" s="126">
        <v>0</v>
      </c>
      <c r="AC308" s="125">
        <v>0</v>
      </c>
      <c r="AD308" s="124">
        <v>0</v>
      </c>
    </row>
    <row r="309" spans="1:30">
      <c r="A309" s="127" t="s">
        <v>1102</v>
      </c>
      <c r="B309" s="127" t="s">
        <v>1691</v>
      </c>
      <c r="C309" s="127" t="s">
        <v>1102</v>
      </c>
      <c r="D309" s="127" t="s">
        <v>1690</v>
      </c>
      <c r="E309" s="127" t="s">
        <v>1691</v>
      </c>
      <c r="M309" s="127" t="s">
        <v>1683</v>
      </c>
      <c r="N309" s="127" t="s">
        <v>1709</v>
      </c>
      <c r="O309" s="123">
        <v>44221</v>
      </c>
      <c r="P309" s="123">
        <v>44651</v>
      </c>
      <c r="Q309" s="123">
        <v>44641</v>
      </c>
      <c r="R309" s="123">
        <v>44647</v>
      </c>
      <c r="S309" s="124">
        <v>12</v>
      </c>
      <c r="T309" s="124">
        <v>64</v>
      </c>
      <c r="U309" s="124">
        <v>1</v>
      </c>
      <c r="V309" s="125">
        <v>0</v>
      </c>
      <c r="W309" s="124">
        <v>0</v>
      </c>
      <c r="X309" s="126">
        <v>0.2</v>
      </c>
      <c r="Y309" s="126">
        <v>0</v>
      </c>
      <c r="Z309" s="126">
        <v>0</v>
      </c>
      <c r="AC309" s="125">
        <v>0</v>
      </c>
      <c r="AD309" s="124">
        <v>0</v>
      </c>
    </row>
    <row r="310" spans="1:30">
      <c r="A310" s="127" t="s">
        <v>1102</v>
      </c>
      <c r="B310" s="127" t="s">
        <v>1691</v>
      </c>
      <c r="C310" s="127" t="s">
        <v>1102</v>
      </c>
      <c r="D310" s="127" t="s">
        <v>1690</v>
      </c>
      <c r="E310" s="127" t="s">
        <v>1691</v>
      </c>
      <c r="M310" s="127" t="s">
        <v>1683</v>
      </c>
      <c r="N310" s="127" t="s">
        <v>1709</v>
      </c>
      <c r="O310" s="123">
        <v>44221</v>
      </c>
      <c r="P310" s="123">
        <v>44651</v>
      </c>
      <c r="Q310" s="123">
        <v>44648</v>
      </c>
      <c r="R310" s="123">
        <v>44654</v>
      </c>
      <c r="S310" s="124">
        <v>13</v>
      </c>
      <c r="T310" s="124">
        <v>65</v>
      </c>
      <c r="U310" s="124">
        <v>0.8</v>
      </c>
      <c r="V310" s="125">
        <v>0</v>
      </c>
      <c r="W310" s="124">
        <v>0</v>
      </c>
      <c r="X310" s="126">
        <v>0.2</v>
      </c>
      <c r="Y310" s="126">
        <v>0</v>
      </c>
      <c r="Z310" s="126">
        <v>0</v>
      </c>
      <c r="AC310" s="125">
        <v>0</v>
      </c>
      <c r="AD310" s="124">
        <v>0</v>
      </c>
    </row>
    <row r="311" spans="1:30">
      <c r="A311" s="127" t="s">
        <v>1102</v>
      </c>
      <c r="B311" s="127" t="s">
        <v>1692</v>
      </c>
      <c r="C311" s="127" t="s">
        <v>1102</v>
      </c>
      <c r="D311" s="127" t="s">
        <v>1690</v>
      </c>
      <c r="E311" s="127" t="s">
        <v>1692</v>
      </c>
      <c r="M311" s="127" t="s">
        <v>1253</v>
      </c>
      <c r="N311" s="127" t="s">
        <v>1406</v>
      </c>
      <c r="O311" s="123">
        <v>44378</v>
      </c>
      <c r="P311" s="123">
        <v>44530</v>
      </c>
      <c r="Q311" s="123">
        <v>44375</v>
      </c>
      <c r="R311" s="123">
        <v>44381</v>
      </c>
      <c r="S311" s="124">
        <v>26</v>
      </c>
      <c r="T311" s="124">
        <v>26</v>
      </c>
      <c r="U311" s="124">
        <v>2</v>
      </c>
      <c r="V311" s="125">
        <v>0</v>
      </c>
      <c r="W311" s="124">
        <v>0</v>
      </c>
      <c r="X311" s="126">
        <v>1</v>
      </c>
      <c r="Y311" s="126">
        <v>0</v>
      </c>
      <c r="Z311" s="126">
        <v>0</v>
      </c>
      <c r="AC311" s="125">
        <v>0</v>
      </c>
      <c r="AD311" s="124">
        <v>0</v>
      </c>
    </row>
    <row r="312" spans="1:30">
      <c r="A312" s="127" t="s">
        <v>1102</v>
      </c>
      <c r="B312" s="127" t="s">
        <v>1692</v>
      </c>
      <c r="C312" s="127" t="s">
        <v>1102</v>
      </c>
      <c r="D312" s="127" t="s">
        <v>1690</v>
      </c>
      <c r="E312" s="127" t="s">
        <v>1692</v>
      </c>
      <c r="M312" s="127" t="s">
        <v>1253</v>
      </c>
      <c r="N312" s="127" t="s">
        <v>1406</v>
      </c>
      <c r="O312" s="123">
        <v>44378</v>
      </c>
      <c r="P312" s="123">
        <v>44530</v>
      </c>
      <c r="Q312" s="123">
        <v>44382</v>
      </c>
      <c r="R312" s="123">
        <v>44388</v>
      </c>
      <c r="S312" s="124">
        <v>27</v>
      </c>
      <c r="T312" s="124">
        <v>27</v>
      </c>
      <c r="U312" s="124">
        <v>5</v>
      </c>
      <c r="V312" s="125">
        <v>0</v>
      </c>
      <c r="W312" s="124">
        <v>0</v>
      </c>
      <c r="X312" s="126">
        <v>1</v>
      </c>
      <c r="Y312" s="126">
        <v>0</v>
      </c>
      <c r="Z312" s="126">
        <v>0</v>
      </c>
      <c r="AC312" s="125">
        <v>0</v>
      </c>
      <c r="AD312" s="124">
        <v>0</v>
      </c>
    </row>
    <row r="313" spans="1:30">
      <c r="A313" s="127" t="s">
        <v>1102</v>
      </c>
      <c r="B313" s="127" t="s">
        <v>1692</v>
      </c>
      <c r="C313" s="127" t="s">
        <v>1102</v>
      </c>
      <c r="D313" s="127" t="s">
        <v>1690</v>
      </c>
      <c r="E313" s="127" t="s">
        <v>1692</v>
      </c>
      <c r="M313" s="127" t="s">
        <v>1253</v>
      </c>
      <c r="N313" s="127" t="s">
        <v>1406</v>
      </c>
      <c r="O313" s="123">
        <v>44378</v>
      </c>
      <c r="P313" s="123">
        <v>44530</v>
      </c>
      <c r="Q313" s="123">
        <v>44389</v>
      </c>
      <c r="R313" s="123">
        <v>44395</v>
      </c>
      <c r="S313" s="124">
        <v>28</v>
      </c>
      <c r="T313" s="124">
        <v>28</v>
      </c>
      <c r="U313" s="124">
        <v>5</v>
      </c>
      <c r="V313" s="125">
        <v>0</v>
      </c>
      <c r="W313" s="124">
        <v>0</v>
      </c>
      <c r="X313" s="126">
        <v>1</v>
      </c>
      <c r="Y313" s="126">
        <v>0</v>
      </c>
      <c r="Z313" s="126">
        <v>0</v>
      </c>
      <c r="AC313" s="125">
        <v>0</v>
      </c>
      <c r="AD313" s="124">
        <v>0</v>
      </c>
    </row>
    <row r="314" spans="1:30">
      <c r="A314" s="127" t="s">
        <v>1102</v>
      </c>
      <c r="B314" s="127" t="s">
        <v>1692</v>
      </c>
      <c r="C314" s="127" t="s">
        <v>1102</v>
      </c>
      <c r="D314" s="127" t="s">
        <v>1690</v>
      </c>
      <c r="E314" s="127" t="s">
        <v>1692</v>
      </c>
      <c r="M314" s="127" t="s">
        <v>1253</v>
      </c>
      <c r="N314" s="127" t="s">
        <v>1406</v>
      </c>
      <c r="O314" s="123">
        <v>44378</v>
      </c>
      <c r="P314" s="123">
        <v>44530</v>
      </c>
      <c r="Q314" s="123">
        <v>44396</v>
      </c>
      <c r="R314" s="123">
        <v>44402</v>
      </c>
      <c r="S314" s="124">
        <v>29</v>
      </c>
      <c r="T314" s="124">
        <v>29</v>
      </c>
      <c r="U314" s="124">
        <v>5</v>
      </c>
      <c r="V314" s="125">
        <v>0</v>
      </c>
      <c r="W314" s="124">
        <v>0</v>
      </c>
      <c r="X314" s="126">
        <v>1</v>
      </c>
      <c r="Y314" s="126">
        <v>0</v>
      </c>
      <c r="Z314" s="126">
        <v>0</v>
      </c>
      <c r="AC314" s="125">
        <v>0</v>
      </c>
      <c r="AD314" s="124">
        <v>0</v>
      </c>
    </row>
    <row r="315" spans="1:30">
      <c r="A315" s="127" t="s">
        <v>1102</v>
      </c>
      <c r="B315" s="127" t="s">
        <v>1692</v>
      </c>
      <c r="C315" s="127" t="s">
        <v>1102</v>
      </c>
      <c r="D315" s="127" t="s">
        <v>1690</v>
      </c>
      <c r="E315" s="127" t="s">
        <v>1692</v>
      </c>
      <c r="M315" s="127" t="s">
        <v>1253</v>
      </c>
      <c r="N315" s="127" t="s">
        <v>1406</v>
      </c>
      <c r="O315" s="123">
        <v>44378</v>
      </c>
      <c r="P315" s="123">
        <v>44530</v>
      </c>
      <c r="Q315" s="123">
        <v>44403</v>
      </c>
      <c r="R315" s="123">
        <v>44409</v>
      </c>
      <c r="S315" s="124">
        <v>30</v>
      </c>
      <c r="T315" s="124">
        <v>30</v>
      </c>
      <c r="U315" s="124">
        <v>5</v>
      </c>
      <c r="V315" s="125">
        <v>0</v>
      </c>
      <c r="W315" s="124">
        <v>0</v>
      </c>
      <c r="X315" s="126">
        <v>1</v>
      </c>
      <c r="Y315" s="126">
        <v>0</v>
      </c>
      <c r="Z315" s="126">
        <v>0</v>
      </c>
      <c r="AC315" s="125">
        <v>0</v>
      </c>
      <c r="AD315" s="124">
        <v>0</v>
      </c>
    </row>
    <row r="316" spans="1:30">
      <c r="A316" s="127" t="s">
        <v>1102</v>
      </c>
      <c r="B316" s="127" t="s">
        <v>1692</v>
      </c>
      <c r="C316" s="127" t="s">
        <v>1102</v>
      </c>
      <c r="D316" s="127" t="s">
        <v>1690</v>
      </c>
      <c r="E316" s="127" t="s">
        <v>1692</v>
      </c>
      <c r="M316" s="127" t="s">
        <v>1253</v>
      </c>
      <c r="N316" s="127" t="s">
        <v>1406</v>
      </c>
      <c r="O316" s="123">
        <v>44378</v>
      </c>
      <c r="P316" s="123">
        <v>44530</v>
      </c>
      <c r="Q316" s="123">
        <v>44410</v>
      </c>
      <c r="R316" s="123">
        <v>44416</v>
      </c>
      <c r="S316" s="124">
        <v>31</v>
      </c>
      <c r="T316" s="124">
        <v>31</v>
      </c>
      <c r="U316" s="124">
        <v>5</v>
      </c>
      <c r="V316" s="125">
        <v>0</v>
      </c>
      <c r="W316" s="124">
        <v>0</v>
      </c>
      <c r="X316" s="126">
        <v>1</v>
      </c>
      <c r="Y316" s="126">
        <v>0</v>
      </c>
      <c r="Z316" s="126">
        <v>0</v>
      </c>
      <c r="AC316" s="125">
        <v>0</v>
      </c>
      <c r="AD316" s="124">
        <v>0</v>
      </c>
    </row>
    <row r="317" spans="1:30">
      <c r="A317" s="127" t="s">
        <v>1102</v>
      </c>
      <c r="B317" s="127" t="s">
        <v>1692</v>
      </c>
      <c r="C317" s="127" t="s">
        <v>1102</v>
      </c>
      <c r="D317" s="127" t="s">
        <v>1690</v>
      </c>
      <c r="E317" s="127" t="s">
        <v>1692</v>
      </c>
      <c r="M317" s="127" t="s">
        <v>1253</v>
      </c>
      <c r="N317" s="127" t="s">
        <v>1406</v>
      </c>
      <c r="O317" s="123">
        <v>44378</v>
      </c>
      <c r="P317" s="123">
        <v>44530</v>
      </c>
      <c r="Q317" s="123">
        <v>44417</v>
      </c>
      <c r="R317" s="123">
        <v>44423</v>
      </c>
      <c r="S317" s="124">
        <v>32</v>
      </c>
      <c r="T317" s="124">
        <v>32</v>
      </c>
      <c r="U317" s="124">
        <v>5</v>
      </c>
      <c r="V317" s="125">
        <v>0</v>
      </c>
      <c r="W317" s="124">
        <v>0</v>
      </c>
      <c r="X317" s="126">
        <v>1</v>
      </c>
      <c r="Y317" s="126">
        <v>0</v>
      </c>
      <c r="Z317" s="126">
        <v>0</v>
      </c>
      <c r="AC317" s="125">
        <v>0</v>
      </c>
      <c r="AD317" s="124">
        <v>0</v>
      </c>
    </row>
    <row r="318" spans="1:30">
      <c r="A318" s="127" t="s">
        <v>1102</v>
      </c>
      <c r="B318" s="127" t="s">
        <v>1692</v>
      </c>
      <c r="C318" s="127" t="s">
        <v>1102</v>
      </c>
      <c r="D318" s="127" t="s">
        <v>1690</v>
      </c>
      <c r="E318" s="127" t="s">
        <v>1692</v>
      </c>
      <c r="M318" s="127" t="s">
        <v>1253</v>
      </c>
      <c r="N318" s="127" t="s">
        <v>1406</v>
      </c>
      <c r="O318" s="123">
        <v>44378</v>
      </c>
      <c r="P318" s="123">
        <v>44530</v>
      </c>
      <c r="Q318" s="123">
        <v>44424</v>
      </c>
      <c r="R318" s="123">
        <v>44430</v>
      </c>
      <c r="S318" s="124">
        <v>33</v>
      </c>
      <c r="T318" s="124">
        <v>33</v>
      </c>
      <c r="U318" s="124">
        <v>5</v>
      </c>
      <c r="V318" s="125">
        <v>0</v>
      </c>
      <c r="W318" s="124">
        <v>0</v>
      </c>
      <c r="X318" s="126">
        <v>1</v>
      </c>
      <c r="Y318" s="126">
        <v>0</v>
      </c>
      <c r="Z318" s="126">
        <v>0</v>
      </c>
      <c r="AC318" s="125">
        <v>0</v>
      </c>
      <c r="AD318" s="124">
        <v>0</v>
      </c>
    </row>
    <row r="319" spans="1:30">
      <c r="A319" s="127" t="s">
        <v>1102</v>
      </c>
      <c r="B319" s="127" t="s">
        <v>1692</v>
      </c>
      <c r="C319" s="127" t="s">
        <v>1102</v>
      </c>
      <c r="D319" s="127" t="s">
        <v>1690</v>
      </c>
      <c r="E319" s="127" t="s">
        <v>1692</v>
      </c>
      <c r="M319" s="127" t="s">
        <v>1253</v>
      </c>
      <c r="N319" s="127" t="s">
        <v>1406</v>
      </c>
      <c r="O319" s="123">
        <v>44378</v>
      </c>
      <c r="P319" s="123">
        <v>44530</v>
      </c>
      <c r="Q319" s="123">
        <v>44431</v>
      </c>
      <c r="R319" s="123">
        <v>44437</v>
      </c>
      <c r="S319" s="124">
        <v>34</v>
      </c>
      <c r="T319" s="124">
        <v>34</v>
      </c>
      <c r="U319" s="124">
        <v>5</v>
      </c>
      <c r="V319" s="125">
        <v>0</v>
      </c>
      <c r="W319" s="124">
        <v>0</v>
      </c>
      <c r="X319" s="126">
        <v>1</v>
      </c>
      <c r="Y319" s="126">
        <v>0</v>
      </c>
      <c r="Z319" s="126">
        <v>0</v>
      </c>
      <c r="AC319" s="125">
        <v>0</v>
      </c>
      <c r="AD319" s="124">
        <v>0</v>
      </c>
    </row>
    <row r="320" spans="1:30">
      <c r="A320" s="127" t="s">
        <v>1102</v>
      </c>
      <c r="B320" s="127" t="s">
        <v>1692</v>
      </c>
      <c r="C320" s="127" t="s">
        <v>1102</v>
      </c>
      <c r="D320" s="127" t="s">
        <v>1690</v>
      </c>
      <c r="E320" s="127" t="s">
        <v>1692</v>
      </c>
      <c r="M320" s="127" t="s">
        <v>1253</v>
      </c>
      <c r="N320" s="127" t="s">
        <v>1406</v>
      </c>
      <c r="O320" s="123">
        <v>44378</v>
      </c>
      <c r="P320" s="123">
        <v>44530</v>
      </c>
      <c r="Q320" s="123">
        <v>44438</v>
      </c>
      <c r="R320" s="123">
        <v>44444</v>
      </c>
      <c r="S320" s="124">
        <v>35</v>
      </c>
      <c r="T320" s="124">
        <v>35</v>
      </c>
      <c r="U320" s="124">
        <v>5</v>
      </c>
      <c r="V320" s="125">
        <v>0</v>
      </c>
      <c r="W320" s="124">
        <v>0</v>
      </c>
      <c r="X320" s="126">
        <v>1</v>
      </c>
      <c r="Y320" s="126">
        <v>0</v>
      </c>
      <c r="Z320" s="126">
        <v>0</v>
      </c>
      <c r="AC320" s="125">
        <v>0</v>
      </c>
      <c r="AD320" s="124">
        <v>0</v>
      </c>
    </row>
    <row r="321" spans="1:30">
      <c r="A321" s="127" t="s">
        <v>1102</v>
      </c>
      <c r="B321" s="127" t="s">
        <v>1692</v>
      </c>
      <c r="C321" s="127" t="s">
        <v>1102</v>
      </c>
      <c r="D321" s="127" t="s">
        <v>1690</v>
      </c>
      <c r="E321" s="127" t="s">
        <v>1692</v>
      </c>
      <c r="M321" s="127" t="s">
        <v>1253</v>
      </c>
      <c r="N321" s="127" t="s">
        <v>1406</v>
      </c>
      <c r="O321" s="123">
        <v>44378</v>
      </c>
      <c r="P321" s="123">
        <v>44530</v>
      </c>
      <c r="Q321" s="123">
        <v>44445</v>
      </c>
      <c r="R321" s="123">
        <v>44451</v>
      </c>
      <c r="S321" s="124">
        <v>36</v>
      </c>
      <c r="T321" s="124">
        <v>36</v>
      </c>
      <c r="U321" s="124">
        <v>5</v>
      </c>
      <c r="V321" s="125">
        <v>0</v>
      </c>
      <c r="W321" s="124">
        <v>0</v>
      </c>
      <c r="X321" s="126">
        <v>1</v>
      </c>
      <c r="Y321" s="126">
        <v>0</v>
      </c>
      <c r="Z321" s="126">
        <v>0</v>
      </c>
      <c r="AC321" s="125">
        <v>0</v>
      </c>
      <c r="AD321" s="124">
        <v>0</v>
      </c>
    </row>
    <row r="322" spans="1:30">
      <c r="A322" s="127" t="s">
        <v>1102</v>
      </c>
      <c r="B322" s="127" t="s">
        <v>1692</v>
      </c>
      <c r="C322" s="127" t="s">
        <v>1102</v>
      </c>
      <c r="D322" s="127" t="s">
        <v>1690</v>
      </c>
      <c r="E322" s="127" t="s">
        <v>1692</v>
      </c>
      <c r="M322" s="127" t="s">
        <v>1253</v>
      </c>
      <c r="N322" s="127" t="s">
        <v>1406</v>
      </c>
      <c r="O322" s="123">
        <v>44378</v>
      </c>
      <c r="P322" s="123">
        <v>44530</v>
      </c>
      <c r="Q322" s="123">
        <v>44452</v>
      </c>
      <c r="R322" s="123">
        <v>44458</v>
      </c>
      <c r="S322" s="124">
        <v>37</v>
      </c>
      <c r="T322" s="124">
        <v>37</v>
      </c>
      <c r="U322" s="124">
        <v>5</v>
      </c>
      <c r="V322" s="125">
        <v>0</v>
      </c>
      <c r="W322" s="124">
        <v>0</v>
      </c>
      <c r="X322" s="126">
        <v>1</v>
      </c>
      <c r="Y322" s="126">
        <v>0</v>
      </c>
      <c r="Z322" s="126">
        <v>0</v>
      </c>
      <c r="AC322" s="125">
        <v>0</v>
      </c>
      <c r="AD322" s="124">
        <v>0</v>
      </c>
    </row>
    <row r="323" spans="1:30">
      <c r="A323" s="127" t="s">
        <v>1102</v>
      </c>
      <c r="B323" s="127" t="s">
        <v>1692</v>
      </c>
      <c r="C323" s="127" t="s">
        <v>1102</v>
      </c>
      <c r="D323" s="127" t="s">
        <v>1690</v>
      </c>
      <c r="E323" s="127" t="s">
        <v>1692</v>
      </c>
      <c r="M323" s="127" t="s">
        <v>1253</v>
      </c>
      <c r="N323" s="127" t="s">
        <v>1406</v>
      </c>
      <c r="O323" s="123">
        <v>44378</v>
      </c>
      <c r="P323" s="123">
        <v>44530</v>
      </c>
      <c r="Q323" s="123">
        <v>44459</v>
      </c>
      <c r="R323" s="123">
        <v>44465</v>
      </c>
      <c r="S323" s="124">
        <v>38</v>
      </c>
      <c r="T323" s="124">
        <v>38</v>
      </c>
      <c r="U323" s="124">
        <v>2</v>
      </c>
      <c r="V323" s="125">
        <v>0</v>
      </c>
      <c r="W323" s="124">
        <v>0</v>
      </c>
      <c r="X323" s="126">
        <v>1</v>
      </c>
      <c r="Y323" s="126">
        <v>0</v>
      </c>
      <c r="Z323" s="126">
        <v>0</v>
      </c>
      <c r="AC323" s="125">
        <v>0</v>
      </c>
      <c r="AD323" s="124">
        <v>0</v>
      </c>
    </row>
    <row r="324" spans="1:30">
      <c r="A324" s="127" t="s">
        <v>1102</v>
      </c>
      <c r="B324" s="127" t="s">
        <v>1692</v>
      </c>
      <c r="C324" s="127" t="s">
        <v>1102</v>
      </c>
      <c r="D324" s="127" t="s">
        <v>1690</v>
      </c>
      <c r="E324" s="127" t="s">
        <v>1692</v>
      </c>
      <c r="M324" s="127" t="s">
        <v>1253</v>
      </c>
      <c r="N324" s="127" t="s">
        <v>1406</v>
      </c>
      <c r="O324" s="123">
        <v>44378</v>
      </c>
      <c r="P324" s="123">
        <v>44530</v>
      </c>
      <c r="Q324" s="123">
        <v>44466</v>
      </c>
      <c r="R324" s="123">
        <v>44472</v>
      </c>
      <c r="S324" s="124">
        <v>39</v>
      </c>
      <c r="T324" s="124">
        <v>39</v>
      </c>
      <c r="U324" s="124">
        <v>5</v>
      </c>
      <c r="V324" s="125">
        <v>0</v>
      </c>
      <c r="W324" s="124">
        <v>0</v>
      </c>
      <c r="X324" s="126">
        <v>1</v>
      </c>
      <c r="Y324" s="126">
        <v>0</v>
      </c>
      <c r="Z324" s="126">
        <v>0</v>
      </c>
      <c r="AC324" s="125">
        <v>0</v>
      </c>
      <c r="AD324" s="124">
        <v>0</v>
      </c>
    </row>
    <row r="325" spans="1:30">
      <c r="A325" s="127" t="s">
        <v>1102</v>
      </c>
      <c r="B325" s="127" t="s">
        <v>1692</v>
      </c>
      <c r="C325" s="127" t="s">
        <v>1102</v>
      </c>
      <c r="D325" s="127" t="s">
        <v>1690</v>
      </c>
      <c r="E325" s="127" t="s">
        <v>1692</v>
      </c>
      <c r="M325" s="127" t="s">
        <v>1253</v>
      </c>
      <c r="N325" s="127" t="s">
        <v>1406</v>
      </c>
      <c r="O325" s="123">
        <v>44378</v>
      </c>
      <c r="P325" s="123">
        <v>44530</v>
      </c>
      <c r="Q325" s="123">
        <v>44473</v>
      </c>
      <c r="R325" s="123">
        <v>44479</v>
      </c>
      <c r="S325" s="124">
        <v>40</v>
      </c>
      <c r="T325" s="124">
        <v>40</v>
      </c>
      <c r="U325" s="124">
        <v>5</v>
      </c>
      <c r="V325" s="125">
        <v>0</v>
      </c>
      <c r="W325" s="124">
        <v>0</v>
      </c>
      <c r="X325" s="126">
        <v>1</v>
      </c>
      <c r="Y325" s="126">
        <v>0</v>
      </c>
      <c r="Z325" s="126">
        <v>0</v>
      </c>
      <c r="AC325" s="125">
        <v>0</v>
      </c>
      <c r="AD325" s="124">
        <v>0</v>
      </c>
    </row>
    <row r="326" spans="1:30">
      <c r="A326" s="127" t="s">
        <v>1102</v>
      </c>
      <c r="B326" s="127" t="s">
        <v>1692</v>
      </c>
      <c r="C326" s="127" t="s">
        <v>1102</v>
      </c>
      <c r="D326" s="127" t="s">
        <v>1690</v>
      </c>
      <c r="E326" s="127" t="s">
        <v>1692</v>
      </c>
      <c r="M326" s="127" t="s">
        <v>1253</v>
      </c>
      <c r="N326" s="127" t="s">
        <v>1406</v>
      </c>
      <c r="O326" s="123">
        <v>44378</v>
      </c>
      <c r="P326" s="123">
        <v>44530</v>
      </c>
      <c r="Q326" s="123">
        <v>44480</v>
      </c>
      <c r="R326" s="123">
        <v>44486</v>
      </c>
      <c r="S326" s="124">
        <v>41</v>
      </c>
      <c r="T326" s="124">
        <v>41</v>
      </c>
      <c r="U326" s="124">
        <v>5</v>
      </c>
      <c r="V326" s="125">
        <v>0</v>
      </c>
      <c r="W326" s="124">
        <v>0</v>
      </c>
      <c r="X326" s="126">
        <v>1</v>
      </c>
      <c r="Y326" s="126">
        <v>0</v>
      </c>
      <c r="Z326" s="126">
        <v>0</v>
      </c>
      <c r="AC326" s="125">
        <v>0</v>
      </c>
      <c r="AD326" s="124">
        <v>0</v>
      </c>
    </row>
    <row r="327" spans="1:30">
      <c r="A327" s="127" t="s">
        <v>1102</v>
      </c>
      <c r="B327" s="127" t="s">
        <v>1692</v>
      </c>
      <c r="C327" s="127" t="s">
        <v>1102</v>
      </c>
      <c r="D327" s="127" t="s">
        <v>1690</v>
      </c>
      <c r="E327" s="127" t="s">
        <v>1692</v>
      </c>
      <c r="M327" s="127" t="s">
        <v>1253</v>
      </c>
      <c r="N327" s="127" t="s">
        <v>1406</v>
      </c>
      <c r="O327" s="123">
        <v>44378</v>
      </c>
      <c r="P327" s="123">
        <v>44530</v>
      </c>
      <c r="Q327" s="123">
        <v>44487</v>
      </c>
      <c r="R327" s="123">
        <v>44493</v>
      </c>
      <c r="S327" s="124">
        <v>42</v>
      </c>
      <c r="T327" s="124">
        <v>42</v>
      </c>
      <c r="U327" s="124">
        <v>5</v>
      </c>
      <c r="V327" s="125">
        <v>0</v>
      </c>
      <c r="W327" s="124">
        <v>0</v>
      </c>
      <c r="X327" s="126">
        <v>1</v>
      </c>
      <c r="Y327" s="126">
        <v>0</v>
      </c>
      <c r="Z327" s="126">
        <v>0</v>
      </c>
      <c r="AC327" s="125">
        <v>0</v>
      </c>
      <c r="AD327" s="124">
        <v>0</v>
      </c>
    </row>
    <row r="328" spans="1:30">
      <c r="A328" s="127" t="s">
        <v>1102</v>
      </c>
      <c r="B328" s="127" t="s">
        <v>1692</v>
      </c>
      <c r="C328" s="127" t="s">
        <v>1102</v>
      </c>
      <c r="D328" s="127" t="s">
        <v>1690</v>
      </c>
      <c r="E328" s="127" t="s">
        <v>1692</v>
      </c>
      <c r="M328" s="127" t="s">
        <v>1253</v>
      </c>
      <c r="N328" s="127" t="s">
        <v>1406</v>
      </c>
      <c r="O328" s="123">
        <v>44378</v>
      </c>
      <c r="P328" s="123">
        <v>44530</v>
      </c>
      <c r="Q328" s="123">
        <v>44494</v>
      </c>
      <c r="R328" s="123">
        <v>44500</v>
      </c>
      <c r="S328" s="124">
        <v>43</v>
      </c>
      <c r="T328" s="124">
        <v>43</v>
      </c>
      <c r="U328" s="124">
        <v>5</v>
      </c>
      <c r="V328" s="125">
        <v>0</v>
      </c>
      <c r="W328" s="124">
        <v>0</v>
      </c>
      <c r="X328" s="126">
        <v>1</v>
      </c>
      <c r="Y328" s="126">
        <v>0</v>
      </c>
      <c r="Z328" s="126">
        <v>0</v>
      </c>
      <c r="AC328" s="125">
        <v>0</v>
      </c>
      <c r="AD328" s="124">
        <v>0</v>
      </c>
    </row>
    <row r="329" spans="1:30">
      <c r="A329" s="127" t="s">
        <v>1102</v>
      </c>
      <c r="B329" s="127" t="s">
        <v>1692</v>
      </c>
      <c r="C329" s="127" t="s">
        <v>1102</v>
      </c>
      <c r="D329" s="127" t="s">
        <v>1690</v>
      </c>
      <c r="E329" s="127" t="s">
        <v>1692</v>
      </c>
      <c r="M329" s="127" t="s">
        <v>1253</v>
      </c>
      <c r="N329" s="127" t="s">
        <v>1406</v>
      </c>
      <c r="O329" s="123">
        <v>44378</v>
      </c>
      <c r="P329" s="123">
        <v>44530</v>
      </c>
      <c r="Q329" s="123">
        <v>44501</v>
      </c>
      <c r="R329" s="123">
        <v>44507</v>
      </c>
      <c r="S329" s="124">
        <v>44</v>
      </c>
      <c r="T329" s="124">
        <v>44</v>
      </c>
      <c r="U329" s="124">
        <v>5</v>
      </c>
      <c r="V329" s="125">
        <v>0</v>
      </c>
      <c r="W329" s="124">
        <v>0</v>
      </c>
      <c r="X329" s="126">
        <v>1</v>
      </c>
      <c r="Y329" s="126">
        <v>0</v>
      </c>
      <c r="Z329" s="126">
        <v>0</v>
      </c>
      <c r="AC329" s="125">
        <v>0</v>
      </c>
      <c r="AD329" s="124">
        <v>0</v>
      </c>
    </row>
    <row r="330" spans="1:30">
      <c r="A330" s="127" t="s">
        <v>1102</v>
      </c>
      <c r="B330" s="127" t="s">
        <v>1692</v>
      </c>
      <c r="C330" s="127" t="s">
        <v>1102</v>
      </c>
      <c r="D330" s="127" t="s">
        <v>1690</v>
      </c>
      <c r="E330" s="127" t="s">
        <v>1692</v>
      </c>
      <c r="M330" s="127" t="s">
        <v>1253</v>
      </c>
      <c r="N330" s="127" t="s">
        <v>1406</v>
      </c>
      <c r="O330" s="123">
        <v>44378</v>
      </c>
      <c r="P330" s="123">
        <v>44530</v>
      </c>
      <c r="Q330" s="123">
        <v>44508</v>
      </c>
      <c r="R330" s="123">
        <v>44514</v>
      </c>
      <c r="S330" s="124">
        <v>45</v>
      </c>
      <c r="T330" s="124">
        <v>45</v>
      </c>
      <c r="U330" s="124">
        <v>5</v>
      </c>
      <c r="V330" s="125">
        <v>0</v>
      </c>
      <c r="W330" s="124">
        <v>0</v>
      </c>
      <c r="X330" s="126">
        <v>1</v>
      </c>
      <c r="Y330" s="126">
        <v>0</v>
      </c>
      <c r="Z330" s="126">
        <v>0</v>
      </c>
      <c r="AC330" s="125">
        <v>0</v>
      </c>
      <c r="AD330" s="124">
        <v>0</v>
      </c>
    </row>
    <row r="331" spans="1:30">
      <c r="A331" s="127" t="s">
        <v>1102</v>
      </c>
      <c r="B331" s="127" t="s">
        <v>1692</v>
      </c>
      <c r="C331" s="127" t="s">
        <v>1102</v>
      </c>
      <c r="D331" s="127" t="s">
        <v>1690</v>
      </c>
      <c r="E331" s="127" t="s">
        <v>1692</v>
      </c>
      <c r="M331" s="127" t="s">
        <v>1253</v>
      </c>
      <c r="N331" s="127" t="s">
        <v>1406</v>
      </c>
      <c r="O331" s="123">
        <v>44378</v>
      </c>
      <c r="P331" s="123">
        <v>44530</v>
      </c>
      <c r="Q331" s="123">
        <v>44515</v>
      </c>
      <c r="R331" s="123">
        <v>44521</v>
      </c>
      <c r="S331" s="124">
        <v>46</v>
      </c>
      <c r="T331" s="124">
        <v>46</v>
      </c>
      <c r="U331" s="124">
        <v>5</v>
      </c>
      <c r="V331" s="125">
        <v>0</v>
      </c>
      <c r="W331" s="124">
        <v>0</v>
      </c>
      <c r="X331" s="126">
        <v>1</v>
      </c>
      <c r="Y331" s="126">
        <v>0</v>
      </c>
      <c r="Z331" s="126">
        <v>0</v>
      </c>
      <c r="AC331" s="125">
        <v>0</v>
      </c>
      <c r="AD331" s="124">
        <v>0</v>
      </c>
    </row>
    <row r="332" spans="1:30">
      <c r="A332" s="127" t="s">
        <v>1102</v>
      </c>
      <c r="B332" s="127" t="s">
        <v>1692</v>
      </c>
      <c r="C332" s="127" t="s">
        <v>1102</v>
      </c>
      <c r="D332" s="127" t="s">
        <v>1690</v>
      </c>
      <c r="E332" s="127" t="s">
        <v>1692</v>
      </c>
      <c r="M332" s="127" t="s">
        <v>1253</v>
      </c>
      <c r="N332" s="127" t="s">
        <v>1406</v>
      </c>
      <c r="O332" s="123">
        <v>44378</v>
      </c>
      <c r="P332" s="123">
        <v>44530</v>
      </c>
      <c r="Q332" s="123">
        <v>44522</v>
      </c>
      <c r="R332" s="123">
        <v>44528</v>
      </c>
      <c r="S332" s="124">
        <v>47</v>
      </c>
      <c r="T332" s="124">
        <v>47</v>
      </c>
      <c r="U332" s="124">
        <v>5</v>
      </c>
      <c r="V332" s="125">
        <v>0</v>
      </c>
      <c r="W332" s="124">
        <v>0</v>
      </c>
      <c r="X332" s="126">
        <v>1</v>
      </c>
      <c r="Y332" s="126">
        <v>0</v>
      </c>
      <c r="Z332" s="126">
        <v>0</v>
      </c>
      <c r="AC332" s="125">
        <v>0</v>
      </c>
      <c r="AD332" s="124">
        <v>0</v>
      </c>
    </row>
    <row r="333" spans="1:30">
      <c r="A333" s="127" t="s">
        <v>1102</v>
      </c>
      <c r="B333" s="127" t="s">
        <v>1692</v>
      </c>
      <c r="C333" s="127" t="s">
        <v>1102</v>
      </c>
      <c r="D333" s="127" t="s">
        <v>1690</v>
      </c>
      <c r="E333" s="127" t="s">
        <v>1692</v>
      </c>
      <c r="M333" s="127" t="s">
        <v>1253</v>
      </c>
      <c r="N333" s="127" t="s">
        <v>1406</v>
      </c>
      <c r="O333" s="123">
        <v>44378</v>
      </c>
      <c r="P333" s="123">
        <v>44530</v>
      </c>
      <c r="Q333" s="123">
        <v>44529</v>
      </c>
      <c r="R333" s="123">
        <v>44535</v>
      </c>
      <c r="S333" s="124">
        <v>48</v>
      </c>
      <c r="T333" s="124">
        <v>48</v>
      </c>
      <c r="U333" s="124">
        <v>2</v>
      </c>
      <c r="V333" s="125">
        <v>0</v>
      </c>
      <c r="W333" s="124">
        <v>0</v>
      </c>
      <c r="X333" s="126">
        <v>1</v>
      </c>
      <c r="Y333" s="126">
        <v>0</v>
      </c>
      <c r="Z333" s="126">
        <v>0</v>
      </c>
      <c r="AC333" s="125">
        <v>0</v>
      </c>
      <c r="AD333" s="124">
        <v>0</v>
      </c>
    </row>
    <row r="334" spans="1:30">
      <c r="A334" s="127" t="s">
        <v>1102</v>
      </c>
      <c r="B334" s="127" t="s">
        <v>1694</v>
      </c>
      <c r="C334" s="127" t="s">
        <v>1102</v>
      </c>
      <c r="D334" s="127" t="s">
        <v>1693</v>
      </c>
      <c r="E334" s="127" t="s">
        <v>1694</v>
      </c>
      <c r="M334" s="127" t="s">
        <v>1683</v>
      </c>
      <c r="N334" s="127" t="s">
        <v>1720</v>
      </c>
      <c r="O334" s="123">
        <v>44287</v>
      </c>
      <c r="P334" s="123">
        <v>44561</v>
      </c>
      <c r="Q334" s="123">
        <v>44284</v>
      </c>
      <c r="R334" s="123">
        <v>44290</v>
      </c>
      <c r="S334" s="124">
        <v>13</v>
      </c>
      <c r="T334" s="124">
        <v>13</v>
      </c>
      <c r="U334" s="124">
        <v>1</v>
      </c>
      <c r="V334" s="125">
        <v>0</v>
      </c>
      <c r="W334" s="124">
        <v>0</v>
      </c>
      <c r="X334" s="126">
        <v>0.5</v>
      </c>
      <c r="Y334" s="126">
        <v>0</v>
      </c>
      <c r="Z334" s="126">
        <v>0</v>
      </c>
      <c r="AC334" s="125">
        <v>0</v>
      </c>
      <c r="AD334" s="124">
        <v>0</v>
      </c>
    </row>
    <row r="335" spans="1:30">
      <c r="A335" s="127" t="s">
        <v>1102</v>
      </c>
      <c r="B335" s="127" t="s">
        <v>1694</v>
      </c>
      <c r="C335" s="127" t="s">
        <v>1102</v>
      </c>
      <c r="D335" s="127" t="s">
        <v>1693</v>
      </c>
      <c r="E335" s="127" t="s">
        <v>1694</v>
      </c>
      <c r="M335" s="127" t="s">
        <v>1683</v>
      </c>
      <c r="N335" s="127" t="s">
        <v>1720</v>
      </c>
      <c r="O335" s="123">
        <v>44287</v>
      </c>
      <c r="P335" s="123">
        <v>44561</v>
      </c>
      <c r="Q335" s="123">
        <v>44291</v>
      </c>
      <c r="R335" s="123">
        <v>44297</v>
      </c>
      <c r="S335" s="124">
        <v>14</v>
      </c>
      <c r="T335" s="124">
        <v>14</v>
      </c>
      <c r="U335" s="124">
        <v>2.5</v>
      </c>
      <c r="V335" s="125">
        <v>0</v>
      </c>
      <c r="W335" s="124">
        <v>0</v>
      </c>
      <c r="X335" s="126">
        <v>0.5</v>
      </c>
      <c r="Y335" s="126">
        <v>0</v>
      </c>
      <c r="Z335" s="126">
        <v>0</v>
      </c>
      <c r="AC335" s="125">
        <v>0</v>
      </c>
      <c r="AD335" s="124">
        <v>0</v>
      </c>
    </row>
    <row r="336" spans="1:30">
      <c r="A336" s="127" t="s">
        <v>1102</v>
      </c>
      <c r="B336" s="127" t="s">
        <v>1694</v>
      </c>
      <c r="C336" s="127" t="s">
        <v>1102</v>
      </c>
      <c r="D336" s="127" t="s">
        <v>1693</v>
      </c>
      <c r="E336" s="127" t="s">
        <v>1694</v>
      </c>
      <c r="M336" s="127" t="s">
        <v>1683</v>
      </c>
      <c r="N336" s="127" t="s">
        <v>1720</v>
      </c>
      <c r="O336" s="123">
        <v>44287</v>
      </c>
      <c r="P336" s="123">
        <v>44561</v>
      </c>
      <c r="Q336" s="123">
        <v>44298</v>
      </c>
      <c r="R336" s="123">
        <v>44304</v>
      </c>
      <c r="S336" s="124">
        <v>15</v>
      </c>
      <c r="T336" s="124">
        <v>15</v>
      </c>
      <c r="U336" s="124">
        <v>2.5</v>
      </c>
      <c r="V336" s="125">
        <v>0</v>
      </c>
      <c r="W336" s="124">
        <v>0</v>
      </c>
      <c r="X336" s="126">
        <v>0.5</v>
      </c>
      <c r="Y336" s="126">
        <v>0</v>
      </c>
      <c r="Z336" s="126">
        <v>0</v>
      </c>
      <c r="AC336" s="125">
        <v>0</v>
      </c>
      <c r="AD336" s="124">
        <v>0</v>
      </c>
    </row>
    <row r="337" spans="1:30">
      <c r="A337" s="127" t="s">
        <v>1102</v>
      </c>
      <c r="B337" s="127" t="s">
        <v>1694</v>
      </c>
      <c r="C337" s="127" t="s">
        <v>1102</v>
      </c>
      <c r="D337" s="127" t="s">
        <v>1693</v>
      </c>
      <c r="E337" s="127" t="s">
        <v>1694</v>
      </c>
      <c r="M337" s="127" t="s">
        <v>1683</v>
      </c>
      <c r="N337" s="127" t="s">
        <v>1720</v>
      </c>
      <c r="O337" s="123">
        <v>44287</v>
      </c>
      <c r="P337" s="123">
        <v>44561</v>
      </c>
      <c r="Q337" s="123">
        <v>44305</v>
      </c>
      <c r="R337" s="123">
        <v>44311</v>
      </c>
      <c r="S337" s="124">
        <v>16</v>
      </c>
      <c r="T337" s="124">
        <v>16</v>
      </c>
      <c r="U337" s="124">
        <v>2.5</v>
      </c>
      <c r="V337" s="125">
        <v>0</v>
      </c>
      <c r="W337" s="124">
        <v>0</v>
      </c>
      <c r="X337" s="126">
        <v>0.5</v>
      </c>
      <c r="Y337" s="126">
        <v>0</v>
      </c>
      <c r="Z337" s="126">
        <v>0</v>
      </c>
      <c r="AC337" s="125">
        <v>0</v>
      </c>
      <c r="AD337" s="124">
        <v>0</v>
      </c>
    </row>
    <row r="338" spans="1:30">
      <c r="A338" s="127" t="s">
        <v>1102</v>
      </c>
      <c r="B338" s="127" t="s">
        <v>1694</v>
      </c>
      <c r="C338" s="127" t="s">
        <v>1102</v>
      </c>
      <c r="D338" s="127" t="s">
        <v>1693</v>
      </c>
      <c r="E338" s="127" t="s">
        <v>1694</v>
      </c>
      <c r="M338" s="127" t="s">
        <v>1683</v>
      </c>
      <c r="N338" s="127" t="s">
        <v>1720</v>
      </c>
      <c r="O338" s="123">
        <v>44287</v>
      </c>
      <c r="P338" s="123">
        <v>44561</v>
      </c>
      <c r="Q338" s="123">
        <v>44312</v>
      </c>
      <c r="R338" s="123">
        <v>44318</v>
      </c>
      <c r="S338" s="124">
        <v>17</v>
      </c>
      <c r="T338" s="124">
        <v>17</v>
      </c>
      <c r="U338" s="124">
        <v>2.5</v>
      </c>
      <c r="V338" s="125">
        <v>0</v>
      </c>
      <c r="W338" s="124">
        <v>0</v>
      </c>
      <c r="X338" s="126">
        <v>0.5</v>
      </c>
      <c r="Y338" s="126">
        <v>0</v>
      </c>
      <c r="Z338" s="126">
        <v>0</v>
      </c>
      <c r="AC338" s="125">
        <v>0</v>
      </c>
      <c r="AD338" s="124">
        <v>0</v>
      </c>
    </row>
    <row r="339" spans="1:30">
      <c r="A339" s="127" t="s">
        <v>1102</v>
      </c>
      <c r="B339" s="127" t="s">
        <v>1694</v>
      </c>
      <c r="C339" s="127" t="s">
        <v>1102</v>
      </c>
      <c r="D339" s="127" t="s">
        <v>1693</v>
      </c>
      <c r="E339" s="127" t="s">
        <v>1694</v>
      </c>
      <c r="M339" s="127" t="s">
        <v>1683</v>
      </c>
      <c r="N339" s="127" t="s">
        <v>1720</v>
      </c>
      <c r="O339" s="123">
        <v>44287</v>
      </c>
      <c r="P339" s="123">
        <v>44561</v>
      </c>
      <c r="Q339" s="123">
        <v>44319</v>
      </c>
      <c r="R339" s="123">
        <v>44325</v>
      </c>
      <c r="S339" s="124">
        <v>18</v>
      </c>
      <c r="T339" s="124">
        <v>18</v>
      </c>
      <c r="U339" s="124">
        <v>2</v>
      </c>
      <c r="V339" s="125">
        <v>0</v>
      </c>
      <c r="W339" s="124">
        <v>0</v>
      </c>
      <c r="X339" s="126">
        <v>0.5</v>
      </c>
      <c r="Y339" s="126">
        <v>0</v>
      </c>
      <c r="Z339" s="126">
        <v>0</v>
      </c>
      <c r="AC339" s="125">
        <v>0</v>
      </c>
      <c r="AD339" s="124">
        <v>0</v>
      </c>
    </row>
    <row r="340" spans="1:30">
      <c r="A340" s="127" t="s">
        <v>1102</v>
      </c>
      <c r="B340" s="127" t="s">
        <v>1694</v>
      </c>
      <c r="C340" s="127" t="s">
        <v>1102</v>
      </c>
      <c r="D340" s="127" t="s">
        <v>1693</v>
      </c>
      <c r="E340" s="127" t="s">
        <v>1694</v>
      </c>
      <c r="M340" s="127" t="s">
        <v>1683</v>
      </c>
      <c r="N340" s="127" t="s">
        <v>1720</v>
      </c>
      <c r="O340" s="123">
        <v>44287</v>
      </c>
      <c r="P340" s="123">
        <v>44561</v>
      </c>
      <c r="Q340" s="123">
        <v>44326</v>
      </c>
      <c r="R340" s="123">
        <v>44332</v>
      </c>
      <c r="S340" s="124">
        <v>19</v>
      </c>
      <c r="T340" s="124">
        <v>19</v>
      </c>
      <c r="U340" s="124">
        <v>2.5</v>
      </c>
      <c r="V340" s="125">
        <v>0</v>
      </c>
      <c r="W340" s="124">
        <v>0</v>
      </c>
      <c r="X340" s="126">
        <v>0.5</v>
      </c>
      <c r="Y340" s="126">
        <v>0</v>
      </c>
      <c r="Z340" s="126">
        <v>0</v>
      </c>
      <c r="AC340" s="125">
        <v>0</v>
      </c>
      <c r="AD340" s="124">
        <v>0</v>
      </c>
    </row>
    <row r="341" spans="1:30">
      <c r="A341" s="127" t="s">
        <v>1102</v>
      </c>
      <c r="B341" s="127" t="s">
        <v>1694</v>
      </c>
      <c r="C341" s="127" t="s">
        <v>1102</v>
      </c>
      <c r="D341" s="127" t="s">
        <v>1693</v>
      </c>
      <c r="E341" s="127" t="s">
        <v>1694</v>
      </c>
      <c r="M341" s="127" t="s">
        <v>1683</v>
      </c>
      <c r="N341" s="127" t="s">
        <v>1720</v>
      </c>
      <c r="O341" s="123">
        <v>44287</v>
      </c>
      <c r="P341" s="123">
        <v>44561</v>
      </c>
      <c r="Q341" s="123">
        <v>44333</v>
      </c>
      <c r="R341" s="123">
        <v>44339</v>
      </c>
      <c r="S341" s="124">
        <v>20</v>
      </c>
      <c r="T341" s="124">
        <v>20</v>
      </c>
      <c r="U341" s="124">
        <v>2</v>
      </c>
      <c r="V341" s="125">
        <v>0</v>
      </c>
      <c r="W341" s="124">
        <v>0</v>
      </c>
      <c r="X341" s="126">
        <v>0.5</v>
      </c>
      <c r="Y341" s="126">
        <v>0</v>
      </c>
      <c r="Z341" s="126">
        <v>0</v>
      </c>
      <c r="AC341" s="125">
        <v>0</v>
      </c>
      <c r="AD341" s="124">
        <v>0</v>
      </c>
    </row>
    <row r="342" spans="1:30">
      <c r="A342" s="127" t="s">
        <v>1102</v>
      </c>
      <c r="B342" s="127" t="s">
        <v>1694</v>
      </c>
      <c r="C342" s="127" t="s">
        <v>1102</v>
      </c>
      <c r="D342" s="127" t="s">
        <v>1693</v>
      </c>
      <c r="E342" s="127" t="s">
        <v>1694</v>
      </c>
      <c r="M342" s="127" t="s">
        <v>1683</v>
      </c>
      <c r="N342" s="127" t="s">
        <v>1720</v>
      </c>
      <c r="O342" s="123">
        <v>44287</v>
      </c>
      <c r="P342" s="123">
        <v>44561</v>
      </c>
      <c r="Q342" s="123">
        <v>44340</v>
      </c>
      <c r="R342" s="123">
        <v>44346</v>
      </c>
      <c r="S342" s="124">
        <v>21</v>
      </c>
      <c r="T342" s="124">
        <v>21</v>
      </c>
      <c r="U342" s="124">
        <v>2.5</v>
      </c>
      <c r="V342" s="125">
        <v>0</v>
      </c>
      <c r="W342" s="124">
        <v>0</v>
      </c>
      <c r="X342" s="126">
        <v>0.5</v>
      </c>
      <c r="Y342" s="126">
        <v>0</v>
      </c>
      <c r="Z342" s="126">
        <v>0</v>
      </c>
      <c r="AC342" s="125">
        <v>0</v>
      </c>
      <c r="AD342" s="124">
        <v>0</v>
      </c>
    </row>
    <row r="343" spans="1:30">
      <c r="A343" s="127" t="s">
        <v>1102</v>
      </c>
      <c r="B343" s="127" t="s">
        <v>1694</v>
      </c>
      <c r="C343" s="127" t="s">
        <v>1102</v>
      </c>
      <c r="D343" s="127" t="s">
        <v>1693</v>
      </c>
      <c r="E343" s="127" t="s">
        <v>1694</v>
      </c>
      <c r="M343" s="127" t="s">
        <v>1683</v>
      </c>
      <c r="N343" s="127" t="s">
        <v>1720</v>
      </c>
      <c r="O343" s="123">
        <v>44287</v>
      </c>
      <c r="P343" s="123">
        <v>44561</v>
      </c>
      <c r="Q343" s="123">
        <v>44347</v>
      </c>
      <c r="R343" s="123">
        <v>44353</v>
      </c>
      <c r="S343" s="124">
        <v>22</v>
      </c>
      <c r="T343" s="124">
        <v>22</v>
      </c>
      <c r="U343" s="124">
        <v>2.5</v>
      </c>
      <c r="V343" s="125">
        <v>0</v>
      </c>
      <c r="W343" s="124">
        <v>0</v>
      </c>
      <c r="X343" s="126">
        <v>0.5</v>
      </c>
      <c r="Y343" s="126">
        <v>0</v>
      </c>
      <c r="Z343" s="126">
        <v>0</v>
      </c>
      <c r="AC343" s="125">
        <v>0</v>
      </c>
      <c r="AD343" s="124">
        <v>0</v>
      </c>
    </row>
    <row r="344" spans="1:30">
      <c r="A344" s="127" t="s">
        <v>1102</v>
      </c>
      <c r="B344" s="127" t="s">
        <v>1694</v>
      </c>
      <c r="C344" s="127" t="s">
        <v>1102</v>
      </c>
      <c r="D344" s="127" t="s">
        <v>1693</v>
      </c>
      <c r="E344" s="127" t="s">
        <v>1694</v>
      </c>
      <c r="M344" s="127" t="s">
        <v>1683</v>
      </c>
      <c r="N344" s="127" t="s">
        <v>1720</v>
      </c>
      <c r="O344" s="123">
        <v>44287</v>
      </c>
      <c r="P344" s="123">
        <v>44561</v>
      </c>
      <c r="Q344" s="123">
        <v>44354</v>
      </c>
      <c r="R344" s="123">
        <v>44360</v>
      </c>
      <c r="S344" s="124">
        <v>23</v>
      </c>
      <c r="T344" s="124">
        <v>23</v>
      </c>
      <c r="U344" s="124">
        <v>2.5</v>
      </c>
      <c r="V344" s="125">
        <v>0</v>
      </c>
      <c r="W344" s="124">
        <v>0</v>
      </c>
      <c r="X344" s="126">
        <v>0.5</v>
      </c>
      <c r="Y344" s="126">
        <v>0</v>
      </c>
      <c r="Z344" s="126">
        <v>0</v>
      </c>
      <c r="AC344" s="125">
        <v>0</v>
      </c>
      <c r="AD344" s="124">
        <v>0</v>
      </c>
    </row>
    <row r="345" spans="1:30">
      <c r="A345" s="127" t="s">
        <v>1102</v>
      </c>
      <c r="B345" s="127" t="s">
        <v>1694</v>
      </c>
      <c r="C345" s="127" t="s">
        <v>1102</v>
      </c>
      <c r="D345" s="127" t="s">
        <v>1693</v>
      </c>
      <c r="E345" s="127" t="s">
        <v>1694</v>
      </c>
      <c r="M345" s="127" t="s">
        <v>1683</v>
      </c>
      <c r="N345" s="127" t="s">
        <v>1720</v>
      </c>
      <c r="O345" s="123">
        <v>44287</v>
      </c>
      <c r="P345" s="123">
        <v>44561</v>
      </c>
      <c r="Q345" s="123">
        <v>44361</v>
      </c>
      <c r="R345" s="123">
        <v>44367</v>
      </c>
      <c r="S345" s="124">
        <v>24</v>
      </c>
      <c r="T345" s="124">
        <v>24</v>
      </c>
      <c r="U345" s="124">
        <v>2.5</v>
      </c>
      <c r="V345" s="125">
        <v>0</v>
      </c>
      <c r="W345" s="124">
        <v>0</v>
      </c>
      <c r="X345" s="126">
        <v>0.5</v>
      </c>
      <c r="Y345" s="126">
        <v>0</v>
      </c>
      <c r="Z345" s="126">
        <v>0</v>
      </c>
      <c r="AC345" s="125">
        <v>0</v>
      </c>
      <c r="AD345" s="124">
        <v>0</v>
      </c>
    </row>
    <row r="346" spans="1:30">
      <c r="A346" s="127" t="s">
        <v>1102</v>
      </c>
      <c r="B346" s="127" t="s">
        <v>1694</v>
      </c>
      <c r="C346" s="127" t="s">
        <v>1102</v>
      </c>
      <c r="D346" s="127" t="s">
        <v>1693</v>
      </c>
      <c r="E346" s="127" t="s">
        <v>1694</v>
      </c>
      <c r="M346" s="127" t="s">
        <v>1683</v>
      </c>
      <c r="N346" s="127" t="s">
        <v>1720</v>
      </c>
      <c r="O346" s="123">
        <v>44287</v>
      </c>
      <c r="P346" s="123">
        <v>44561</v>
      </c>
      <c r="Q346" s="123">
        <v>44368</v>
      </c>
      <c r="R346" s="123">
        <v>44374</v>
      </c>
      <c r="S346" s="124">
        <v>25</v>
      </c>
      <c r="T346" s="124">
        <v>25</v>
      </c>
      <c r="U346" s="124">
        <v>2.5</v>
      </c>
      <c r="V346" s="125">
        <v>0</v>
      </c>
      <c r="W346" s="124">
        <v>0</v>
      </c>
      <c r="X346" s="126">
        <v>0.5</v>
      </c>
      <c r="Y346" s="126">
        <v>0</v>
      </c>
      <c r="Z346" s="126">
        <v>0</v>
      </c>
      <c r="AC346" s="125">
        <v>0</v>
      </c>
      <c r="AD346" s="124">
        <v>0</v>
      </c>
    </row>
    <row r="347" spans="1:30">
      <c r="A347" s="127" t="s">
        <v>1102</v>
      </c>
      <c r="B347" s="127" t="s">
        <v>1694</v>
      </c>
      <c r="C347" s="127" t="s">
        <v>1102</v>
      </c>
      <c r="D347" s="127" t="s">
        <v>1693</v>
      </c>
      <c r="E347" s="127" t="s">
        <v>1694</v>
      </c>
      <c r="M347" s="127" t="s">
        <v>1683</v>
      </c>
      <c r="N347" s="127" t="s">
        <v>1720</v>
      </c>
      <c r="O347" s="123">
        <v>44287</v>
      </c>
      <c r="P347" s="123">
        <v>44561</v>
      </c>
      <c r="Q347" s="123">
        <v>44375</v>
      </c>
      <c r="R347" s="123">
        <v>44381</v>
      </c>
      <c r="S347" s="124">
        <v>26</v>
      </c>
      <c r="T347" s="124">
        <v>26</v>
      </c>
      <c r="U347" s="124">
        <v>2.5</v>
      </c>
      <c r="V347" s="125">
        <v>0</v>
      </c>
      <c r="W347" s="124">
        <v>0</v>
      </c>
      <c r="X347" s="126">
        <v>0.5</v>
      </c>
      <c r="Y347" s="126">
        <v>0</v>
      </c>
      <c r="Z347" s="126">
        <v>0</v>
      </c>
      <c r="AC347" s="125">
        <v>0</v>
      </c>
      <c r="AD347" s="124">
        <v>0</v>
      </c>
    </row>
    <row r="348" spans="1:30">
      <c r="A348" s="127" t="s">
        <v>1102</v>
      </c>
      <c r="B348" s="127" t="s">
        <v>1694</v>
      </c>
      <c r="C348" s="127" t="s">
        <v>1102</v>
      </c>
      <c r="D348" s="127" t="s">
        <v>1693</v>
      </c>
      <c r="E348" s="127" t="s">
        <v>1694</v>
      </c>
      <c r="M348" s="127" t="s">
        <v>1683</v>
      </c>
      <c r="N348" s="127" t="s">
        <v>1720</v>
      </c>
      <c r="O348" s="123">
        <v>44287</v>
      </c>
      <c r="P348" s="123">
        <v>44561</v>
      </c>
      <c r="Q348" s="123">
        <v>44382</v>
      </c>
      <c r="R348" s="123">
        <v>44388</v>
      </c>
      <c r="S348" s="124">
        <v>27</v>
      </c>
      <c r="T348" s="124">
        <v>27</v>
      </c>
      <c r="U348" s="124">
        <v>2.5</v>
      </c>
      <c r="V348" s="125">
        <v>0</v>
      </c>
      <c r="W348" s="124">
        <v>0</v>
      </c>
      <c r="X348" s="126">
        <v>0.5</v>
      </c>
      <c r="Y348" s="126">
        <v>0</v>
      </c>
      <c r="Z348" s="126">
        <v>0</v>
      </c>
      <c r="AC348" s="125">
        <v>0</v>
      </c>
      <c r="AD348" s="124">
        <v>0</v>
      </c>
    </row>
    <row r="349" spans="1:30">
      <c r="A349" s="127" t="s">
        <v>1102</v>
      </c>
      <c r="B349" s="127" t="s">
        <v>1694</v>
      </c>
      <c r="C349" s="127" t="s">
        <v>1102</v>
      </c>
      <c r="D349" s="127" t="s">
        <v>1693</v>
      </c>
      <c r="E349" s="127" t="s">
        <v>1694</v>
      </c>
      <c r="M349" s="127" t="s">
        <v>1683</v>
      </c>
      <c r="N349" s="127" t="s">
        <v>1720</v>
      </c>
      <c r="O349" s="123">
        <v>44287</v>
      </c>
      <c r="P349" s="123">
        <v>44561</v>
      </c>
      <c r="Q349" s="123">
        <v>44389</v>
      </c>
      <c r="R349" s="123">
        <v>44395</v>
      </c>
      <c r="S349" s="124">
        <v>28</v>
      </c>
      <c r="T349" s="124">
        <v>28</v>
      </c>
      <c r="U349" s="124">
        <v>2.5</v>
      </c>
      <c r="V349" s="125">
        <v>0</v>
      </c>
      <c r="W349" s="124">
        <v>0</v>
      </c>
      <c r="X349" s="126">
        <v>0.5</v>
      </c>
      <c r="Y349" s="126">
        <v>0</v>
      </c>
      <c r="Z349" s="126">
        <v>0</v>
      </c>
      <c r="AC349" s="125">
        <v>0</v>
      </c>
      <c r="AD349" s="124">
        <v>0</v>
      </c>
    </row>
    <row r="350" spans="1:30">
      <c r="A350" s="127" t="s">
        <v>1102</v>
      </c>
      <c r="B350" s="127" t="s">
        <v>1694</v>
      </c>
      <c r="C350" s="127" t="s">
        <v>1102</v>
      </c>
      <c r="D350" s="127" t="s">
        <v>1693</v>
      </c>
      <c r="E350" s="127" t="s">
        <v>1694</v>
      </c>
      <c r="M350" s="127" t="s">
        <v>1683</v>
      </c>
      <c r="N350" s="127" t="s">
        <v>1720</v>
      </c>
      <c r="O350" s="123">
        <v>44287</v>
      </c>
      <c r="P350" s="123">
        <v>44561</v>
      </c>
      <c r="Q350" s="123">
        <v>44396</v>
      </c>
      <c r="R350" s="123">
        <v>44402</v>
      </c>
      <c r="S350" s="124">
        <v>29</v>
      </c>
      <c r="T350" s="124">
        <v>29</v>
      </c>
      <c r="U350" s="124">
        <v>2.5</v>
      </c>
      <c r="V350" s="125">
        <v>0</v>
      </c>
      <c r="W350" s="124">
        <v>0</v>
      </c>
      <c r="X350" s="126">
        <v>0.5</v>
      </c>
      <c r="Y350" s="126">
        <v>0</v>
      </c>
      <c r="Z350" s="126">
        <v>0</v>
      </c>
      <c r="AC350" s="125">
        <v>0</v>
      </c>
      <c r="AD350" s="124">
        <v>0</v>
      </c>
    </row>
    <row r="351" spans="1:30">
      <c r="A351" s="127" t="s">
        <v>1102</v>
      </c>
      <c r="B351" s="127" t="s">
        <v>1694</v>
      </c>
      <c r="C351" s="127" t="s">
        <v>1102</v>
      </c>
      <c r="D351" s="127" t="s">
        <v>1693</v>
      </c>
      <c r="E351" s="127" t="s">
        <v>1694</v>
      </c>
      <c r="M351" s="127" t="s">
        <v>1683</v>
      </c>
      <c r="N351" s="127" t="s">
        <v>1720</v>
      </c>
      <c r="O351" s="123">
        <v>44287</v>
      </c>
      <c r="P351" s="123">
        <v>44561</v>
      </c>
      <c r="Q351" s="123">
        <v>44403</v>
      </c>
      <c r="R351" s="123">
        <v>44409</v>
      </c>
      <c r="S351" s="124">
        <v>30</v>
      </c>
      <c r="T351" s="124">
        <v>30</v>
      </c>
      <c r="U351" s="124">
        <v>2.5</v>
      </c>
      <c r="V351" s="125">
        <v>0</v>
      </c>
      <c r="W351" s="124">
        <v>0</v>
      </c>
      <c r="X351" s="126">
        <v>0.5</v>
      </c>
      <c r="Y351" s="126">
        <v>0</v>
      </c>
      <c r="Z351" s="126">
        <v>0</v>
      </c>
      <c r="AC351" s="125">
        <v>0</v>
      </c>
      <c r="AD351" s="124">
        <v>0</v>
      </c>
    </row>
    <row r="352" spans="1:30">
      <c r="A352" s="127" t="s">
        <v>1102</v>
      </c>
      <c r="B352" s="127" t="s">
        <v>1694</v>
      </c>
      <c r="C352" s="127" t="s">
        <v>1102</v>
      </c>
      <c r="D352" s="127" t="s">
        <v>1693</v>
      </c>
      <c r="E352" s="127" t="s">
        <v>1694</v>
      </c>
      <c r="M352" s="127" t="s">
        <v>1683</v>
      </c>
      <c r="N352" s="127" t="s">
        <v>1720</v>
      </c>
      <c r="O352" s="123">
        <v>44287</v>
      </c>
      <c r="P352" s="123">
        <v>44561</v>
      </c>
      <c r="Q352" s="123">
        <v>44410</v>
      </c>
      <c r="R352" s="123">
        <v>44416</v>
      </c>
      <c r="S352" s="124">
        <v>31</v>
      </c>
      <c r="T352" s="124">
        <v>31</v>
      </c>
      <c r="U352" s="124">
        <v>2.5</v>
      </c>
      <c r="V352" s="125">
        <v>0</v>
      </c>
      <c r="W352" s="124">
        <v>0</v>
      </c>
      <c r="X352" s="126">
        <v>0.5</v>
      </c>
      <c r="Y352" s="126">
        <v>0</v>
      </c>
      <c r="Z352" s="126">
        <v>0</v>
      </c>
      <c r="AC352" s="125">
        <v>0</v>
      </c>
      <c r="AD352" s="124">
        <v>0</v>
      </c>
    </row>
    <row r="353" spans="1:30">
      <c r="A353" s="127" t="s">
        <v>1102</v>
      </c>
      <c r="B353" s="127" t="s">
        <v>1694</v>
      </c>
      <c r="C353" s="127" t="s">
        <v>1102</v>
      </c>
      <c r="D353" s="127" t="s">
        <v>1693</v>
      </c>
      <c r="E353" s="127" t="s">
        <v>1694</v>
      </c>
      <c r="M353" s="127" t="s">
        <v>1683</v>
      </c>
      <c r="N353" s="127" t="s">
        <v>1720</v>
      </c>
      <c r="O353" s="123">
        <v>44287</v>
      </c>
      <c r="P353" s="123">
        <v>44561</v>
      </c>
      <c r="Q353" s="123">
        <v>44417</v>
      </c>
      <c r="R353" s="123">
        <v>44423</v>
      </c>
      <c r="S353" s="124">
        <v>32</v>
      </c>
      <c r="T353" s="124">
        <v>32</v>
      </c>
      <c r="U353" s="124">
        <v>2.5</v>
      </c>
      <c r="V353" s="125">
        <v>0</v>
      </c>
      <c r="W353" s="124">
        <v>0</v>
      </c>
      <c r="X353" s="126">
        <v>0.5</v>
      </c>
      <c r="Y353" s="126">
        <v>0</v>
      </c>
      <c r="Z353" s="126">
        <v>0</v>
      </c>
      <c r="AC353" s="125">
        <v>0</v>
      </c>
      <c r="AD353" s="124">
        <v>0</v>
      </c>
    </row>
    <row r="354" spans="1:30">
      <c r="A354" s="127" t="s">
        <v>1102</v>
      </c>
      <c r="B354" s="127" t="s">
        <v>1694</v>
      </c>
      <c r="C354" s="127" t="s">
        <v>1102</v>
      </c>
      <c r="D354" s="127" t="s">
        <v>1693</v>
      </c>
      <c r="E354" s="127" t="s">
        <v>1694</v>
      </c>
      <c r="M354" s="127" t="s">
        <v>1683</v>
      </c>
      <c r="N354" s="127" t="s">
        <v>1720</v>
      </c>
      <c r="O354" s="123">
        <v>44287</v>
      </c>
      <c r="P354" s="123">
        <v>44561</v>
      </c>
      <c r="Q354" s="123">
        <v>44424</v>
      </c>
      <c r="R354" s="123">
        <v>44430</v>
      </c>
      <c r="S354" s="124">
        <v>33</v>
      </c>
      <c r="T354" s="124">
        <v>33</v>
      </c>
      <c r="U354" s="124">
        <v>2.5</v>
      </c>
      <c r="V354" s="125">
        <v>0</v>
      </c>
      <c r="W354" s="124">
        <v>0</v>
      </c>
      <c r="X354" s="126">
        <v>0.5</v>
      </c>
      <c r="Y354" s="126">
        <v>0</v>
      </c>
      <c r="Z354" s="126">
        <v>0</v>
      </c>
      <c r="AC354" s="125">
        <v>0</v>
      </c>
      <c r="AD354" s="124">
        <v>0</v>
      </c>
    </row>
    <row r="355" spans="1:30">
      <c r="A355" s="127" t="s">
        <v>1102</v>
      </c>
      <c r="B355" s="127" t="s">
        <v>1694</v>
      </c>
      <c r="C355" s="127" t="s">
        <v>1102</v>
      </c>
      <c r="D355" s="127" t="s">
        <v>1693</v>
      </c>
      <c r="E355" s="127" t="s">
        <v>1694</v>
      </c>
      <c r="M355" s="127" t="s">
        <v>1683</v>
      </c>
      <c r="N355" s="127" t="s">
        <v>1720</v>
      </c>
      <c r="O355" s="123">
        <v>44287</v>
      </c>
      <c r="P355" s="123">
        <v>44561</v>
      </c>
      <c r="Q355" s="123">
        <v>44431</v>
      </c>
      <c r="R355" s="123">
        <v>44437</v>
      </c>
      <c r="S355" s="124">
        <v>34</v>
      </c>
      <c r="T355" s="124">
        <v>34</v>
      </c>
      <c r="U355" s="124">
        <v>2.5</v>
      </c>
      <c r="V355" s="125">
        <v>0</v>
      </c>
      <c r="W355" s="124">
        <v>0</v>
      </c>
      <c r="X355" s="126">
        <v>0.5</v>
      </c>
      <c r="Y355" s="126">
        <v>0</v>
      </c>
      <c r="Z355" s="126">
        <v>0</v>
      </c>
      <c r="AC355" s="125">
        <v>0</v>
      </c>
      <c r="AD355" s="124">
        <v>0</v>
      </c>
    </row>
    <row r="356" spans="1:30">
      <c r="A356" s="127" t="s">
        <v>1102</v>
      </c>
      <c r="B356" s="127" t="s">
        <v>1694</v>
      </c>
      <c r="C356" s="127" t="s">
        <v>1102</v>
      </c>
      <c r="D356" s="127" t="s">
        <v>1693</v>
      </c>
      <c r="E356" s="127" t="s">
        <v>1694</v>
      </c>
      <c r="M356" s="127" t="s">
        <v>1683</v>
      </c>
      <c r="N356" s="127" t="s">
        <v>1720</v>
      </c>
      <c r="O356" s="123">
        <v>44287</v>
      </c>
      <c r="P356" s="123">
        <v>44561</v>
      </c>
      <c r="Q356" s="123">
        <v>44438</v>
      </c>
      <c r="R356" s="123">
        <v>44444</v>
      </c>
      <c r="S356" s="124">
        <v>35</v>
      </c>
      <c r="T356" s="124">
        <v>35</v>
      </c>
      <c r="U356" s="124">
        <v>2.5</v>
      </c>
      <c r="V356" s="125">
        <v>0</v>
      </c>
      <c r="W356" s="124">
        <v>0</v>
      </c>
      <c r="X356" s="126">
        <v>0.5</v>
      </c>
      <c r="Y356" s="126">
        <v>0</v>
      </c>
      <c r="Z356" s="126">
        <v>0</v>
      </c>
      <c r="AC356" s="125">
        <v>0</v>
      </c>
      <c r="AD356" s="124">
        <v>0</v>
      </c>
    </row>
    <row r="357" spans="1:30">
      <c r="A357" s="127" t="s">
        <v>1102</v>
      </c>
      <c r="B357" s="127" t="s">
        <v>1694</v>
      </c>
      <c r="C357" s="127" t="s">
        <v>1102</v>
      </c>
      <c r="D357" s="127" t="s">
        <v>1693</v>
      </c>
      <c r="E357" s="127" t="s">
        <v>1694</v>
      </c>
      <c r="M357" s="127" t="s">
        <v>1683</v>
      </c>
      <c r="N357" s="127" t="s">
        <v>1720</v>
      </c>
      <c r="O357" s="123">
        <v>44287</v>
      </c>
      <c r="P357" s="123">
        <v>44561</v>
      </c>
      <c r="Q357" s="123">
        <v>44445</v>
      </c>
      <c r="R357" s="123">
        <v>44451</v>
      </c>
      <c r="S357" s="124">
        <v>36</v>
      </c>
      <c r="T357" s="124">
        <v>36</v>
      </c>
      <c r="U357" s="124">
        <v>2.5</v>
      </c>
      <c r="V357" s="125">
        <v>0</v>
      </c>
      <c r="W357" s="124">
        <v>0</v>
      </c>
      <c r="X357" s="126">
        <v>0.5</v>
      </c>
      <c r="Y357" s="126">
        <v>0</v>
      </c>
      <c r="Z357" s="126">
        <v>0</v>
      </c>
      <c r="AC357" s="125">
        <v>0</v>
      </c>
      <c r="AD357" s="124">
        <v>0</v>
      </c>
    </row>
    <row r="358" spans="1:30">
      <c r="A358" s="127" t="s">
        <v>1102</v>
      </c>
      <c r="B358" s="127" t="s">
        <v>1694</v>
      </c>
      <c r="C358" s="127" t="s">
        <v>1102</v>
      </c>
      <c r="D358" s="127" t="s">
        <v>1693</v>
      </c>
      <c r="E358" s="127" t="s">
        <v>1694</v>
      </c>
      <c r="M358" s="127" t="s">
        <v>1683</v>
      </c>
      <c r="N358" s="127" t="s">
        <v>1720</v>
      </c>
      <c r="O358" s="123">
        <v>44287</v>
      </c>
      <c r="P358" s="123">
        <v>44561</v>
      </c>
      <c r="Q358" s="123">
        <v>44452</v>
      </c>
      <c r="R358" s="123">
        <v>44458</v>
      </c>
      <c r="S358" s="124">
        <v>37</v>
      </c>
      <c r="T358" s="124">
        <v>37</v>
      </c>
      <c r="U358" s="124">
        <v>2.5</v>
      </c>
      <c r="V358" s="125">
        <v>0</v>
      </c>
      <c r="W358" s="124">
        <v>0</v>
      </c>
      <c r="X358" s="126">
        <v>0.5</v>
      </c>
      <c r="Y358" s="126">
        <v>0</v>
      </c>
      <c r="Z358" s="126">
        <v>0</v>
      </c>
      <c r="AC358" s="125">
        <v>0</v>
      </c>
      <c r="AD358" s="124">
        <v>0</v>
      </c>
    </row>
    <row r="359" spans="1:30">
      <c r="A359" s="127" t="s">
        <v>1102</v>
      </c>
      <c r="B359" s="127" t="s">
        <v>1694</v>
      </c>
      <c r="C359" s="127" t="s">
        <v>1102</v>
      </c>
      <c r="D359" s="127" t="s">
        <v>1693</v>
      </c>
      <c r="E359" s="127" t="s">
        <v>1694</v>
      </c>
      <c r="M359" s="127" t="s">
        <v>1683</v>
      </c>
      <c r="N359" s="127" t="s">
        <v>1720</v>
      </c>
      <c r="O359" s="123">
        <v>44287</v>
      </c>
      <c r="P359" s="123">
        <v>44561</v>
      </c>
      <c r="Q359" s="123">
        <v>44459</v>
      </c>
      <c r="R359" s="123">
        <v>44465</v>
      </c>
      <c r="S359" s="124">
        <v>38</v>
      </c>
      <c r="T359" s="124">
        <v>38</v>
      </c>
      <c r="U359" s="124">
        <v>1</v>
      </c>
      <c r="V359" s="125">
        <v>0</v>
      </c>
      <c r="W359" s="124">
        <v>0</v>
      </c>
      <c r="X359" s="126">
        <v>0.5</v>
      </c>
      <c r="Y359" s="126">
        <v>0</v>
      </c>
      <c r="Z359" s="126">
        <v>0</v>
      </c>
      <c r="AC359" s="125">
        <v>0</v>
      </c>
      <c r="AD359" s="124">
        <v>0</v>
      </c>
    </row>
    <row r="360" spans="1:30">
      <c r="A360" s="127" t="s">
        <v>1102</v>
      </c>
      <c r="B360" s="127" t="s">
        <v>1694</v>
      </c>
      <c r="C360" s="127" t="s">
        <v>1102</v>
      </c>
      <c r="D360" s="127" t="s">
        <v>1693</v>
      </c>
      <c r="E360" s="127" t="s">
        <v>1694</v>
      </c>
      <c r="M360" s="127" t="s">
        <v>1683</v>
      </c>
      <c r="N360" s="127" t="s">
        <v>1720</v>
      </c>
      <c r="O360" s="123">
        <v>44287</v>
      </c>
      <c r="P360" s="123">
        <v>44561</v>
      </c>
      <c r="Q360" s="123">
        <v>44466</v>
      </c>
      <c r="R360" s="123">
        <v>44472</v>
      </c>
      <c r="S360" s="124">
        <v>39</v>
      </c>
      <c r="T360" s="124">
        <v>39</v>
      </c>
      <c r="U360" s="124">
        <v>2.5</v>
      </c>
      <c r="V360" s="125">
        <v>0</v>
      </c>
      <c r="W360" s="124">
        <v>0</v>
      </c>
      <c r="X360" s="126">
        <v>0.5</v>
      </c>
      <c r="Y360" s="126">
        <v>0</v>
      </c>
      <c r="Z360" s="126">
        <v>0</v>
      </c>
      <c r="AC360" s="125">
        <v>0</v>
      </c>
      <c r="AD360" s="124">
        <v>0</v>
      </c>
    </row>
    <row r="361" spans="1:30">
      <c r="A361" s="127" t="s">
        <v>1102</v>
      </c>
      <c r="B361" s="127" t="s">
        <v>1694</v>
      </c>
      <c r="C361" s="127" t="s">
        <v>1102</v>
      </c>
      <c r="D361" s="127" t="s">
        <v>1693</v>
      </c>
      <c r="E361" s="127" t="s">
        <v>1694</v>
      </c>
      <c r="M361" s="127" t="s">
        <v>1683</v>
      </c>
      <c r="N361" s="127" t="s">
        <v>1720</v>
      </c>
      <c r="O361" s="123">
        <v>44287</v>
      </c>
      <c r="P361" s="123">
        <v>44561</v>
      </c>
      <c r="Q361" s="123">
        <v>44473</v>
      </c>
      <c r="R361" s="123">
        <v>44479</v>
      </c>
      <c r="S361" s="124">
        <v>40</v>
      </c>
      <c r="T361" s="124">
        <v>40</v>
      </c>
      <c r="U361" s="124">
        <v>2.5</v>
      </c>
      <c r="V361" s="125">
        <v>0</v>
      </c>
      <c r="W361" s="124">
        <v>0</v>
      </c>
      <c r="X361" s="126">
        <v>0.5</v>
      </c>
      <c r="Y361" s="126">
        <v>0</v>
      </c>
      <c r="Z361" s="126">
        <v>0</v>
      </c>
      <c r="AC361" s="125">
        <v>0</v>
      </c>
      <c r="AD361" s="124">
        <v>0</v>
      </c>
    </row>
    <row r="362" spans="1:30">
      <c r="A362" s="127" t="s">
        <v>1102</v>
      </c>
      <c r="B362" s="127" t="s">
        <v>1694</v>
      </c>
      <c r="C362" s="127" t="s">
        <v>1102</v>
      </c>
      <c r="D362" s="127" t="s">
        <v>1693</v>
      </c>
      <c r="E362" s="127" t="s">
        <v>1694</v>
      </c>
      <c r="M362" s="127" t="s">
        <v>1683</v>
      </c>
      <c r="N362" s="127" t="s">
        <v>1720</v>
      </c>
      <c r="O362" s="123">
        <v>44287</v>
      </c>
      <c r="P362" s="123">
        <v>44561</v>
      </c>
      <c r="Q362" s="123">
        <v>44480</v>
      </c>
      <c r="R362" s="123">
        <v>44486</v>
      </c>
      <c r="S362" s="124">
        <v>41</v>
      </c>
      <c r="T362" s="124">
        <v>41</v>
      </c>
      <c r="U362" s="124">
        <v>2.5</v>
      </c>
      <c r="V362" s="125">
        <v>0</v>
      </c>
      <c r="W362" s="124">
        <v>0</v>
      </c>
      <c r="X362" s="126">
        <v>0.5</v>
      </c>
      <c r="Y362" s="126">
        <v>0</v>
      </c>
      <c r="Z362" s="126">
        <v>0</v>
      </c>
      <c r="AC362" s="125">
        <v>0</v>
      </c>
      <c r="AD362" s="124">
        <v>0</v>
      </c>
    </row>
    <row r="363" spans="1:30">
      <c r="A363" s="127" t="s">
        <v>1102</v>
      </c>
      <c r="B363" s="127" t="s">
        <v>1694</v>
      </c>
      <c r="C363" s="127" t="s">
        <v>1102</v>
      </c>
      <c r="D363" s="127" t="s">
        <v>1693</v>
      </c>
      <c r="E363" s="127" t="s">
        <v>1694</v>
      </c>
      <c r="M363" s="127" t="s">
        <v>1683</v>
      </c>
      <c r="N363" s="127" t="s">
        <v>1720</v>
      </c>
      <c r="O363" s="123">
        <v>44287</v>
      </c>
      <c r="P363" s="123">
        <v>44561</v>
      </c>
      <c r="Q363" s="123">
        <v>44487</v>
      </c>
      <c r="R363" s="123">
        <v>44493</v>
      </c>
      <c r="S363" s="124">
        <v>42</v>
      </c>
      <c r="T363" s="124">
        <v>42</v>
      </c>
      <c r="U363" s="124">
        <v>2.5</v>
      </c>
      <c r="V363" s="125">
        <v>0</v>
      </c>
      <c r="W363" s="124">
        <v>0</v>
      </c>
      <c r="X363" s="126">
        <v>0.5</v>
      </c>
      <c r="Y363" s="126">
        <v>0</v>
      </c>
      <c r="Z363" s="126">
        <v>0</v>
      </c>
      <c r="AC363" s="125">
        <v>0</v>
      </c>
      <c r="AD363" s="124">
        <v>0</v>
      </c>
    </row>
    <row r="364" spans="1:30">
      <c r="A364" s="127" t="s">
        <v>1102</v>
      </c>
      <c r="B364" s="127" t="s">
        <v>1694</v>
      </c>
      <c r="C364" s="127" t="s">
        <v>1102</v>
      </c>
      <c r="D364" s="127" t="s">
        <v>1693</v>
      </c>
      <c r="E364" s="127" t="s">
        <v>1694</v>
      </c>
      <c r="M364" s="127" t="s">
        <v>1683</v>
      </c>
      <c r="N364" s="127" t="s">
        <v>1720</v>
      </c>
      <c r="O364" s="123">
        <v>44287</v>
      </c>
      <c r="P364" s="123">
        <v>44561</v>
      </c>
      <c r="Q364" s="123">
        <v>44494</v>
      </c>
      <c r="R364" s="123">
        <v>44500</v>
      </c>
      <c r="S364" s="124">
        <v>43</v>
      </c>
      <c r="T364" s="124">
        <v>43</v>
      </c>
      <c r="U364" s="124">
        <v>2.5</v>
      </c>
      <c r="V364" s="125">
        <v>0</v>
      </c>
      <c r="W364" s="124">
        <v>0</v>
      </c>
      <c r="X364" s="126">
        <v>0.5</v>
      </c>
      <c r="Y364" s="126">
        <v>0</v>
      </c>
      <c r="Z364" s="126">
        <v>0</v>
      </c>
      <c r="AC364" s="125">
        <v>0</v>
      </c>
      <c r="AD364" s="124">
        <v>0</v>
      </c>
    </row>
    <row r="365" spans="1:30">
      <c r="A365" s="127" t="s">
        <v>1102</v>
      </c>
      <c r="B365" s="127" t="s">
        <v>1694</v>
      </c>
      <c r="C365" s="127" t="s">
        <v>1102</v>
      </c>
      <c r="D365" s="127" t="s">
        <v>1693</v>
      </c>
      <c r="E365" s="127" t="s">
        <v>1694</v>
      </c>
      <c r="M365" s="127" t="s">
        <v>1683</v>
      </c>
      <c r="N365" s="127" t="s">
        <v>1720</v>
      </c>
      <c r="O365" s="123">
        <v>44287</v>
      </c>
      <c r="P365" s="123">
        <v>44561</v>
      </c>
      <c r="Q365" s="123">
        <v>44501</v>
      </c>
      <c r="R365" s="123">
        <v>44507</v>
      </c>
      <c r="S365" s="124">
        <v>44</v>
      </c>
      <c r="T365" s="124">
        <v>44</v>
      </c>
      <c r="U365" s="124">
        <v>2.5</v>
      </c>
      <c r="V365" s="125">
        <v>0</v>
      </c>
      <c r="W365" s="124">
        <v>0</v>
      </c>
      <c r="X365" s="126">
        <v>0.5</v>
      </c>
      <c r="Y365" s="126">
        <v>0</v>
      </c>
      <c r="Z365" s="126">
        <v>0</v>
      </c>
      <c r="AC365" s="125">
        <v>0</v>
      </c>
      <c r="AD365" s="124">
        <v>0</v>
      </c>
    </row>
    <row r="366" spans="1:30">
      <c r="A366" s="127" t="s">
        <v>1102</v>
      </c>
      <c r="B366" s="127" t="s">
        <v>1694</v>
      </c>
      <c r="C366" s="127" t="s">
        <v>1102</v>
      </c>
      <c r="D366" s="127" t="s">
        <v>1693</v>
      </c>
      <c r="E366" s="127" t="s">
        <v>1694</v>
      </c>
      <c r="M366" s="127" t="s">
        <v>1683</v>
      </c>
      <c r="N366" s="127" t="s">
        <v>1720</v>
      </c>
      <c r="O366" s="123">
        <v>44287</v>
      </c>
      <c r="P366" s="123">
        <v>44561</v>
      </c>
      <c r="Q366" s="123">
        <v>44508</v>
      </c>
      <c r="R366" s="123">
        <v>44514</v>
      </c>
      <c r="S366" s="124">
        <v>45</v>
      </c>
      <c r="T366" s="124">
        <v>45</v>
      </c>
      <c r="U366" s="124">
        <v>2.5</v>
      </c>
      <c r="V366" s="125">
        <v>0</v>
      </c>
      <c r="W366" s="124">
        <v>0</v>
      </c>
      <c r="X366" s="126">
        <v>0.5</v>
      </c>
      <c r="Y366" s="126">
        <v>0</v>
      </c>
      <c r="Z366" s="126">
        <v>0</v>
      </c>
      <c r="AC366" s="125">
        <v>0</v>
      </c>
      <c r="AD366" s="124">
        <v>0</v>
      </c>
    </row>
    <row r="367" spans="1:30">
      <c r="A367" s="127" t="s">
        <v>1102</v>
      </c>
      <c r="B367" s="127" t="s">
        <v>1694</v>
      </c>
      <c r="C367" s="127" t="s">
        <v>1102</v>
      </c>
      <c r="D367" s="127" t="s">
        <v>1693</v>
      </c>
      <c r="E367" s="127" t="s">
        <v>1694</v>
      </c>
      <c r="M367" s="127" t="s">
        <v>1683</v>
      </c>
      <c r="N367" s="127" t="s">
        <v>1720</v>
      </c>
      <c r="O367" s="123">
        <v>44287</v>
      </c>
      <c r="P367" s="123">
        <v>44561</v>
      </c>
      <c r="Q367" s="123">
        <v>44515</v>
      </c>
      <c r="R367" s="123">
        <v>44521</v>
      </c>
      <c r="S367" s="124">
        <v>46</v>
      </c>
      <c r="T367" s="124">
        <v>46</v>
      </c>
      <c r="U367" s="124">
        <v>2.5</v>
      </c>
      <c r="V367" s="125">
        <v>0</v>
      </c>
      <c r="W367" s="124">
        <v>0</v>
      </c>
      <c r="X367" s="126">
        <v>0.5</v>
      </c>
      <c r="Y367" s="126">
        <v>0</v>
      </c>
      <c r="Z367" s="126">
        <v>0</v>
      </c>
      <c r="AC367" s="125">
        <v>0</v>
      </c>
      <c r="AD367" s="124">
        <v>0</v>
      </c>
    </row>
    <row r="368" spans="1:30">
      <c r="A368" s="127" t="s">
        <v>1102</v>
      </c>
      <c r="B368" s="127" t="s">
        <v>1694</v>
      </c>
      <c r="C368" s="127" t="s">
        <v>1102</v>
      </c>
      <c r="D368" s="127" t="s">
        <v>1693</v>
      </c>
      <c r="E368" s="127" t="s">
        <v>1694</v>
      </c>
      <c r="M368" s="127" t="s">
        <v>1683</v>
      </c>
      <c r="N368" s="127" t="s">
        <v>1720</v>
      </c>
      <c r="O368" s="123">
        <v>44287</v>
      </c>
      <c r="P368" s="123">
        <v>44561</v>
      </c>
      <c r="Q368" s="123">
        <v>44522</v>
      </c>
      <c r="R368" s="123">
        <v>44528</v>
      </c>
      <c r="S368" s="124">
        <v>47</v>
      </c>
      <c r="T368" s="124">
        <v>47</v>
      </c>
      <c r="U368" s="124">
        <v>2.5</v>
      </c>
      <c r="V368" s="125">
        <v>0</v>
      </c>
      <c r="W368" s="124">
        <v>0</v>
      </c>
      <c r="X368" s="126">
        <v>0.5</v>
      </c>
      <c r="Y368" s="126">
        <v>0</v>
      </c>
      <c r="Z368" s="126">
        <v>0</v>
      </c>
      <c r="AC368" s="125">
        <v>0</v>
      </c>
      <c r="AD368" s="124">
        <v>0</v>
      </c>
    </row>
    <row r="369" spans="1:30">
      <c r="A369" s="127" t="s">
        <v>1102</v>
      </c>
      <c r="B369" s="127" t="s">
        <v>1694</v>
      </c>
      <c r="C369" s="127" t="s">
        <v>1102</v>
      </c>
      <c r="D369" s="127" t="s">
        <v>1693</v>
      </c>
      <c r="E369" s="127" t="s">
        <v>1694</v>
      </c>
      <c r="M369" s="127" t="s">
        <v>1683</v>
      </c>
      <c r="N369" s="127" t="s">
        <v>1720</v>
      </c>
      <c r="O369" s="123">
        <v>44287</v>
      </c>
      <c r="P369" s="123">
        <v>44561</v>
      </c>
      <c r="Q369" s="123">
        <v>44529</v>
      </c>
      <c r="R369" s="123">
        <v>44535</v>
      </c>
      <c r="S369" s="124">
        <v>48</v>
      </c>
      <c r="T369" s="124">
        <v>48</v>
      </c>
      <c r="U369" s="124">
        <v>2.5</v>
      </c>
      <c r="V369" s="125">
        <v>0</v>
      </c>
      <c r="W369" s="124">
        <v>0</v>
      </c>
      <c r="X369" s="126">
        <v>0.5</v>
      </c>
      <c r="Y369" s="126">
        <v>0</v>
      </c>
      <c r="Z369" s="126">
        <v>0</v>
      </c>
      <c r="AC369" s="125">
        <v>0</v>
      </c>
      <c r="AD369" s="124">
        <v>0</v>
      </c>
    </row>
    <row r="370" spans="1:30">
      <c r="A370" s="127" t="s">
        <v>1102</v>
      </c>
      <c r="B370" s="127" t="s">
        <v>1694</v>
      </c>
      <c r="C370" s="127" t="s">
        <v>1102</v>
      </c>
      <c r="D370" s="127" t="s">
        <v>1693</v>
      </c>
      <c r="E370" s="127" t="s">
        <v>1694</v>
      </c>
      <c r="M370" s="127" t="s">
        <v>1683</v>
      </c>
      <c r="N370" s="127" t="s">
        <v>1720</v>
      </c>
      <c r="O370" s="123">
        <v>44287</v>
      </c>
      <c r="P370" s="123">
        <v>44561</v>
      </c>
      <c r="Q370" s="123">
        <v>44536</v>
      </c>
      <c r="R370" s="123">
        <v>44542</v>
      </c>
      <c r="S370" s="124">
        <v>49</v>
      </c>
      <c r="T370" s="124">
        <v>49</v>
      </c>
      <c r="U370" s="124">
        <v>2.5</v>
      </c>
      <c r="V370" s="125">
        <v>0</v>
      </c>
      <c r="W370" s="124">
        <v>0</v>
      </c>
      <c r="X370" s="126">
        <v>0.5</v>
      </c>
      <c r="Y370" s="126">
        <v>0</v>
      </c>
      <c r="Z370" s="126">
        <v>0</v>
      </c>
      <c r="AC370" s="125">
        <v>0</v>
      </c>
      <c r="AD370" s="124">
        <v>0</v>
      </c>
    </row>
    <row r="371" spans="1:30">
      <c r="A371" s="127" t="s">
        <v>1102</v>
      </c>
      <c r="B371" s="127" t="s">
        <v>1694</v>
      </c>
      <c r="C371" s="127" t="s">
        <v>1102</v>
      </c>
      <c r="D371" s="127" t="s">
        <v>1693</v>
      </c>
      <c r="E371" s="127" t="s">
        <v>1694</v>
      </c>
      <c r="M371" s="127" t="s">
        <v>1683</v>
      </c>
      <c r="N371" s="127" t="s">
        <v>1720</v>
      </c>
      <c r="O371" s="123">
        <v>44287</v>
      </c>
      <c r="P371" s="123">
        <v>44561</v>
      </c>
      <c r="Q371" s="123">
        <v>44543</v>
      </c>
      <c r="R371" s="123">
        <v>44549</v>
      </c>
      <c r="S371" s="124">
        <v>50</v>
      </c>
      <c r="T371" s="124">
        <v>50</v>
      </c>
      <c r="U371" s="124">
        <v>2.5</v>
      </c>
      <c r="V371" s="125">
        <v>0</v>
      </c>
      <c r="W371" s="124">
        <v>0</v>
      </c>
      <c r="X371" s="126">
        <v>0.5</v>
      </c>
      <c r="Y371" s="126">
        <v>0</v>
      </c>
      <c r="Z371" s="126">
        <v>0</v>
      </c>
      <c r="AC371" s="125">
        <v>0</v>
      </c>
      <c r="AD371" s="124">
        <v>0</v>
      </c>
    </row>
    <row r="372" spans="1:30">
      <c r="A372" s="127" t="s">
        <v>1102</v>
      </c>
      <c r="B372" s="127" t="s">
        <v>1694</v>
      </c>
      <c r="C372" s="127" t="s">
        <v>1102</v>
      </c>
      <c r="D372" s="127" t="s">
        <v>1693</v>
      </c>
      <c r="E372" s="127" t="s">
        <v>1694</v>
      </c>
      <c r="M372" s="127" t="s">
        <v>1683</v>
      </c>
      <c r="N372" s="127" t="s">
        <v>1720</v>
      </c>
      <c r="O372" s="123">
        <v>44287</v>
      </c>
      <c r="P372" s="123">
        <v>44561</v>
      </c>
      <c r="Q372" s="123">
        <v>44550</v>
      </c>
      <c r="R372" s="123">
        <v>44556</v>
      </c>
      <c r="S372" s="124">
        <v>51</v>
      </c>
      <c r="T372" s="124">
        <v>51</v>
      </c>
      <c r="U372" s="124">
        <v>2.5</v>
      </c>
      <c r="V372" s="125">
        <v>0</v>
      </c>
      <c r="W372" s="124">
        <v>0</v>
      </c>
      <c r="X372" s="126">
        <v>0.5</v>
      </c>
      <c r="Y372" s="126">
        <v>0</v>
      </c>
      <c r="Z372" s="126">
        <v>0</v>
      </c>
      <c r="AC372" s="125">
        <v>0</v>
      </c>
      <c r="AD372" s="124">
        <v>0</v>
      </c>
    </row>
    <row r="373" spans="1:30">
      <c r="A373" s="127" t="s">
        <v>1102</v>
      </c>
      <c r="B373" s="127" t="s">
        <v>1694</v>
      </c>
      <c r="C373" s="127" t="s">
        <v>1102</v>
      </c>
      <c r="D373" s="127" t="s">
        <v>1693</v>
      </c>
      <c r="E373" s="127" t="s">
        <v>1694</v>
      </c>
      <c r="M373" s="127" t="s">
        <v>1683</v>
      </c>
      <c r="N373" s="127" t="s">
        <v>1720</v>
      </c>
      <c r="O373" s="123">
        <v>44287</v>
      </c>
      <c r="P373" s="123">
        <v>44561</v>
      </c>
      <c r="Q373" s="123">
        <v>44557</v>
      </c>
      <c r="R373" s="123">
        <v>44563</v>
      </c>
      <c r="S373" s="124">
        <v>52</v>
      </c>
      <c r="T373" s="124">
        <v>52</v>
      </c>
      <c r="U373" s="124">
        <v>2.5</v>
      </c>
      <c r="V373" s="125">
        <v>0</v>
      </c>
      <c r="W373" s="124">
        <v>0</v>
      </c>
      <c r="X373" s="126">
        <v>0.5</v>
      </c>
      <c r="Y373" s="126">
        <v>0</v>
      </c>
      <c r="Z373" s="126">
        <v>0</v>
      </c>
      <c r="AC373" s="125">
        <v>0</v>
      </c>
      <c r="AD373" s="124">
        <v>0</v>
      </c>
    </row>
    <row r="374" spans="1:30">
      <c r="A374" s="127" t="s">
        <v>1102</v>
      </c>
      <c r="B374" s="127" t="s">
        <v>1695</v>
      </c>
      <c r="C374" s="127" t="s">
        <v>1102</v>
      </c>
      <c r="D374" s="127" t="s">
        <v>1693</v>
      </c>
      <c r="E374" s="127" t="s">
        <v>1695</v>
      </c>
      <c r="M374" s="127" t="s">
        <v>1253</v>
      </c>
      <c r="N374" s="127" t="s">
        <v>1406</v>
      </c>
      <c r="O374" s="123">
        <v>44378</v>
      </c>
      <c r="P374" s="123">
        <v>44530</v>
      </c>
      <c r="Q374" s="123">
        <v>44375</v>
      </c>
      <c r="R374" s="123">
        <v>44381</v>
      </c>
      <c r="S374" s="124">
        <v>26</v>
      </c>
      <c r="T374" s="124">
        <v>26</v>
      </c>
      <c r="U374" s="124">
        <v>2</v>
      </c>
      <c r="V374" s="125">
        <v>0</v>
      </c>
      <c r="W374" s="124">
        <v>0</v>
      </c>
      <c r="X374" s="126">
        <v>1</v>
      </c>
      <c r="Y374" s="126">
        <v>0</v>
      </c>
      <c r="Z374" s="126">
        <v>0</v>
      </c>
      <c r="AC374" s="125">
        <v>0</v>
      </c>
      <c r="AD374" s="124">
        <v>0</v>
      </c>
    </row>
    <row r="375" spans="1:30">
      <c r="A375" s="127" t="s">
        <v>1102</v>
      </c>
      <c r="B375" s="127" t="s">
        <v>1695</v>
      </c>
      <c r="C375" s="127" t="s">
        <v>1102</v>
      </c>
      <c r="D375" s="127" t="s">
        <v>1693</v>
      </c>
      <c r="E375" s="127" t="s">
        <v>1695</v>
      </c>
      <c r="M375" s="127" t="s">
        <v>1253</v>
      </c>
      <c r="N375" s="127" t="s">
        <v>1406</v>
      </c>
      <c r="O375" s="123">
        <v>44378</v>
      </c>
      <c r="P375" s="123">
        <v>44530</v>
      </c>
      <c r="Q375" s="123">
        <v>44382</v>
      </c>
      <c r="R375" s="123">
        <v>44388</v>
      </c>
      <c r="S375" s="124">
        <v>27</v>
      </c>
      <c r="T375" s="124">
        <v>27</v>
      </c>
      <c r="U375" s="124">
        <v>5</v>
      </c>
      <c r="V375" s="125">
        <v>0</v>
      </c>
      <c r="W375" s="124">
        <v>0</v>
      </c>
      <c r="X375" s="126">
        <v>1</v>
      </c>
      <c r="Y375" s="126">
        <v>0</v>
      </c>
      <c r="Z375" s="126">
        <v>0</v>
      </c>
      <c r="AC375" s="125">
        <v>0</v>
      </c>
      <c r="AD375" s="124">
        <v>0</v>
      </c>
    </row>
    <row r="376" spans="1:30">
      <c r="A376" s="127" t="s">
        <v>1102</v>
      </c>
      <c r="B376" s="127" t="s">
        <v>1695</v>
      </c>
      <c r="C376" s="127" t="s">
        <v>1102</v>
      </c>
      <c r="D376" s="127" t="s">
        <v>1693</v>
      </c>
      <c r="E376" s="127" t="s">
        <v>1695</v>
      </c>
      <c r="M376" s="127" t="s">
        <v>1253</v>
      </c>
      <c r="N376" s="127" t="s">
        <v>1406</v>
      </c>
      <c r="O376" s="123">
        <v>44378</v>
      </c>
      <c r="P376" s="123">
        <v>44530</v>
      </c>
      <c r="Q376" s="123">
        <v>44389</v>
      </c>
      <c r="R376" s="123">
        <v>44395</v>
      </c>
      <c r="S376" s="124">
        <v>28</v>
      </c>
      <c r="T376" s="124">
        <v>28</v>
      </c>
      <c r="U376" s="124">
        <v>5</v>
      </c>
      <c r="V376" s="125">
        <v>0</v>
      </c>
      <c r="W376" s="124">
        <v>0</v>
      </c>
      <c r="X376" s="126">
        <v>1</v>
      </c>
      <c r="Y376" s="126">
        <v>0</v>
      </c>
      <c r="Z376" s="126">
        <v>0</v>
      </c>
      <c r="AC376" s="125">
        <v>0</v>
      </c>
      <c r="AD376" s="124">
        <v>0</v>
      </c>
    </row>
    <row r="377" spans="1:30">
      <c r="A377" s="127" t="s">
        <v>1102</v>
      </c>
      <c r="B377" s="127" t="s">
        <v>1695</v>
      </c>
      <c r="C377" s="127" t="s">
        <v>1102</v>
      </c>
      <c r="D377" s="127" t="s">
        <v>1693</v>
      </c>
      <c r="E377" s="127" t="s">
        <v>1695</v>
      </c>
      <c r="M377" s="127" t="s">
        <v>1253</v>
      </c>
      <c r="N377" s="127" t="s">
        <v>1406</v>
      </c>
      <c r="O377" s="123">
        <v>44378</v>
      </c>
      <c r="P377" s="123">
        <v>44530</v>
      </c>
      <c r="Q377" s="123">
        <v>44396</v>
      </c>
      <c r="R377" s="123">
        <v>44402</v>
      </c>
      <c r="S377" s="124">
        <v>29</v>
      </c>
      <c r="T377" s="124">
        <v>29</v>
      </c>
      <c r="U377" s="124">
        <v>5</v>
      </c>
      <c r="V377" s="125">
        <v>0</v>
      </c>
      <c r="W377" s="124">
        <v>0</v>
      </c>
      <c r="X377" s="126">
        <v>1</v>
      </c>
      <c r="Y377" s="126">
        <v>0</v>
      </c>
      <c r="Z377" s="126">
        <v>0</v>
      </c>
      <c r="AC377" s="125">
        <v>0</v>
      </c>
      <c r="AD377" s="124">
        <v>0</v>
      </c>
    </row>
    <row r="378" spans="1:30">
      <c r="A378" s="127" t="s">
        <v>1102</v>
      </c>
      <c r="B378" s="127" t="s">
        <v>1695</v>
      </c>
      <c r="C378" s="127" t="s">
        <v>1102</v>
      </c>
      <c r="D378" s="127" t="s">
        <v>1693</v>
      </c>
      <c r="E378" s="127" t="s">
        <v>1695</v>
      </c>
      <c r="M378" s="127" t="s">
        <v>1253</v>
      </c>
      <c r="N378" s="127" t="s">
        <v>1406</v>
      </c>
      <c r="O378" s="123">
        <v>44378</v>
      </c>
      <c r="P378" s="123">
        <v>44530</v>
      </c>
      <c r="Q378" s="123">
        <v>44403</v>
      </c>
      <c r="R378" s="123">
        <v>44409</v>
      </c>
      <c r="S378" s="124">
        <v>30</v>
      </c>
      <c r="T378" s="124">
        <v>30</v>
      </c>
      <c r="U378" s="124">
        <v>5</v>
      </c>
      <c r="V378" s="125">
        <v>0</v>
      </c>
      <c r="W378" s="124">
        <v>0</v>
      </c>
      <c r="X378" s="126">
        <v>1</v>
      </c>
      <c r="Y378" s="126">
        <v>0</v>
      </c>
      <c r="Z378" s="126">
        <v>0</v>
      </c>
      <c r="AC378" s="125">
        <v>0</v>
      </c>
      <c r="AD378" s="124">
        <v>0</v>
      </c>
    </row>
    <row r="379" spans="1:30">
      <c r="A379" s="127" t="s">
        <v>1102</v>
      </c>
      <c r="B379" s="127" t="s">
        <v>1695</v>
      </c>
      <c r="C379" s="127" t="s">
        <v>1102</v>
      </c>
      <c r="D379" s="127" t="s">
        <v>1693</v>
      </c>
      <c r="E379" s="127" t="s">
        <v>1695</v>
      </c>
      <c r="M379" s="127" t="s">
        <v>1253</v>
      </c>
      <c r="N379" s="127" t="s">
        <v>1406</v>
      </c>
      <c r="O379" s="123">
        <v>44378</v>
      </c>
      <c r="P379" s="123">
        <v>44530</v>
      </c>
      <c r="Q379" s="123">
        <v>44410</v>
      </c>
      <c r="R379" s="123">
        <v>44416</v>
      </c>
      <c r="S379" s="124">
        <v>31</v>
      </c>
      <c r="T379" s="124">
        <v>31</v>
      </c>
      <c r="U379" s="124">
        <v>5</v>
      </c>
      <c r="V379" s="125">
        <v>0</v>
      </c>
      <c r="W379" s="124">
        <v>0</v>
      </c>
      <c r="X379" s="126">
        <v>1</v>
      </c>
      <c r="Y379" s="126">
        <v>0</v>
      </c>
      <c r="Z379" s="126">
        <v>0</v>
      </c>
      <c r="AC379" s="125">
        <v>0</v>
      </c>
      <c r="AD379" s="124">
        <v>0</v>
      </c>
    </row>
    <row r="380" spans="1:30">
      <c r="A380" s="127" t="s">
        <v>1102</v>
      </c>
      <c r="B380" s="127" t="s">
        <v>1695</v>
      </c>
      <c r="C380" s="127" t="s">
        <v>1102</v>
      </c>
      <c r="D380" s="127" t="s">
        <v>1693</v>
      </c>
      <c r="E380" s="127" t="s">
        <v>1695</v>
      </c>
      <c r="M380" s="127" t="s">
        <v>1253</v>
      </c>
      <c r="N380" s="127" t="s">
        <v>1406</v>
      </c>
      <c r="O380" s="123">
        <v>44378</v>
      </c>
      <c r="P380" s="123">
        <v>44530</v>
      </c>
      <c r="Q380" s="123">
        <v>44417</v>
      </c>
      <c r="R380" s="123">
        <v>44423</v>
      </c>
      <c r="S380" s="124">
        <v>32</v>
      </c>
      <c r="T380" s="124">
        <v>32</v>
      </c>
      <c r="U380" s="124">
        <v>5</v>
      </c>
      <c r="V380" s="125">
        <v>0</v>
      </c>
      <c r="W380" s="124">
        <v>0</v>
      </c>
      <c r="X380" s="126">
        <v>1</v>
      </c>
      <c r="Y380" s="126">
        <v>0</v>
      </c>
      <c r="Z380" s="126">
        <v>0</v>
      </c>
      <c r="AC380" s="125">
        <v>0</v>
      </c>
      <c r="AD380" s="124">
        <v>0</v>
      </c>
    </row>
    <row r="381" spans="1:30">
      <c r="A381" s="127" t="s">
        <v>1102</v>
      </c>
      <c r="B381" s="127" t="s">
        <v>1695</v>
      </c>
      <c r="C381" s="127" t="s">
        <v>1102</v>
      </c>
      <c r="D381" s="127" t="s">
        <v>1693</v>
      </c>
      <c r="E381" s="127" t="s">
        <v>1695</v>
      </c>
      <c r="M381" s="127" t="s">
        <v>1253</v>
      </c>
      <c r="N381" s="127" t="s">
        <v>1406</v>
      </c>
      <c r="O381" s="123">
        <v>44378</v>
      </c>
      <c r="P381" s="123">
        <v>44530</v>
      </c>
      <c r="Q381" s="123">
        <v>44424</v>
      </c>
      <c r="R381" s="123">
        <v>44430</v>
      </c>
      <c r="S381" s="124">
        <v>33</v>
      </c>
      <c r="T381" s="124">
        <v>33</v>
      </c>
      <c r="U381" s="124">
        <v>5</v>
      </c>
      <c r="V381" s="125">
        <v>0</v>
      </c>
      <c r="W381" s="124">
        <v>0</v>
      </c>
      <c r="X381" s="126">
        <v>1</v>
      </c>
      <c r="Y381" s="126">
        <v>0</v>
      </c>
      <c r="Z381" s="126">
        <v>0</v>
      </c>
      <c r="AC381" s="125">
        <v>0</v>
      </c>
      <c r="AD381" s="124">
        <v>0</v>
      </c>
    </row>
    <row r="382" spans="1:30">
      <c r="A382" s="127" t="s">
        <v>1102</v>
      </c>
      <c r="B382" s="127" t="s">
        <v>1695</v>
      </c>
      <c r="C382" s="127" t="s">
        <v>1102</v>
      </c>
      <c r="D382" s="127" t="s">
        <v>1693</v>
      </c>
      <c r="E382" s="127" t="s">
        <v>1695</v>
      </c>
      <c r="M382" s="127" t="s">
        <v>1253</v>
      </c>
      <c r="N382" s="127" t="s">
        <v>1406</v>
      </c>
      <c r="O382" s="123">
        <v>44378</v>
      </c>
      <c r="P382" s="123">
        <v>44530</v>
      </c>
      <c r="Q382" s="123">
        <v>44431</v>
      </c>
      <c r="R382" s="123">
        <v>44437</v>
      </c>
      <c r="S382" s="124">
        <v>34</v>
      </c>
      <c r="T382" s="124">
        <v>34</v>
      </c>
      <c r="U382" s="124">
        <v>5</v>
      </c>
      <c r="V382" s="125">
        <v>0</v>
      </c>
      <c r="W382" s="124">
        <v>0</v>
      </c>
      <c r="X382" s="126">
        <v>1</v>
      </c>
      <c r="Y382" s="126">
        <v>0</v>
      </c>
      <c r="Z382" s="126">
        <v>0</v>
      </c>
      <c r="AC382" s="125">
        <v>0</v>
      </c>
      <c r="AD382" s="124">
        <v>0</v>
      </c>
    </row>
    <row r="383" spans="1:30">
      <c r="A383" s="127" t="s">
        <v>1102</v>
      </c>
      <c r="B383" s="127" t="s">
        <v>1695</v>
      </c>
      <c r="C383" s="127" t="s">
        <v>1102</v>
      </c>
      <c r="D383" s="127" t="s">
        <v>1693</v>
      </c>
      <c r="E383" s="127" t="s">
        <v>1695</v>
      </c>
      <c r="M383" s="127" t="s">
        <v>1253</v>
      </c>
      <c r="N383" s="127" t="s">
        <v>1406</v>
      </c>
      <c r="O383" s="123">
        <v>44378</v>
      </c>
      <c r="P383" s="123">
        <v>44530</v>
      </c>
      <c r="Q383" s="123">
        <v>44438</v>
      </c>
      <c r="R383" s="123">
        <v>44444</v>
      </c>
      <c r="S383" s="124">
        <v>35</v>
      </c>
      <c r="T383" s="124">
        <v>35</v>
      </c>
      <c r="U383" s="124">
        <v>5</v>
      </c>
      <c r="V383" s="125">
        <v>0</v>
      </c>
      <c r="W383" s="124">
        <v>0</v>
      </c>
      <c r="X383" s="126">
        <v>1</v>
      </c>
      <c r="Y383" s="126">
        <v>0</v>
      </c>
      <c r="Z383" s="126">
        <v>0</v>
      </c>
      <c r="AC383" s="125">
        <v>0</v>
      </c>
      <c r="AD383" s="124">
        <v>0</v>
      </c>
    </row>
    <row r="384" spans="1:30">
      <c r="A384" s="127" t="s">
        <v>1102</v>
      </c>
      <c r="B384" s="127" t="s">
        <v>1695</v>
      </c>
      <c r="C384" s="127" t="s">
        <v>1102</v>
      </c>
      <c r="D384" s="127" t="s">
        <v>1693</v>
      </c>
      <c r="E384" s="127" t="s">
        <v>1695</v>
      </c>
      <c r="M384" s="127" t="s">
        <v>1253</v>
      </c>
      <c r="N384" s="127" t="s">
        <v>1406</v>
      </c>
      <c r="O384" s="123">
        <v>44378</v>
      </c>
      <c r="P384" s="123">
        <v>44530</v>
      </c>
      <c r="Q384" s="123">
        <v>44445</v>
      </c>
      <c r="R384" s="123">
        <v>44451</v>
      </c>
      <c r="S384" s="124">
        <v>36</v>
      </c>
      <c r="T384" s="124">
        <v>36</v>
      </c>
      <c r="U384" s="124">
        <v>5</v>
      </c>
      <c r="V384" s="125">
        <v>0</v>
      </c>
      <c r="W384" s="124">
        <v>0</v>
      </c>
      <c r="X384" s="126">
        <v>1</v>
      </c>
      <c r="Y384" s="126">
        <v>0</v>
      </c>
      <c r="Z384" s="126">
        <v>0</v>
      </c>
      <c r="AC384" s="125">
        <v>0</v>
      </c>
      <c r="AD384" s="124">
        <v>0</v>
      </c>
    </row>
    <row r="385" spans="1:30">
      <c r="A385" s="127" t="s">
        <v>1102</v>
      </c>
      <c r="B385" s="127" t="s">
        <v>1695</v>
      </c>
      <c r="C385" s="127" t="s">
        <v>1102</v>
      </c>
      <c r="D385" s="127" t="s">
        <v>1693</v>
      </c>
      <c r="E385" s="127" t="s">
        <v>1695</v>
      </c>
      <c r="M385" s="127" t="s">
        <v>1253</v>
      </c>
      <c r="N385" s="127" t="s">
        <v>1406</v>
      </c>
      <c r="O385" s="123">
        <v>44378</v>
      </c>
      <c r="P385" s="123">
        <v>44530</v>
      </c>
      <c r="Q385" s="123">
        <v>44452</v>
      </c>
      <c r="R385" s="123">
        <v>44458</v>
      </c>
      <c r="S385" s="124">
        <v>37</v>
      </c>
      <c r="T385" s="124">
        <v>37</v>
      </c>
      <c r="U385" s="124">
        <v>5</v>
      </c>
      <c r="V385" s="125">
        <v>0</v>
      </c>
      <c r="W385" s="124">
        <v>0</v>
      </c>
      <c r="X385" s="126">
        <v>1</v>
      </c>
      <c r="Y385" s="126">
        <v>0</v>
      </c>
      <c r="Z385" s="126">
        <v>0</v>
      </c>
      <c r="AC385" s="125">
        <v>0</v>
      </c>
      <c r="AD385" s="124">
        <v>0</v>
      </c>
    </row>
    <row r="386" spans="1:30">
      <c r="A386" s="127" t="s">
        <v>1102</v>
      </c>
      <c r="B386" s="127" t="s">
        <v>1695</v>
      </c>
      <c r="C386" s="127" t="s">
        <v>1102</v>
      </c>
      <c r="D386" s="127" t="s">
        <v>1693</v>
      </c>
      <c r="E386" s="127" t="s">
        <v>1695</v>
      </c>
      <c r="M386" s="127" t="s">
        <v>1253</v>
      </c>
      <c r="N386" s="127" t="s">
        <v>1406</v>
      </c>
      <c r="O386" s="123">
        <v>44378</v>
      </c>
      <c r="P386" s="123">
        <v>44530</v>
      </c>
      <c r="Q386" s="123">
        <v>44459</v>
      </c>
      <c r="R386" s="123">
        <v>44465</v>
      </c>
      <c r="S386" s="124">
        <v>38</v>
      </c>
      <c r="T386" s="124">
        <v>38</v>
      </c>
      <c r="U386" s="124">
        <v>2</v>
      </c>
      <c r="V386" s="125">
        <v>0</v>
      </c>
      <c r="W386" s="124">
        <v>0</v>
      </c>
      <c r="X386" s="126">
        <v>1</v>
      </c>
      <c r="Y386" s="126">
        <v>0</v>
      </c>
      <c r="Z386" s="126">
        <v>0</v>
      </c>
      <c r="AC386" s="125">
        <v>0</v>
      </c>
      <c r="AD386" s="124">
        <v>0</v>
      </c>
    </row>
    <row r="387" spans="1:30">
      <c r="A387" s="127" t="s">
        <v>1102</v>
      </c>
      <c r="B387" s="127" t="s">
        <v>1695</v>
      </c>
      <c r="C387" s="127" t="s">
        <v>1102</v>
      </c>
      <c r="D387" s="127" t="s">
        <v>1693</v>
      </c>
      <c r="E387" s="127" t="s">
        <v>1695</v>
      </c>
      <c r="M387" s="127" t="s">
        <v>1253</v>
      </c>
      <c r="N387" s="127" t="s">
        <v>1406</v>
      </c>
      <c r="O387" s="123">
        <v>44378</v>
      </c>
      <c r="P387" s="123">
        <v>44530</v>
      </c>
      <c r="Q387" s="123">
        <v>44466</v>
      </c>
      <c r="R387" s="123">
        <v>44472</v>
      </c>
      <c r="S387" s="124">
        <v>39</v>
      </c>
      <c r="T387" s="124">
        <v>39</v>
      </c>
      <c r="U387" s="124">
        <v>5</v>
      </c>
      <c r="V387" s="125">
        <v>0</v>
      </c>
      <c r="W387" s="124">
        <v>0</v>
      </c>
      <c r="X387" s="126">
        <v>1</v>
      </c>
      <c r="Y387" s="126">
        <v>0</v>
      </c>
      <c r="Z387" s="126">
        <v>0</v>
      </c>
      <c r="AC387" s="125">
        <v>0</v>
      </c>
      <c r="AD387" s="124">
        <v>0</v>
      </c>
    </row>
    <row r="388" spans="1:30">
      <c r="A388" s="127" t="s">
        <v>1102</v>
      </c>
      <c r="B388" s="127" t="s">
        <v>1695</v>
      </c>
      <c r="C388" s="127" t="s">
        <v>1102</v>
      </c>
      <c r="D388" s="127" t="s">
        <v>1693</v>
      </c>
      <c r="E388" s="127" t="s">
        <v>1695</v>
      </c>
      <c r="M388" s="127" t="s">
        <v>1253</v>
      </c>
      <c r="N388" s="127" t="s">
        <v>1406</v>
      </c>
      <c r="O388" s="123">
        <v>44378</v>
      </c>
      <c r="P388" s="123">
        <v>44530</v>
      </c>
      <c r="Q388" s="123">
        <v>44473</v>
      </c>
      <c r="R388" s="123">
        <v>44479</v>
      </c>
      <c r="S388" s="124">
        <v>40</v>
      </c>
      <c r="T388" s="124">
        <v>40</v>
      </c>
      <c r="U388" s="124">
        <v>5</v>
      </c>
      <c r="V388" s="125">
        <v>0</v>
      </c>
      <c r="W388" s="124">
        <v>0</v>
      </c>
      <c r="X388" s="126">
        <v>1</v>
      </c>
      <c r="Y388" s="126">
        <v>0</v>
      </c>
      <c r="Z388" s="126">
        <v>0</v>
      </c>
      <c r="AC388" s="125">
        <v>0</v>
      </c>
      <c r="AD388" s="124">
        <v>0</v>
      </c>
    </row>
    <row r="389" spans="1:30">
      <c r="A389" s="127" t="s">
        <v>1102</v>
      </c>
      <c r="B389" s="127" t="s">
        <v>1695</v>
      </c>
      <c r="C389" s="127" t="s">
        <v>1102</v>
      </c>
      <c r="D389" s="127" t="s">
        <v>1693</v>
      </c>
      <c r="E389" s="127" t="s">
        <v>1695</v>
      </c>
      <c r="M389" s="127" t="s">
        <v>1253</v>
      </c>
      <c r="N389" s="127" t="s">
        <v>1406</v>
      </c>
      <c r="O389" s="123">
        <v>44378</v>
      </c>
      <c r="P389" s="123">
        <v>44530</v>
      </c>
      <c r="Q389" s="123">
        <v>44480</v>
      </c>
      <c r="R389" s="123">
        <v>44486</v>
      </c>
      <c r="S389" s="124">
        <v>41</v>
      </c>
      <c r="T389" s="124">
        <v>41</v>
      </c>
      <c r="U389" s="124">
        <v>5</v>
      </c>
      <c r="V389" s="125">
        <v>0</v>
      </c>
      <c r="W389" s="124">
        <v>0</v>
      </c>
      <c r="X389" s="126">
        <v>1</v>
      </c>
      <c r="Y389" s="126">
        <v>0</v>
      </c>
      <c r="Z389" s="126">
        <v>0</v>
      </c>
      <c r="AC389" s="125">
        <v>0</v>
      </c>
      <c r="AD389" s="124">
        <v>0</v>
      </c>
    </row>
    <row r="390" spans="1:30">
      <c r="A390" s="127" t="s">
        <v>1102</v>
      </c>
      <c r="B390" s="127" t="s">
        <v>1695</v>
      </c>
      <c r="C390" s="127" t="s">
        <v>1102</v>
      </c>
      <c r="D390" s="127" t="s">
        <v>1693</v>
      </c>
      <c r="E390" s="127" t="s">
        <v>1695</v>
      </c>
      <c r="M390" s="127" t="s">
        <v>1253</v>
      </c>
      <c r="N390" s="127" t="s">
        <v>1406</v>
      </c>
      <c r="O390" s="123">
        <v>44378</v>
      </c>
      <c r="P390" s="123">
        <v>44530</v>
      </c>
      <c r="Q390" s="123">
        <v>44487</v>
      </c>
      <c r="R390" s="123">
        <v>44493</v>
      </c>
      <c r="S390" s="124">
        <v>42</v>
      </c>
      <c r="T390" s="124">
        <v>42</v>
      </c>
      <c r="U390" s="124">
        <v>5</v>
      </c>
      <c r="V390" s="125">
        <v>0</v>
      </c>
      <c r="W390" s="124">
        <v>0</v>
      </c>
      <c r="X390" s="126">
        <v>1</v>
      </c>
      <c r="Y390" s="126">
        <v>0</v>
      </c>
      <c r="Z390" s="126">
        <v>0</v>
      </c>
      <c r="AC390" s="125">
        <v>0</v>
      </c>
      <c r="AD390" s="124">
        <v>0</v>
      </c>
    </row>
    <row r="391" spans="1:30">
      <c r="A391" s="127" t="s">
        <v>1102</v>
      </c>
      <c r="B391" s="127" t="s">
        <v>1695</v>
      </c>
      <c r="C391" s="127" t="s">
        <v>1102</v>
      </c>
      <c r="D391" s="127" t="s">
        <v>1693</v>
      </c>
      <c r="E391" s="127" t="s">
        <v>1695</v>
      </c>
      <c r="M391" s="127" t="s">
        <v>1253</v>
      </c>
      <c r="N391" s="127" t="s">
        <v>1406</v>
      </c>
      <c r="O391" s="123">
        <v>44378</v>
      </c>
      <c r="P391" s="123">
        <v>44530</v>
      </c>
      <c r="Q391" s="123">
        <v>44494</v>
      </c>
      <c r="R391" s="123">
        <v>44500</v>
      </c>
      <c r="S391" s="124">
        <v>43</v>
      </c>
      <c r="T391" s="124">
        <v>43</v>
      </c>
      <c r="U391" s="124">
        <v>5</v>
      </c>
      <c r="V391" s="125">
        <v>0</v>
      </c>
      <c r="W391" s="124">
        <v>0</v>
      </c>
      <c r="X391" s="126">
        <v>1</v>
      </c>
      <c r="Y391" s="126">
        <v>0</v>
      </c>
      <c r="Z391" s="126">
        <v>0</v>
      </c>
      <c r="AC391" s="125">
        <v>0</v>
      </c>
      <c r="AD391" s="124">
        <v>0</v>
      </c>
    </row>
    <row r="392" spans="1:30">
      <c r="A392" s="127" t="s">
        <v>1102</v>
      </c>
      <c r="B392" s="127" t="s">
        <v>1695</v>
      </c>
      <c r="C392" s="127" t="s">
        <v>1102</v>
      </c>
      <c r="D392" s="127" t="s">
        <v>1693</v>
      </c>
      <c r="E392" s="127" t="s">
        <v>1695</v>
      </c>
      <c r="M392" s="127" t="s">
        <v>1253</v>
      </c>
      <c r="N392" s="127" t="s">
        <v>1406</v>
      </c>
      <c r="O392" s="123">
        <v>44378</v>
      </c>
      <c r="P392" s="123">
        <v>44530</v>
      </c>
      <c r="Q392" s="123">
        <v>44501</v>
      </c>
      <c r="R392" s="123">
        <v>44507</v>
      </c>
      <c r="S392" s="124">
        <v>44</v>
      </c>
      <c r="T392" s="124">
        <v>44</v>
      </c>
      <c r="U392" s="124">
        <v>5</v>
      </c>
      <c r="V392" s="125">
        <v>0</v>
      </c>
      <c r="W392" s="124">
        <v>0</v>
      </c>
      <c r="X392" s="126">
        <v>1</v>
      </c>
      <c r="Y392" s="126">
        <v>0</v>
      </c>
      <c r="Z392" s="126">
        <v>0</v>
      </c>
      <c r="AC392" s="125">
        <v>0</v>
      </c>
      <c r="AD392" s="124">
        <v>0</v>
      </c>
    </row>
    <row r="393" spans="1:30">
      <c r="A393" s="127" t="s">
        <v>1102</v>
      </c>
      <c r="B393" s="127" t="s">
        <v>1695</v>
      </c>
      <c r="C393" s="127" t="s">
        <v>1102</v>
      </c>
      <c r="D393" s="127" t="s">
        <v>1693</v>
      </c>
      <c r="E393" s="127" t="s">
        <v>1695</v>
      </c>
      <c r="M393" s="127" t="s">
        <v>1253</v>
      </c>
      <c r="N393" s="127" t="s">
        <v>1406</v>
      </c>
      <c r="O393" s="123">
        <v>44378</v>
      </c>
      <c r="P393" s="123">
        <v>44530</v>
      </c>
      <c r="Q393" s="123">
        <v>44508</v>
      </c>
      <c r="R393" s="123">
        <v>44514</v>
      </c>
      <c r="S393" s="124">
        <v>45</v>
      </c>
      <c r="T393" s="124">
        <v>45</v>
      </c>
      <c r="U393" s="124">
        <v>5</v>
      </c>
      <c r="V393" s="125">
        <v>0</v>
      </c>
      <c r="W393" s="124">
        <v>0</v>
      </c>
      <c r="X393" s="126">
        <v>1</v>
      </c>
      <c r="Y393" s="126">
        <v>0</v>
      </c>
      <c r="Z393" s="126">
        <v>0</v>
      </c>
      <c r="AC393" s="125">
        <v>0</v>
      </c>
      <c r="AD393" s="124">
        <v>0</v>
      </c>
    </row>
    <row r="394" spans="1:30">
      <c r="A394" s="127" t="s">
        <v>1102</v>
      </c>
      <c r="B394" s="127" t="s">
        <v>1695</v>
      </c>
      <c r="C394" s="127" t="s">
        <v>1102</v>
      </c>
      <c r="D394" s="127" t="s">
        <v>1693</v>
      </c>
      <c r="E394" s="127" t="s">
        <v>1695</v>
      </c>
      <c r="M394" s="127" t="s">
        <v>1253</v>
      </c>
      <c r="N394" s="127" t="s">
        <v>1406</v>
      </c>
      <c r="O394" s="123">
        <v>44378</v>
      </c>
      <c r="P394" s="123">
        <v>44530</v>
      </c>
      <c r="Q394" s="123">
        <v>44515</v>
      </c>
      <c r="R394" s="123">
        <v>44521</v>
      </c>
      <c r="S394" s="124">
        <v>46</v>
      </c>
      <c r="T394" s="124">
        <v>46</v>
      </c>
      <c r="U394" s="124">
        <v>5</v>
      </c>
      <c r="V394" s="125">
        <v>0</v>
      </c>
      <c r="W394" s="124">
        <v>0</v>
      </c>
      <c r="X394" s="126">
        <v>1</v>
      </c>
      <c r="Y394" s="126">
        <v>0</v>
      </c>
      <c r="Z394" s="126">
        <v>0</v>
      </c>
      <c r="AC394" s="125">
        <v>0</v>
      </c>
      <c r="AD394" s="124">
        <v>0</v>
      </c>
    </row>
    <row r="395" spans="1:30">
      <c r="A395" s="127" t="s">
        <v>1102</v>
      </c>
      <c r="B395" s="127" t="s">
        <v>1695</v>
      </c>
      <c r="C395" s="127" t="s">
        <v>1102</v>
      </c>
      <c r="D395" s="127" t="s">
        <v>1693</v>
      </c>
      <c r="E395" s="127" t="s">
        <v>1695</v>
      </c>
      <c r="M395" s="127" t="s">
        <v>1253</v>
      </c>
      <c r="N395" s="127" t="s">
        <v>1406</v>
      </c>
      <c r="O395" s="123">
        <v>44378</v>
      </c>
      <c r="P395" s="123">
        <v>44530</v>
      </c>
      <c r="Q395" s="123">
        <v>44522</v>
      </c>
      <c r="R395" s="123">
        <v>44528</v>
      </c>
      <c r="S395" s="124">
        <v>47</v>
      </c>
      <c r="T395" s="124">
        <v>47</v>
      </c>
      <c r="U395" s="124">
        <v>5</v>
      </c>
      <c r="V395" s="125">
        <v>0</v>
      </c>
      <c r="W395" s="124">
        <v>0</v>
      </c>
      <c r="X395" s="126">
        <v>1</v>
      </c>
      <c r="Y395" s="126">
        <v>0</v>
      </c>
      <c r="Z395" s="126">
        <v>0</v>
      </c>
      <c r="AC395" s="125">
        <v>0</v>
      </c>
      <c r="AD395" s="124">
        <v>0</v>
      </c>
    </row>
    <row r="396" spans="1:30">
      <c r="A396" s="127" t="s">
        <v>1102</v>
      </c>
      <c r="B396" s="127" t="s">
        <v>1695</v>
      </c>
      <c r="C396" s="127" t="s">
        <v>1102</v>
      </c>
      <c r="D396" s="127" t="s">
        <v>1693</v>
      </c>
      <c r="E396" s="127" t="s">
        <v>1695</v>
      </c>
      <c r="M396" s="127" t="s">
        <v>1253</v>
      </c>
      <c r="N396" s="127" t="s">
        <v>1406</v>
      </c>
      <c r="O396" s="123">
        <v>44378</v>
      </c>
      <c r="P396" s="123">
        <v>44530</v>
      </c>
      <c r="Q396" s="123">
        <v>44529</v>
      </c>
      <c r="R396" s="123">
        <v>44535</v>
      </c>
      <c r="S396" s="124">
        <v>48</v>
      </c>
      <c r="T396" s="124">
        <v>48</v>
      </c>
      <c r="U396" s="124">
        <v>2</v>
      </c>
      <c r="V396" s="125">
        <v>0</v>
      </c>
      <c r="W396" s="124">
        <v>0</v>
      </c>
      <c r="X396" s="126">
        <v>1</v>
      </c>
      <c r="Y396" s="126">
        <v>0</v>
      </c>
      <c r="Z396" s="126">
        <v>0</v>
      </c>
      <c r="AC396" s="125">
        <v>0</v>
      </c>
      <c r="AD396" s="124">
        <v>0</v>
      </c>
    </row>
    <row r="397" spans="1:30">
      <c r="A397" s="127" t="s">
        <v>1102</v>
      </c>
      <c r="B397" s="127" t="s">
        <v>1697</v>
      </c>
      <c r="C397" s="127" t="s">
        <v>1102</v>
      </c>
      <c r="D397" s="127" t="s">
        <v>1696</v>
      </c>
      <c r="E397" s="127" t="s">
        <v>1697</v>
      </c>
      <c r="M397" s="127" t="s">
        <v>1685</v>
      </c>
      <c r="N397" s="127" t="s">
        <v>1406</v>
      </c>
      <c r="O397" s="123">
        <v>44257</v>
      </c>
      <c r="P397" s="123">
        <v>44344</v>
      </c>
      <c r="Q397" s="123">
        <v>44256</v>
      </c>
      <c r="R397" s="123">
        <v>44262</v>
      </c>
      <c r="S397" s="124">
        <v>9</v>
      </c>
      <c r="T397" s="124">
        <v>9</v>
      </c>
      <c r="U397" s="124">
        <v>4</v>
      </c>
      <c r="V397" s="125">
        <v>0</v>
      </c>
      <c r="W397" s="124">
        <v>0</v>
      </c>
      <c r="X397" s="126">
        <v>1</v>
      </c>
      <c r="Y397" s="126">
        <v>0</v>
      </c>
      <c r="Z397" s="126">
        <v>0</v>
      </c>
      <c r="AC397" s="125">
        <v>0</v>
      </c>
      <c r="AD397" s="124">
        <v>0</v>
      </c>
    </row>
    <row r="398" spans="1:30">
      <c r="A398" s="127" t="s">
        <v>1102</v>
      </c>
      <c r="B398" s="127" t="s">
        <v>1697</v>
      </c>
      <c r="C398" s="127" t="s">
        <v>1102</v>
      </c>
      <c r="D398" s="127" t="s">
        <v>1696</v>
      </c>
      <c r="E398" s="127" t="s">
        <v>1697</v>
      </c>
      <c r="M398" s="127" t="s">
        <v>1685</v>
      </c>
      <c r="N398" s="127" t="s">
        <v>1406</v>
      </c>
      <c r="O398" s="123">
        <v>44257</v>
      </c>
      <c r="P398" s="123">
        <v>44344</v>
      </c>
      <c r="Q398" s="123">
        <v>44263</v>
      </c>
      <c r="R398" s="123">
        <v>44269</v>
      </c>
      <c r="S398" s="124">
        <v>10</v>
      </c>
      <c r="T398" s="124">
        <v>10</v>
      </c>
      <c r="U398" s="124">
        <v>5</v>
      </c>
      <c r="V398" s="125">
        <v>0</v>
      </c>
      <c r="W398" s="124">
        <v>0</v>
      </c>
      <c r="X398" s="126">
        <v>1</v>
      </c>
      <c r="Y398" s="126">
        <v>0</v>
      </c>
      <c r="Z398" s="126">
        <v>0</v>
      </c>
      <c r="AC398" s="125">
        <v>0</v>
      </c>
      <c r="AD398" s="124">
        <v>0</v>
      </c>
    </row>
    <row r="399" spans="1:30">
      <c r="A399" s="127" t="s">
        <v>1102</v>
      </c>
      <c r="B399" s="127" t="s">
        <v>1697</v>
      </c>
      <c r="C399" s="127" t="s">
        <v>1102</v>
      </c>
      <c r="D399" s="127" t="s">
        <v>1696</v>
      </c>
      <c r="E399" s="127" t="s">
        <v>1697</v>
      </c>
      <c r="M399" s="127" t="s">
        <v>1685</v>
      </c>
      <c r="N399" s="127" t="s">
        <v>1406</v>
      </c>
      <c r="O399" s="123">
        <v>44257</v>
      </c>
      <c r="P399" s="123">
        <v>44344</v>
      </c>
      <c r="Q399" s="123">
        <v>44270</v>
      </c>
      <c r="R399" s="123">
        <v>44276</v>
      </c>
      <c r="S399" s="124">
        <v>11</v>
      </c>
      <c r="T399" s="124">
        <v>11</v>
      </c>
      <c r="U399" s="124">
        <v>5</v>
      </c>
      <c r="V399" s="125">
        <v>0</v>
      </c>
      <c r="W399" s="124">
        <v>0</v>
      </c>
      <c r="X399" s="126">
        <v>1</v>
      </c>
      <c r="Y399" s="126">
        <v>0</v>
      </c>
      <c r="Z399" s="126">
        <v>0</v>
      </c>
      <c r="AC399" s="125">
        <v>0</v>
      </c>
      <c r="AD399" s="124">
        <v>0</v>
      </c>
    </row>
    <row r="400" spans="1:30">
      <c r="A400" s="127" t="s">
        <v>1102</v>
      </c>
      <c r="B400" s="127" t="s">
        <v>1697</v>
      </c>
      <c r="C400" s="127" t="s">
        <v>1102</v>
      </c>
      <c r="D400" s="127" t="s">
        <v>1696</v>
      </c>
      <c r="E400" s="127" t="s">
        <v>1697</v>
      </c>
      <c r="M400" s="127" t="s">
        <v>1685</v>
      </c>
      <c r="N400" s="127" t="s">
        <v>1406</v>
      </c>
      <c r="O400" s="123">
        <v>44257</v>
      </c>
      <c r="P400" s="123">
        <v>44344</v>
      </c>
      <c r="Q400" s="123">
        <v>44277</v>
      </c>
      <c r="R400" s="123">
        <v>44283</v>
      </c>
      <c r="S400" s="124">
        <v>12</v>
      </c>
      <c r="T400" s="124">
        <v>12</v>
      </c>
      <c r="U400" s="124">
        <v>5</v>
      </c>
      <c r="V400" s="125">
        <v>0</v>
      </c>
      <c r="W400" s="124">
        <v>0</v>
      </c>
      <c r="X400" s="126">
        <v>1</v>
      </c>
      <c r="Y400" s="126">
        <v>0</v>
      </c>
      <c r="Z400" s="126">
        <v>0</v>
      </c>
      <c r="AC400" s="125">
        <v>0</v>
      </c>
      <c r="AD400" s="124">
        <v>0</v>
      </c>
    </row>
    <row r="401" spans="1:30">
      <c r="A401" s="127" t="s">
        <v>1102</v>
      </c>
      <c r="B401" s="127" t="s">
        <v>1697</v>
      </c>
      <c r="C401" s="127" t="s">
        <v>1102</v>
      </c>
      <c r="D401" s="127" t="s">
        <v>1696</v>
      </c>
      <c r="E401" s="127" t="s">
        <v>1697</v>
      </c>
      <c r="M401" s="127" t="s">
        <v>1685</v>
      </c>
      <c r="N401" s="127" t="s">
        <v>1406</v>
      </c>
      <c r="O401" s="123">
        <v>44257</v>
      </c>
      <c r="P401" s="123">
        <v>44344</v>
      </c>
      <c r="Q401" s="123">
        <v>44284</v>
      </c>
      <c r="R401" s="123">
        <v>44290</v>
      </c>
      <c r="S401" s="124">
        <v>13</v>
      </c>
      <c r="T401" s="124">
        <v>13</v>
      </c>
      <c r="U401" s="124">
        <v>5</v>
      </c>
      <c r="V401" s="125">
        <v>0</v>
      </c>
      <c r="W401" s="124">
        <v>0</v>
      </c>
      <c r="X401" s="126">
        <v>1</v>
      </c>
      <c r="Y401" s="126">
        <v>0</v>
      </c>
      <c r="Z401" s="126">
        <v>0</v>
      </c>
      <c r="AC401" s="125">
        <v>0</v>
      </c>
      <c r="AD401" s="124">
        <v>0</v>
      </c>
    </row>
    <row r="402" spans="1:30">
      <c r="A402" s="127" t="s">
        <v>1102</v>
      </c>
      <c r="B402" s="127" t="s">
        <v>1697</v>
      </c>
      <c r="C402" s="127" t="s">
        <v>1102</v>
      </c>
      <c r="D402" s="127" t="s">
        <v>1696</v>
      </c>
      <c r="E402" s="127" t="s">
        <v>1697</v>
      </c>
      <c r="M402" s="127" t="s">
        <v>1685</v>
      </c>
      <c r="N402" s="127" t="s">
        <v>1406</v>
      </c>
      <c r="O402" s="123">
        <v>44257</v>
      </c>
      <c r="P402" s="123">
        <v>44344</v>
      </c>
      <c r="Q402" s="123">
        <v>44291</v>
      </c>
      <c r="R402" s="123">
        <v>44297</v>
      </c>
      <c r="S402" s="124">
        <v>14</v>
      </c>
      <c r="T402" s="124">
        <v>14</v>
      </c>
      <c r="U402" s="124">
        <v>5</v>
      </c>
      <c r="V402" s="125">
        <v>0</v>
      </c>
      <c r="W402" s="124">
        <v>0</v>
      </c>
      <c r="X402" s="126">
        <v>1</v>
      </c>
      <c r="Y402" s="126">
        <v>0</v>
      </c>
      <c r="Z402" s="126">
        <v>0</v>
      </c>
      <c r="AC402" s="125">
        <v>0</v>
      </c>
      <c r="AD402" s="124">
        <v>0</v>
      </c>
    </row>
    <row r="403" spans="1:30">
      <c r="A403" s="127" t="s">
        <v>1102</v>
      </c>
      <c r="B403" s="127" t="s">
        <v>1697</v>
      </c>
      <c r="C403" s="127" t="s">
        <v>1102</v>
      </c>
      <c r="D403" s="127" t="s">
        <v>1696</v>
      </c>
      <c r="E403" s="127" t="s">
        <v>1697</v>
      </c>
      <c r="M403" s="127" t="s">
        <v>1685</v>
      </c>
      <c r="N403" s="127" t="s">
        <v>1406</v>
      </c>
      <c r="O403" s="123">
        <v>44257</v>
      </c>
      <c r="P403" s="123">
        <v>44344</v>
      </c>
      <c r="Q403" s="123">
        <v>44298</v>
      </c>
      <c r="R403" s="123">
        <v>44304</v>
      </c>
      <c r="S403" s="124">
        <v>15</v>
      </c>
      <c r="T403" s="124">
        <v>15</v>
      </c>
      <c r="U403" s="124">
        <v>5</v>
      </c>
      <c r="V403" s="125">
        <v>0</v>
      </c>
      <c r="W403" s="124">
        <v>0</v>
      </c>
      <c r="X403" s="126">
        <v>1</v>
      </c>
      <c r="Y403" s="126">
        <v>0</v>
      </c>
      <c r="Z403" s="126">
        <v>0</v>
      </c>
      <c r="AC403" s="125">
        <v>0</v>
      </c>
      <c r="AD403" s="124">
        <v>0</v>
      </c>
    </row>
    <row r="404" spans="1:30">
      <c r="A404" s="127" t="s">
        <v>1102</v>
      </c>
      <c r="B404" s="127" t="s">
        <v>1697</v>
      </c>
      <c r="C404" s="127" t="s">
        <v>1102</v>
      </c>
      <c r="D404" s="127" t="s">
        <v>1696</v>
      </c>
      <c r="E404" s="127" t="s">
        <v>1697</v>
      </c>
      <c r="M404" s="127" t="s">
        <v>1685</v>
      </c>
      <c r="N404" s="127" t="s">
        <v>1406</v>
      </c>
      <c r="O404" s="123">
        <v>44257</v>
      </c>
      <c r="P404" s="123">
        <v>44344</v>
      </c>
      <c r="Q404" s="123">
        <v>44305</v>
      </c>
      <c r="R404" s="123">
        <v>44311</v>
      </c>
      <c r="S404" s="124">
        <v>16</v>
      </c>
      <c r="T404" s="124">
        <v>16</v>
      </c>
      <c r="U404" s="124">
        <v>5</v>
      </c>
      <c r="V404" s="125">
        <v>0</v>
      </c>
      <c r="W404" s="124">
        <v>0</v>
      </c>
      <c r="X404" s="126">
        <v>1</v>
      </c>
      <c r="Y404" s="126">
        <v>0</v>
      </c>
      <c r="Z404" s="126">
        <v>0</v>
      </c>
      <c r="AC404" s="125">
        <v>0</v>
      </c>
      <c r="AD404" s="124">
        <v>0</v>
      </c>
    </row>
    <row r="405" spans="1:30">
      <c r="A405" s="127" t="s">
        <v>1102</v>
      </c>
      <c r="B405" s="127" t="s">
        <v>1697</v>
      </c>
      <c r="C405" s="127" t="s">
        <v>1102</v>
      </c>
      <c r="D405" s="127" t="s">
        <v>1696</v>
      </c>
      <c r="E405" s="127" t="s">
        <v>1697</v>
      </c>
      <c r="M405" s="127" t="s">
        <v>1685</v>
      </c>
      <c r="N405" s="127" t="s">
        <v>1406</v>
      </c>
      <c r="O405" s="123">
        <v>44257</v>
      </c>
      <c r="P405" s="123">
        <v>44344</v>
      </c>
      <c r="Q405" s="123">
        <v>44312</v>
      </c>
      <c r="R405" s="123">
        <v>44318</v>
      </c>
      <c r="S405" s="124">
        <v>17</v>
      </c>
      <c r="T405" s="124">
        <v>17</v>
      </c>
      <c r="U405" s="124">
        <v>5</v>
      </c>
      <c r="V405" s="125">
        <v>0</v>
      </c>
      <c r="W405" s="124">
        <v>0</v>
      </c>
      <c r="X405" s="126">
        <v>1</v>
      </c>
      <c r="Y405" s="126">
        <v>0</v>
      </c>
      <c r="Z405" s="126">
        <v>0</v>
      </c>
      <c r="AC405" s="125">
        <v>0</v>
      </c>
      <c r="AD405" s="124">
        <v>0</v>
      </c>
    </row>
    <row r="406" spans="1:30">
      <c r="A406" s="127" t="s">
        <v>1102</v>
      </c>
      <c r="B406" s="127" t="s">
        <v>1697</v>
      </c>
      <c r="C406" s="127" t="s">
        <v>1102</v>
      </c>
      <c r="D406" s="127" t="s">
        <v>1696</v>
      </c>
      <c r="E406" s="127" t="s">
        <v>1697</v>
      </c>
      <c r="M406" s="127" t="s">
        <v>1685</v>
      </c>
      <c r="N406" s="127" t="s">
        <v>1406</v>
      </c>
      <c r="O406" s="123">
        <v>44257</v>
      </c>
      <c r="P406" s="123">
        <v>44344</v>
      </c>
      <c r="Q406" s="123">
        <v>44319</v>
      </c>
      <c r="R406" s="123">
        <v>44325</v>
      </c>
      <c r="S406" s="124">
        <v>18</v>
      </c>
      <c r="T406" s="124">
        <v>18</v>
      </c>
      <c r="U406" s="124">
        <v>4</v>
      </c>
      <c r="V406" s="125">
        <v>0</v>
      </c>
      <c r="W406" s="124">
        <v>0</v>
      </c>
      <c r="X406" s="126">
        <v>1</v>
      </c>
      <c r="Y406" s="126">
        <v>0</v>
      </c>
      <c r="Z406" s="126">
        <v>0</v>
      </c>
      <c r="AC406" s="125">
        <v>0</v>
      </c>
      <c r="AD406" s="124">
        <v>0</v>
      </c>
    </row>
    <row r="407" spans="1:30">
      <c r="A407" s="127" t="s">
        <v>1102</v>
      </c>
      <c r="B407" s="127" t="s">
        <v>1697</v>
      </c>
      <c r="C407" s="127" t="s">
        <v>1102</v>
      </c>
      <c r="D407" s="127" t="s">
        <v>1696</v>
      </c>
      <c r="E407" s="127" t="s">
        <v>1697</v>
      </c>
      <c r="M407" s="127" t="s">
        <v>1685</v>
      </c>
      <c r="N407" s="127" t="s">
        <v>1406</v>
      </c>
      <c r="O407" s="123">
        <v>44257</v>
      </c>
      <c r="P407" s="123">
        <v>44344</v>
      </c>
      <c r="Q407" s="123">
        <v>44326</v>
      </c>
      <c r="R407" s="123">
        <v>44332</v>
      </c>
      <c r="S407" s="124">
        <v>19</v>
      </c>
      <c r="T407" s="124">
        <v>19</v>
      </c>
      <c r="U407" s="124">
        <v>5</v>
      </c>
      <c r="V407" s="125">
        <v>0</v>
      </c>
      <c r="W407" s="124">
        <v>0</v>
      </c>
      <c r="X407" s="126">
        <v>1</v>
      </c>
      <c r="Y407" s="126">
        <v>0</v>
      </c>
      <c r="Z407" s="126">
        <v>0</v>
      </c>
      <c r="AC407" s="125">
        <v>0</v>
      </c>
      <c r="AD407" s="124">
        <v>0</v>
      </c>
    </row>
    <row r="408" spans="1:30">
      <c r="A408" s="127" t="s">
        <v>1102</v>
      </c>
      <c r="B408" s="127" t="s">
        <v>1697</v>
      </c>
      <c r="C408" s="127" t="s">
        <v>1102</v>
      </c>
      <c r="D408" s="127" t="s">
        <v>1696</v>
      </c>
      <c r="E408" s="127" t="s">
        <v>1697</v>
      </c>
      <c r="M408" s="127" t="s">
        <v>1685</v>
      </c>
      <c r="N408" s="127" t="s">
        <v>1406</v>
      </c>
      <c r="O408" s="123">
        <v>44257</v>
      </c>
      <c r="P408" s="123">
        <v>44344</v>
      </c>
      <c r="Q408" s="123">
        <v>44333</v>
      </c>
      <c r="R408" s="123">
        <v>44339</v>
      </c>
      <c r="S408" s="124">
        <v>20</v>
      </c>
      <c r="T408" s="124">
        <v>20</v>
      </c>
      <c r="U408" s="124">
        <v>4</v>
      </c>
      <c r="V408" s="125">
        <v>0</v>
      </c>
      <c r="W408" s="124">
        <v>0</v>
      </c>
      <c r="X408" s="126">
        <v>1</v>
      </c>
      <c r="Y408" s="126">
        <v>0</v>
      </c>
      <c r="Z408" s="126">
        <v>0</v>
      </c>
      <c r="AC408" s="125">
        <v>0</v>
      </c>
      <c r="AD408" s="124">
        <v>0</v>
      </c>
    </row>
    <row r="409" spans="1:30">
      <c r="A409" s="127" t="s">
        <v>1102</v>
      </c>
      <c r="B409" s="127" t="s">
        <v>1697</v>
      </c>
      <c r="C409" s="127" t="s">
        <v>1102</v>
      </c>
      <c r="D409" s="127" t="s">
        <v>1696</v>
      </c>
      <c r="E409" s="127" t="s">
        <v>1697</v>
      </c>
      <c r="M409" s="127" t="s">
        <v>1685</v>
      </c>
      <c r="N409" s="127" t="s">
        <v>1406</v>
      </c>
      <c r="O409" s="123">
        <v>44257</v>
      </c>
      <c r="P409" s="123">
        <v>44344</v>
      </c>
      <c r="Q409" s="123">
        <v>44340</v>
      </c>
      <c r="R409" s="123">
        <v>44346</v>
      </c>
      <c r="S409" s="124">
        <v>21</v>
      </c>
      <c r="T409" s="124">
        <v>21</v>
      </c>
      <c r="U409" s="124">
        <v>5</v>
      </c>
      <c r="V409" s="125">
        <v>0</v>
      </c>
      <c r="W409" s="124">
        <v>0</v>
      </c>
      <c r="X409" s="126">
        <v>1</v>
      </c>
      <c r="Y409" s="126">
        <v>0</v>
      </c>
      <c r="Z409" s="126">
        <v>0</v>
      </c>
      <c r="AC409" s="125">
        <v>0</v>
      </c>
      <c r="AD409" s="124">
        <v>0</v>
      </c>
    </row>
    <row r="410" spans="1:30">
      <c r="A410" s="127" t="s">
        <v>1102</v>
      </c>
      <c r="B410" s="127" t="s">
        <v>1698</v>
      </c>
      <c r="C410" s="127" t="s">
        <v>1102</v>
      </c>
      <c r="D410" s="127" t="s">
        <v>1696</v>
      </c>
      <c r="E410" s="127" t="s">
        <v>1698</v>
      </c>
      <c r="M410" s="127" t="s">
        <v>1686</v>
      </c>
      <c r="N410" s="127" t="s">
        <v>1406</v>
      </c>
      <c r="O410" s="123">
        <v>44347</v>
      </c>
      <c r="P410" s="123">
        <v>44498</v>
      </c>
      <c r="Q410" s="123">
        <v>44347</v>
      </c>
      <c r="R410" s="123">
        <v>44353</v>
      </c>
      <c r="S410" s="124">
        <v>22</v>
      </c>
      <c r="T410" s="124">
        <v>22</v>
      </c>
      <c r="U410" s="124">
        <v>5</v>
      </c>
      <c r="V410" s="125">
        <v>0</v>
      </c>
      <c r="W410" s="124">
        <v>0</v>
      </c>
      <c r="X410" s="126">
        <v>1</v>
      </c>
      <c r="Y410" s="126">
        <v>0</v>
      </c>
      <c r="Z410" s="126">
        <v>0</v>
      </c>
      <c r="AC410" s="125">
        <v>0</v>
      </c>
      <c r="AD410" s="124">
        <v>0</v>
      </c>
    </row>
    <row r="411" spans="1:30">
      <c r="A411" s="127" t="s">
        <v>1102</v>
      </c>
      <c r="B411" s="127" t="s">
        <v>1698</v>
      </c>
      <c r="C411" s="127" t="s">
        <v>1102</v>
      </c>
      <c r="D411" s="127" t="s">
        <v>1696</v>
      </c>
      <c r="E411" s="127" t="s">
        <v>1698</v>
      </c>
      <c r="M411" s="127" t="s">
        <v>1686</v>
      </c>
      <c r="N411" s="127" t="s">
        <v>1406</v>
      </c>
      <c r="O411" s="123">
        <v>44347</v>
      </c>
      <c r="P411" s="123">
        <v>44498</v>
      </c>
      <c r="Q411" s="123">
        <v>44354</v>
      </c>
      <c r="R411" s="123">
        <v>44360</v>
      </c>
      <c r="S411" s="124">
        <v>23</v>
      </c>
      <c r="T411" s="124">
        <v>23</v>
      </c>
      <c r="U411" s="124">
        <v>5</v>
      </c>
      <c r="V411" s="125">
        <v>0</v>
      </c>
      <c r="W411" s="124">
        <v>0</v>
      </c>
      <c r="X411" s="126">
        <v>1</v>
      </c>
      <c r="Y411" s="126">
        <v>0</v>
      </c>
      <c r="Z411" s="126">
        <v>0</v>
      </c>
      <c r="AC411" s="125">
        <v>0</v>
      </c>
      <c r="AD411" s="124">
        <v>0</v>
      </c>
    </row>
    <row r="412" spans="1:30">
      <c r="A412" s="127" t="s">
        <v>1102</v>
      </c>
      <c r="B412" s="127" t="s">
        <v>1698</v>
      </c>
      <c r="C412" s="127" t="s">
        <v>1102</v>
      </c>
      <c r="D412" s="127" t="s">
        <v>1696</v>
      </c>
      <c r="E412" s="127" t="s">
        <v>1698</v>
      </c>
      <c r="M412" s="127" t="s">
        <v>1686</v>
      </c>
      <c r="N412" s="127" t="s">
        <v>1406</v>
      </c>
      <c r="O412" s="123">
        <v>44347</v>
      </c>
      <c r="P412" s="123">
        <v>44498</v>
      </c>
      <c r="Q412" s="123">
        <v>44361</v>
      </c>
      <c r="R412" s="123">
        <v>44367</v>
      </c>
      <c r="S412" s="124">
        <v>24</v>
      </c>
      <c r="T412" s="124">
        <v>24</v>
      </c>
      <c r="U412" s="124">
        <v>5</v>
      </c>
      <c r="V412" s="125">
        <v>0</v>
      </c>
      <c r="W412" s="124">
        <v>0</v>
      </c>
      <c r="X412" s="126">
        <v>1</v>
      </c>
      <c r="Y412" s="126">
        <v>0</v>
      </c>
      <c r="Z412" s="126">
        <v>0</v>
      </c>
      <c r="AC412" s="125">
        <v>0</v>
      </c>
      <c r="AD412" s="124">
        <v>0</v>
      </c>
    </row>
    <row r="413" spans="1:30">
      <c r="A413" s="127" t="s">
        <v>1102</v>
      </c>
      <c r="B413" s="127" t="s">
        <v>1698</v>
      </c>
      <c r="C413" s="127" t="s">
        <v>1102</v>
      </c>
      <c r="D413" s="127" t="s">
        <v>1696</v>
      </c>
      <c r="E413" s="127" t="s">
        <v>1698</v>
      </c>
      <c r="M413" s="127" t="s">
        <v>1686</v>
      </c>
      <c r="N413" s="127" t="s">
        <v>1406</v>
      </c>
      <c r="O413" s="123">
        <v>44347</v>
      </c>
      <c r="P413" s="123">
        <v>44498</v>
      </c>
      <c r="Q413" s="123">
        <v>44368</v>
      </c>
      <c r="R413" s="123">
        <v>44374</v>
      </c>
      <c r="S413" s="124">
        <v>25</v>
      </c>
      <c r="T413" s="124">
        <v>25</v>
      </c>
      <c r="U413" s="124">
        <v>5</v>
      </c>
      <c r="V413" s="125">
        <v>0</v>
      </c>
      <c r="W413" s="124">
        <v>0</v>
      </c>
      <c r="X413" s="126">
        <v>1</v>
      </c>
      <c r="Y413" s="126">
        <v>0</v>
      </c>
      <c r="Z413" s="126">
        <v>0</v>
      </c>
      <c r="AC413" s="125">
        <v>0</v>
      </c>
      <c r="AD413" s="124">
        <v>0</v>
      </c>
    </row>
    <row r="414" spans="1:30">
      <c r="A414" s="127" t="s">
        <v>1102</v>
      </c>
      <c r="B414" s="127" t="s">
        <v>1698</v>
      </c>
      <c r="C414" s="127" t="s">
        <v>1102</v>
      </c>
      <c r="D414" s="127" t="s">
        <v>1696</v>
      </c>
      <c r="E414" s="127" t="s">
        <v>1698</v>
      </c>
      <c r="M414" s="127" t="s">
        <v>1686</v>
      </c>
      <c r="N414" s="127" t="s">
        <v>1406</v>
      </c>
      <c r="O414" s="123">
        <v>44347</v>
      </c>
      <c r="P414" s="123">
        <v>44498</v>
      </c>
      <c r="Q414" s="123">
        <v>44375</v>
      </c>
      <c r="R414" s="123">
        <v>44381</v>
      </c>
      <c r="S414" s="124">
        <v>26</v>
      </c>
      <c r="T414" s="124">
        <v>26</v>
      </c>
      <c r="U414" s="124">
        <v>5</v>
      </c>
      <c r="V414" s="125">
        <v>0</v>
      </c>
      <c r="W414" s="124">
        <v>0</v>
      </c>
      <c r="X414" s="126">
        <v>1</v>
      </c>
      <c r="Y414" s="126">
        <v>0</v>
      </c>
      <c r="Z414" s="126">
        <v>0</v>
      </c>
      <c r="AC414" s="125">
        <v>0</v>
      </c>
      <c r="AD414" s="124">
        <v>0</v>
      </c>
    </row>
    <row r="415" spans="1:30">
      <c r="A415" s="127" t="s">
        <v>1102</v>
      </c>
      <c r="B415" s="127" t="s">
        <v>1698</v>
      </c>
      <c r="C415" s="127" t="s">
        <v>1102</v>
      </c>
      <c r="D415" s="127" t="s">
        <v>1696</v>
      </c>
      <c r="E415" s="127" t="s">
        <v>1698</v>
      </c>
      <c r="M415" s="127" t="s">
        <v>1686</v>
      </c>
      <c r="N415" s="127" t="s">
        <v>1406</v>
      </c>
      <c r="O415" s="123">
        <v>44347</v>
      </c>
      <c r="P415" s="123">
        <v>44498</v>
      </c>
      <c r="Q415" s="123">
        <v>44382</v>
      </c>
      <c r="R415" s="123">
        <v>44388</v>
      </c>
      <c r="S415" s="124">
        <v>27</v>
      </c>
      <c r="T415" s="124">
        <v>27</v>
      </c>
      <c r="U415" s="124">
        <v>5</v>
      </c>
      <c r="V415" s="125">
        <v>0</v>
      </c>
      <c r="W415" s="124">
        <v>0</v>
      </c>
      <c r="X415" s="126">
        <v>1</v>
      </c>
      <c r="Y415" s="126">
        <v>0</v>
      </c>
      <c r="Z415" s="126">
        <v>0</v>
      </c>
      <c r="AC415" s="125">
        <v>0</v>
      </c>
      <c r="AD415" s="124">
        <v>0</v>
      </c>
    </row>
    <row r="416" spans="1:30">
      <c r="A416" s="127" t="s">
        <v>1102</v>
      </c>
      <c r="B416" s="127" t="s">
        <v>1698</v>
      </c>
      <c r="C416" s="127" t="s">
        <v>1102</v>
      </c>
      <c r="D416" s="127" t="s">
        <v>1696</v>
      </c>
      <c r="E416" s="127" t="s">
        <v>1698</v>
      </c>
      <c r="M416" s="127" t="s">
        <v>1686</v>
      </c>
      <c r="N416" s="127" t="s">
        <v>1406</v>
      </c>
      <c r="O416" s="123">
        <v>44347</v>
      </c>
      <c r="P416" s="123">
        <v>44498</v>
      </c>
      <c r="Q416" s="123">
        <v>44389</v>
      </c>
      <c r="R416" s="123">
        <v>44395</v>
      </c>
      <c r="S416" s="124">
        <v>28</v>
      </c>
      <c r="T416" s="124">
        <v>28</v>
      </c>
      <c r="U416" s="124">
        <v>5</v>
      </c>
      <c r="V416" s="125">
        <v>0</v>
      </c>
      <c r="W416" s="124">
        <v>0</v>
      </c>
      <c r="X416" s="126">
        <v>1</v>
      </c>
      <c r="Y416" s="126">
        <v>0</v>
      </c>
      <c r="Z416" s="126">
        <v>0</v>
      </c>
      <c r="AC416" s="125">
        <v>0</v>
      </c>
      <c r="AD416" s="124">
        <v>0</v>
      </c>
    </row>
    <row r="417" spans="1:30">
      <c r="A417" s="127" t="s">
        <v>1102</v>
      </c>
      <c r="B417" s="127" t="s">
        <v>1698</v>
      </c>
      <c r="C417" s="127" t="s">
        <v>1102</v>
      </c>
      <c r="D417" s="127" t="s">
        <v>1696</v>
      </c>
      <c r="E417" s="127" t="s">
        <v>1698</v>
      </c>
      <c r="M417" s="127" t="s">
        <v>1686</v>
      </c>
      <c r="N417" s="127" t="s">
        <v>1406</v>
      </c>
      <c r="O417" s="123">
        <v>44347</v>
      </c>
      <c r="P417" s="123">
        <v>44498</v>
      </c>
      <c r="Q417" s="123">
        <v>44396</v>
      </c>
      <c r="R417" s="123">
        <v>44402</v>
      </c>
      <c r="S417" s="124">
        <v>29</v>
      </c>
      <c r="T417" s="124">
        <v>29</v>
      </c>
      <c r="U417" s="124">
        <v>5</v>
      </c>
      <c r="V417" s="125">
        <v>0</v>
      </c>
      <c r="W417" s="124">
        <v>0</v>
      </c>
      <c r="X417" s="126">
        <v>1</v>
      </c>
      <c r="Y417" s="126">
        <v>0</v>
      </c>
      <c r="Z417" s="126">
        <v>0</v>
      </c>
      <c r="AC417" s="125">
        <v>0</v>
      </c>
      <c r="AD417" s="124">
        <v>0</v>
      </c>
    </row>
    <row r="418" spans="1:30">
      <c r="A418" s="127" t="s">
        <v>1102</v>
      </c>
      <c r="B418" s="127" t="s">
        <v>1698</v>
      </c>
      <c r="C418" s="127" t="s">
        <v>1102</v>
      </c>
      <c r="D418" s="127" t="s">
        <v>1696</v>
      </c>
      <c r="E418" s="127" t="s">
        <v>1698</v>
      </c>
      <c r="M418" s="127" t="s">
        <v>1686</v>
      </c>
      <c r="N418" s="127" t="s">
        <v>1406</v>
      </c>
      <c r="O418" s="123">
        <v>44347</v>
      </c>
      <c r="P418" s="123">
        <v>44498</v>
      </c>
      <c r="Q418" s="123">
        <v>44403</v>
      </c>
      <c r="R418" s="123">
        <v>44409</v>
      </c>
      <c r="S418" s="124">
        <v>30</v>
      </c>
      <c r="T418" s="124">
        <v>30</v>
      </c>
      <c r="U418" s="124">
        <v>5</v>
      </c>
      <c r="V418" s="125">
        <v>0</v>
      </c>
      <c r="W418" s="124">
        <v>0</v>
      </c>
      <c r="X418" s="126">
        <v>1</v>
      </c>
      <c r="Y418" s="126">
        <v>0</v>
      </c>
      <c r="Z418" s="126">
        <v>0</v>
      </c>
      <c r="AC418" s="125">
        <v>0</v>
      </c>
      <c r="AD418" s="124">
        <v>0</v>
      </c>
    </row>
    <row r="419" spans="1:30">
      <c r="A419" s="127" t="s">
        <v>1102</v>
      </c>
      <c r="B419" s="127" t="s">
        <v>1698</v>
      </c>
      <c r="C419" s="127" t="s">
        <v>1102</v>
      </c>
      <c r="D419" s="127" t="s">
        <v>1696</v>
      </c>
      <c r="E419" s="127" t="s">
        <v>1698</v>
      </c>
      <c r="M419" s="127" t="s">
        <v>1686</v>
      </c>
      <c r="N419" s="127" t="s">
        <v>1406</v>
      </c>
      <c r="O419" s="123">
        <v>44347</v>
      </c>
      <c r="P419" s="123">
        <v>44498</v>
      </c>
      <c r="Q419" s="123">
        <v>44410</v>
      </c>
      <c r="R419" s="123">
        <v>44416</v>
      </c>
      <c r="S419" s="124">
        <v>31</v>
      </c>
      <c r="T419" s="124">
        <v>31</v>
      </c>
      <c r="U419" s="124">
        <v>5</v>
      </c>
      <c r="V419" s="125">
        <v>0</v>
      </c>
      <c r="W419" s="124">
        <v>0</v>
      </c>
      <c r="X419" s="126">
        <v>1</v>
      </c>
      <c r="Y419" s="126">
        <v>0</v>
      </c>
      <c r="Z419" s="126">
        <v>0</v>
      </c>
      <c r="AC419" s="125">
        <v>0</v>
      </c>
      <c r="AD419" s="124">
        <v>0</v>
      </c>
    </row>
    <row r="420" spans="1:30">
      <c r="A420" s="127" t="s">
        <v>1102</v>
      </c>
      <c r="B420" s="127" t="s">
        <v>1698</v>
      </c>
      <c r="C420" s="127" t="s">
        <v>1102</v>
      </c>
      <c r="D420" s="127" t="s">
        <v>1696</v>
      </c>
      <c r="E420" s="127" t="s">
        <v>1698</v>
      </c>
      <c r="M420" s="127" t="s">
        <v>1686</v>
      </c>
      <c r="N420" s="127" t="s">
        <v>1406</v>
      </c>
      <c r="O420" s="123">
        <v>44347</v>
      </c>
      <c r="P420" s="123">
        <v>44498</v>
      </c>
      <c r="Q420" s="123">
        <v>44417</v>
      </c>
      <c r="R420" s="123">
        <v>44423</v>
      </c>
      <c r="S420" s="124">
        <v>32</v>
      </c>
      <c r="T420" s="124">
        <v>32</v>
      </c>
      <c r="U420" s="124">
        <v>5</v>
      </c>
      <c r="V420" s="125">
        <v>0</v>
      </c>
      <c r="W420" s="124">
        <v>0</v>
      </c>
      <c r="X420" s="126">
        <v>1</v>
      </c>
      <c r="Y420" s="126">
        <v>0</v>
      </c>
      <c r="Z420" s="126">
        <v>0</v>
      </c>
      <c r="AC420" s="125">
        <v>0</v>
      </c>
      <c r="AD420" s="124">
        <v>0</v>
      </c>
    </row>
    <row r="421" spans="1:30">
      <c r="A421" s="127" t="s">
        <v>1102</v>
      </c>
      <c r="B421" s="127" t="s">
        <v>1698</v>
      </c>
      <c r="C421" s="127" t="s">
        <v>1102</v>
      </c>
      <c r="D421" s="127" t="s">
        <v>1696</v>
      </c>
      <c r="E421" s="127" t="s">
        <v>1698</v>
      </c>
      <c r="M421" s="127" t="s">
        <v>1686</v>
      </c>
      <c r="N421" s="127" t="s">
        <v>1406</v>
      </c>
      <c r="O421" s="123">
        <v>44347</v>
      </c>
      <c r="P421" s="123">
        <v>44498</v>
      </c>
      <c r="Q421" s="123">
        <v>44424</v>
      </c>
      <c r="R421" s="123">
        <v>44430</v>
      </c>
      <c r="S421" s="124">
        <v>33</v>
      </c>
      <c r="T421" s="124">
        <v>33</v>
      </c>
      <c r="U421" s="124">
        <v>5</v>
      </c>
      <c r="V421" s="125">
        <v>0</v>
      </c>
      <c r="W421" s="124">
        <v>0</v>
      </c>
      <c r="X421" s="126">
        <v>1</v>
      </c>
      <c r="Y421" s="126">
        <v>0</v>
      </c>
      <c r="Z421" s="126">
        <v>0</v>
      </c>
      <c r="AC421" s="125">
        <v>0</v>
      </c>
      <c r="AD421" s="124">
        <v>0</v>
      </c>
    </row>
    <row r="422" spans="1:30">
      <c r="A422" s="127" t="s">
        <v>1102</v>
      </c>
      <c r="B422" s="127" t="s">
        <v>1698</v>
      </c>
      <c r="C422" s="127" t="s">
        <v>1102</v>
      </c>
      <c r="D422" s="127" t="s">
        <v>1696</v>
      </c>
      <c r="E422" s="127" t="s">
        <v>1698</v>
      </c>
      <c r="M422" s="127" t="s">
        <v>1686</v>
      </c>
      <c r="N422" s="127" t="s">
        <v>1406</v>
      </c>
      <c r="O422" s="123">
        <v>44347</v>
      </c>
      <c r="P422" s="123">
        <v>44498</v>
      </c>
      <c r="Q422" s="123">
        <v>44431</v>
      </c>
      <c r="R422" s="123">
        <v>44437</v>
      </c>
      <c r="S422" s="124">
        <v>34</v>
      </c>
      <c r="T422" s="124">
        <v>34</v>
      </c>
      <c r="U422" s="124">
        <v>5</v>
      </c>
      <c r="V422" s="125">
        <v>0</v>
      </c>
      <c r="W422" s="124">
        <v>0</v>
      </c>
      <c r="X422" s="126">
        <v>1</v>
      </c>
      <c r="Y422" s="126">
        <v>0</v>
      </c>
      <c r="Z422" s="126">
        <v>0</v>
      </c>
      <c r="AC422" s="125">
        <v>0</v>
      </c>
      <c r="AD422" s="124">
        <v>0</v>
      </c>
    </row>
    <row r="423" spans="1:30">
      <c r="A423" s="127" t="s">
        <v>1102</v>
      </c>
      <c r="B423" s="127" t="s">
        <v>1698</v>
      </c>
      <c r="C423" s="127" t="s">
        <v>1102</v>
      </c>
      <c r="D423" s="127" t="s">
        <v>1696</v>
      </c>
      <c r="E423" s="127" t="s">
        <v>1698</v>
      </c>
      <c r="M423" s="127" t="s">
        <v>1686</v>
      </c>
      <c r="N423" s="127" t="s">
        <v>1406</v>
      </c>
      <c r="O423" s="123">
        <v>44347</v>
      </c>
      <c r="P423" s="123">
        <v>44498</v>
      </c>
      <c r="Q423" s="123">
        <v>44438</v>
      </c>
      <c r="R423" s="123">
        <v>44444</v>
      </c>
      <c r="S423" s="124">
        <v>35</v>
      </c>
      <c r="T423" s="124">
        <v>35</v>
      </c>
      <c r="U423" s="124">
        <v>5</v>
      </c>
      <c r="V423" s="125">
        <v>0</v>
      </c>
      <c r="W423" s="124">
        <v>0</v>
      </c>
      <c r="X423" s="126">
        <v>1</v>
      </c>
      <c r="Y423" s="126">
        <v>0</v>
      </c>
      <c r="Z423" s="126">
        <v>0</v>
      </c>
      <c r="AC423" s="125">
        <v>0</v>
      </c>
      <c r="AD423" s="124">
        <v>0</v>
      </c>
    </row>
    <row r="424" spans="1:30">
      <c r="A424" s="127" t="s">
        <v>1102</v>
      </c>
      <c r="B424" s="127" t="s">
        <v>1698</v>
      </c>
      <c r="C424" s="127" t="s">
        <v>1102</v>
      </c>
      <c r="D424" s="127" t="s">
        <v>1696</v>
      </c>
      <c r="E424" s="127" t="s">
        <v>1698</v>
      </c>
      <c r="M424" s="127" t="s">
        <v>1686</v>
      </c>
      <c r="N424" s="127" t="s">
        <v>1406</v>
      </c>
      <c r="O424" s="123">
        <v>44347</v>
      </c>
      <c r="P424" s="123">
        <v>44498</v>
      </c>
      <c r="Q424" s="123">
        <v>44445</v>
      </c>
      <c r="R424" s="123">
        <v>44451</v>
      </c>
      <c r="S424" s="124">
        <v>36</v>
      </c>
      <c r="T424" s="124">
        <v>36</v>
      </c>
      <c r="U424" s="124">
        <v>5</v>
      </c>
      <c r="V424" s="125">
        <v>0</v>
      </c>
      <c r="W424" s="124">
        <v>0</v>
      </c>
      <c r="X424" s="126">
        <v>1</v>
      </c>
      <c r="Y424" s="126">
        <v>0</v>
      </c>
      <c r="Z424" s="126">
        <v>0</v>
      </c>
      <c r="AC424" s="125">
        <v>0</v>
      </c>
      <c r="AD424" s="124">
        <v>0</v>
      </c>
    </row>
    <row r="425" spans="1:30">
      <c r="A425" s="127" t="s">
        <v>1102</v>
      </c>
      <c r="B425" s="127" t="s">
        <v>1698</v>
      </c>
      <c r="C425" s="127" t="s">
        <v>1102</v>
      </c>
      <c r="D425" s="127" t="s">
        <v>1696</v>
      </c>
      <c r="E425" s="127" t="s">
        <v>1698</v>
      </c>
      <c r="M425" s="127" t="s">
        <v>1686</v>
      </c>
      <c r="N425" s="127" t="s">
        <v>1406</v>
      </c>
      <c r="O425" s="123">
        <v>44347</v>
      </c>
      <c r="P425" s="123">
        <v>44498</v>
      </c>
      <c r="Q425" s="123">
        <v>44452</v>
      </c>
      <c r="R425" s="123">
        <v>44458</v>
      </c>
      <c r="S425" s="124">
        <v>37</v>
      </c>
      <c r="T425" s="124">
        <v>37</v>
      </c>
      <c r="U425" s="124">
        <v>5</v>
      </c>
      <c r="V425" s="125">
        <v>0</v>
      </c>
      <c r="W425" s="124">
        <v>0</v>
      </c>
      <c r="X425" s="126">
        <v>1</v>
      </c>
      <c r="Y425" s="126">
        <v>0</v>
      </c>
      <c r="Z425" s="126">
        <v>0</v>
      </c>
      <c r="AC425" s="125">
        <v>0</v>
      </c>
      <c r="AD425" s="124">
        <v>0</v>
      </c>
    </row>
    <row r="426" spans="1:30">
      <c r="A426" s="127" t="s">
        <v>1102</v>
      </c>
      <c r="B426" s="127" t="s">
        <v>1698</v>
      </c>
      <c r="C426" s="127" t="s">
        <v>1102</v>
      </c>
      <c r="D426" s="127" t="s">
        <v>1696</v>
      </c>
      <c r="E426" s="127" t="s">
        <v>1698</v>
      </c>
      <c r="M426" s="127" t="s">
        <v>1686</v>
      </c>
      <c r="N426" s="127" t="s">
        <v>1406</v>
      </c>
      <c r="O426" s="123">
        <v>44347</v>
      </c>
      <c r="P426" s="123">
        <v>44498</v>
      </c>
      <c r="Q426" s="123">
        <v>44459</v>
      </c>
      <c r="R426" s="123">
        <v>44465</v>
      </c>
      <c r="S426" s="124">
        <v>38</v>
      </c>
      <c r="T426" s="124">
        <v>38</v>
      </c>
      <c r="U426" s="124">
        <v>2</v>
      </c>
      <c r="V426" s="125">
        <v>0</v>
      </c>
      <c r="W426" s="124">
        <v>0</v>
      </c>
      <c r="X426" s="126">
        <v>1</v>
      </c>
      <c r="Y426" s="126">
        <v>0</v>
      </c>
      <c r="Z426" s="126">
        <v>0</v>
      </c>
      <c r="AC426" s="125">
        <v>0</v>
      </c>
      <c r="AD426" s="124">
        <v>0</v>
      </c>
    </row>
    <row r="427" spans="1:30">
      <c r="A427" s="127" t="s">
        <v>1102</v>
      </c>
      <c r="B427" s="127" t="s">
        <v>1698</v>
      </c>
      <c r="C427" s="127" t="s">
        <v>1102</v>
      </c>
      <c r="D427" s="127" t="s">
        <v>1696</v>
      </c>
      <c r="E427" s="127" t="s">
        <v>1698</v>
      </c>
      <c r="M427" s="127" t="s">
        <v>1686</v>
      </c>
      <c r="N427" s="127" t="s">
        <v>1406</v>
      </c>
      <c r="O427" s="123">
        <v>44347</v>
      </c>
      <c r="P427" s="123">
        <v>44498</v>
      </c>
      <c r="Q427" s="123">
        <v>44466</v>
      </c>
      <c r="R427" s="123">
        <v>44472</v>
      </c>
      <c r="S427" s="124">
        <v>39</v>
      </c>
      <c r="T427" s="124">
        <v>39</v>
      </c>
      <c r="U427" s="124">
        <v>5</v>
      </c>
      <c r="V427" s="125">
        <v>0</v>
      </c>
      <c r="W427" s="124">
        <v>0</v>
      </c>
      <c r="X427" s="126">
        <v>1</v>
      </c>
      <c r="Y427" s="126">
        <v>0</v>
      </c>
      <c r="Z427" s="126">
        <v>0</v>
      </c>
      <c r="AC427" s="125">
        <v>0</v>
      </c>
      <c r="AD427" s="124">
        <v>0</v>
      </c>
    </row>
    <row r="428" spans="1:30">
      <c r="A428" s="127" t="s">
        <v>1102</v>
      </c>
      <c r="B428" s="127" t="s">
        <v>1698</v>
      </c>
      <c r="C428" s="127" t="s">
        <v>1102</v>
      </c>
      <c r="D428" s="127" t="s">
        <v>1696</v>
      </c>
      <c r="E428" s="127" t="s">
        <v>1698</v>
      </c>
      <c r="M428" s="127" t="s">
        <v>1686</v>
      </c>
      <c r="N428" s="127" t="s">
        <v>1406</v>
      </c>
      <c r="O428" s="123">
        <v>44347</v>
      </c>
      <c r="P428" s="123">
        <v>44498</v>
      </c>
      <c r="Q428" s="123">
        <v>44473</v>
      </c>
      <c r="R428" s="123">
        <v>44479</v>
      </c>
      <c r="S428" s="124">
        <v>40</v>
      </c>
      <c r="T428" s="124">
        <v>40</v>
      </c>
      <c r="U428" s="124">
        <v>5</v>
      </c>
      <c r="V428" s="125">
        <v>0</v>
      </c>
      <c r="W428" s="124">
        <v>0</v>
      </c>
      <c r="X428" s="126">
        <v>1</v>
      </c>
      <c r="Y428" s="126">
        <v>0</v>
      </c>
      <c r="Z428" s="126">
        <v>0</v>
      </c>
      <c r="AC428" s="125">
        <v>0</v>
      </c>
      <c r="AD428" s="124">
        <v>0</v>
      </c>
    </row>
    <row r="429" spans="1:30">
      <c r="A429" s="127" t="s">
        <v>1102</v>
      </c>
      <c r="B429" s="127" t="s">
        <v>1698</v>
      </c>
      <c r="C429" s="127" t="s">
        <v>1102</v>
      </c>
      <c r="D429" s="127" t="s">
        <v>1696</v>
      </c>
      <c r="E429" s="127" t="s">
        <v>1698</v>
      </c>
      <c r="M429" s="127" t="s">
        <v>1686</v>
      </c>
      <c r="N429" s="127" t="s">
        <v>1406</v>
      </c>
      <c r="O429" s="123">
        <v>44347</v>
      </c>
      <c r="P429" s="123">
        <v>44498</v>
      </c>
      <c r="Q429" s="123">
        <v>44480</v>
      </c>
      <c r="R429" s="123">
        <v>44486</v>
      </c>
      <c r="S429" s="124">
        <v>41</v>
      </c>
      <c r="T429" s="124">
        <v>41</v>
      </c>
      <c r="U429" s="124">
        <v>5</v>
      </c>
      <c r="V429" s="125">
        <v>0</v>
      </c>
      <c r="W429" s="124">
        <v>0</v>
      </c>
      <c r="X429" s="126">
        <v>1</v>
      </c>
      <c r="Y429" s="126">
        <v>0</v>
      </c>
      <c r="Z429" s="126">
        <v>0</v>
      </c>
      <c r="AC429" s="125">
        <v>0</v>
      </c>
      <c r="AD429" s="124">
        <v>0</v>
      </c>
    </row>
    <row r="430" spans="1:30">
      <c r="A430" s="127" t="s">
        <v>1102</v>
      </c>
      <c r="B430" s="127" t="s">
        <v>1698</v>
      </c>
      <c r="C430" s="127" t="s">
        <v>1102</v>
      </c>
      <c r="D430" s="127" t="s">
        <v>1696</v>
      </c>
      <c r="E430" s="127" t="s">
        <v>1698</v>
      </c>
      <c r="M430" s="127" t="s">
        <v>1686</v>
      </c>
      <c r="N430" s="127" t="s">
        <v>1406</v>
      </c>
      <c r="O430" s="123">
        <v>44347</v>
      </c>
      <c r="P430" s="123">
        <v>44498</v>
      </c>
      <c r="Q430" s="123">
        <v>44487</v>
      </c>
      <c r="R430" s="123">
        <v>44493</v>
      </c>
      <c r="S430" s="124">
        <v>42</v>
      </c>
      <c r="T430" s="124">
        <v>42</v>
      </c>
      <c r="U430" s="124">
        <v>5</v>
      </c>
      <c r="V430" s="125">
        <v>0</v>
      </c>
      <c r="W430" s="124">
        <v>0</v>
      </c>
      <c r="X430" s="126">
        <v>1</v>
      </c>
      <c r="Y430" s="126">
        <v>0</v>
      </c>
      <c r="Z430" s="126">
        <v>0</v>
      </c>
      <c r="AC430" s="125">
        <v>0</v>
      </c>
      <c r="AD430" s="124">
        <v>0</v>
      </c>
    </row>
    <row r="431" spans="1:30">
      <c r="A431" s="127" t="s">
        <v>1102</v>
      </c>
      <c r="B431" s="127" t="s">
        <v>1698</v>
      </c>
      <c r="C431" s="127" t="s">
        <v>1102</v>
      </c>
      <c r="D431" s="127" t="s">
        <v>1696</v>
      </c>
      <c r="E431" s="127" t="s">
        <v>1698</v>
      </c>
      <c r="M431" s="127" t="s">
        <v>1686</v>
      </c>
      <c r="N431" s="127" t="s">
        <v>1406</v>
      </c>
      <c r="O431" s="123">
        <v>44347</v>
      </c>
      <c r="P431" s="123">
        <v>44498</v>
      </c>
      <c r="Q431" s="123">
        <v>44494</v>
      </c>
      <c r="R431" s="123">
        <v>44500</v>
      </c>
      <c r="S431" s="124">
        <v>43</v>
      </c>
      <c r="T431" s="124">
        <v>43</v>
      </c>
      <c r="U431" s="124">
        <v>5</v>
      </c>
      <c r="V431" s="125">
        <v>0</v>
      </c>
      <c r="W431" s="124">
        <v>0</v>
      </c>
      <c r="X431" s="126">
        <v>1</v>
      </c>
      <c r="Y431" s="126">
        <v>0</v>
      </c>
      <c r="Z431" s="126">
        <v>0</v>
      </c>
      <c r="AC431" s="125">
        <v>0</v>
      </c>
      <c r="AD431" s="124">
        <v>0</v>
      </c>
    </row>
    <row r="432" spans="1:30">
      <c r="A432" s="127" t="s">
        <v>1102</v>
      </c>
      <c r="B432" s="127" t="s">
        <v>1699</v>
      </c>
      <c r="C432" s="127" t="s">
        <v>1102</v>
      </c>
      <c r="D432" s="127" t="s">
        <v>1696</v>
      </c>
      <c r="E432" s="127" t="s">
        <v>1699</v>
      </c>
      <c r="M432" s="127" t="s">
        <v>1687</v>
      </c>
      <c r="N432" s="127" t="s">
        <v>1709</v>
      </c>
      <c r="O432" s="123">
        <v>44501</v>
      </c>
      <c r="P432" s="123">
        <v>44589</v>
      </c>
      <c r="Q432" s="123">
        <v>44501</v>
      </c>
      <c r="R432" s="123">
        <v>44507</v>
      </c>
      <c r="S432" s="124">
        <v>44</v>
      </c>
      <c r="T432" s="124">
        <v>44</v>
      </c>
      <c r="U432" s="124">
        <v>1</v>
      </c>
      <c r="V432" s="125">
        <v>0</v>
      </c>
      <c r="W432" s="124">
        <v>0</v>
      </c>
      <c r="X432" s="126">
        <v>0.2</v>
      </c>
      <c r="Y432" s="126">
        <v>0</v>
      </c>
      <c r="Z432" s="126">
        <v>0</v>
      </c>
      <c r="AC432" s="125">
        <v>0</v>
      </c>
      <c r="AD432" s="124">
        <v>0</v>
      </c>
    </row>
    <row r="433" spans="1:30">
      <c r="A433" s="127" t="s">
        <v>1102</v>
      </c>
      <c r="B433" s="127" t="s">
        <v>1699</v>
      </c>
      <c r="C433" s="127" t="s">
        <v>1102</v>
      </c>
      <c r="D433" s="127" t="s">
        <v>1696</v>
      </c>
      <c r="E433" s="127" t="s">
        <v>1699</v>
      </c>
      <c r="M433" s="127" t="s">
        <v>1687</v>
      </c>
      <c r="N433" s="127" t="s">
        <v>1709</v>
      </c>
      <c r="O433" s="123">
        <v>44501</v>
      </c>
      <c r="P433" s="123">
        <v>44589</v>
      </c>
      <c r="Q433" s="123">
        <v>44508</v>
      </c>
      <c r="R433" s="123">
        <v>44514</v>
      </c>
      <c r="S433" s="124">
        <v>45</v>
      </c>
      <c r="T433" s="124">
        <v>45</v>
      </c>
      <c r="U433" s="124">
        <v>1</v>
      </c>
      <c r="V433" s="125">
        <v>0</v>
      </c>
      <c r="W433" s="124">
        <v>0</v>
      </c>
      <c r="X433" s="126">
        <v>0.2</v>
      </c>
      <c r="Y433" s="126">
        <v>0</v>
      </c>
      <c r="Z433" s="126">
        <v>0</v>
      </c>
      <c r="AC433" s="125">
        <v>0</v>
      </c>
      <c r="AD433" s="124">
        <v>0</v>
      </c>
    </row>
    <row r="434" spans="1:30">
      <c r="A434" s="127" t="s">
        <v>1102</v>
      </c>
      <c r="B434" s="127" t="s">
        <v>1699</v>
      </c>
      <c r="C434" s="127" t="s">
        <v>1102</v>
      </c>
      <c r="D434" s="127" t="s">
        <v>1696</v>
      </c>
      <c r="E434" s="127" t="s">
        <v>1699</v>
      </c>
      <c r="M434" s="127" t="s">
        <v>1687</v>
      </c>
      <c r="N434" s="127" t="s">
        <v>1709</v>
      </c>
      <c r="O434" s="123">
        <v>44501</v>
      </c>
      <c r="P434" s="123">
        <v>44589</v>
      </c>
      <c r="Q434" s="123">
        <v>44515</v>
      </c>
      <c r="R434" s="123">
        <v>44521</v>
      </c>
      <c r="S434" s="124">
        <v>46</v>
      </c>
      <c r="T434" s="124">
        <v>46</v>
      </c>
      <c r="U434" s="124">
        <v>1</v>
      </c>
      <c r="V434" s="125">
        <v>0</v>
      </c>
      <c r="W434" s="124">
        <v>0</v>
      </c>
      <c r="X434" s="126">
        <v>0.2</v>
      </c>
      <c r="Y434" s="126">
        <v>0</v>
      </c>
      <c r="Z434" s="126">
        <v>0</v>
      </c>
      <c r="AC434" s="125">
        <v>0</v>
      </c>
      <c r="AD434" s="124">
        <v>0</v>
      </c>
    </row>
    <row r="435" spans="1:30">
      <c r="A435" s="127" t="s">
        <v>1102</v>
      </c>
      <c r="B435" s="127" t="s">
        <v>1699</v>
      </c>
      <c r="C435" s="127" t="s">
        <v>1102</v>
      </c>
      <c r="D435" s="127" t="s">
        <v>1696</v>
      </c>
      <c r="E435" s="127" t="s">
        <v>1699</v>
      </c>
      <c r="M435" s="127" t="s">
        <v>1687</v>
      </c>
      <c r="N435" s="127" t="s">
        <v>1709</v>
      </c>
      <c r="O435" s="123">
        <v>44501</v>
      </c>
      <c r="P435" s="123">
        <v>44589</v>
      </c>
      <c r="Q435" s="123">
        <v>44522</v>
      </c>
      <c r="R435" s="123">
        <v>44528</v>
      </c>
      <c r="S435" s="124">
        <v>47</v>
      </c>
      <c r="T435" s="124">
        <v>47</v>
      </c>
      <c r="U435" s="124">
        <v>1</v>
      </c>
      <c r="V435" s="125">
        <v>0</v>
      </c>
      <c r="W435" s="124">
        <v>0</v>
      </c>
      <c r="X435" s="126">
        <v>0.2</v>
      </c>
      <c r="Y435" s="126">
        <v>0</v>
      </c>
      <c r="Z435" s="126">
        <v>0</v>
      </c>
      <c r="AC435" s="125">
        <v>0</v>
      </c>
      <c r="AD435" s="124">
        <v>0</v>
      </c>
    </row>
    <row r="436" spans="1:30">
      <c r="A436" s="127" t="s">
        <v>1102</v>
      </c>
      <c r="B436" s="127" t="s">
        <v>1699</v>
      </c>
      <c r="C436" s="127" t="s">
        <v>1102</v>
      </c>
      <c r="D436" s="127" t="s">
        <v>1696</v>
      </c>
      <c r="E436" s="127" t="s">
        <v>1699</v>
      </c>
      <c r="M436" s="127" t="s">
        <v>1687</v>
      </c>
      <c r="N436" s="127" t="s">
        <v>1709</v>
      </c>
      <c r="O436" s="123">
        <v>44501</v>
      </c>
      <c r="P436" s="123">
        <v>44589</v>
      </c>
      <c r="Q436" s="123">
        <v>44529</v>
      </c>
      <c r="R436" s="123">
        <v>44535</v>
      </c>
      <c r="S436" s="124">
        <v>48</v>
      </c>
      <c r="T436" s="124">
        <v>48</v>
      </c>
      <c r="U436" s="124">
        <v>1</v>
      </c>
      <c r="V436" s="125">
        <v>0</v>
      </c>
      <c r="W436" s="124">
        <v>0</v>
      </c>
      <c r="X436" s="126">
        <v>0.2</v>
      </c>
      <c r="Y436" s="126">
        <v>0</v>
      </c>
      <c r="Z436" s="126">
        <v>0</v>
      </c>
      <c r="AC436" s="125">
        <v>0</v>
      </c>
      <c r="AD436" s="124">
        <v>0</v>
      </c>
    </row>
    <row r="437" spans="1:30">
      <c r="A437" s="127" t="s">
        <v>1102</v>
      </c>
      <c r="B437" s="127" t="s">
        <v>1699</v>
      </c>
      <c r="C437" s="127" t="s">
        <v>1102</v>
      </c>
      <c r="D437" s="127" t="s">
        <v>1696</v>
      </c>
      <c r="E437" s="127" t="s">
        <v>1699</v>
      </c>
      <c r="M437" s="127" t="s">
        <v>1687</v>
      </c>
      <c r="N437" s="127" t="s">
        <v>1709</v>
      </c>
      <c r="O437" s="123">
        <v>44501</v>
      </c>
      <c r="P437" s="123">
        <v>44589</v>
      </c>
      <c r="Q437" s="123">
        <v>44536</v>
      </c>
      <c r="R437" s="123">
        <v>44542</v>
      </c>
      <c r="S437" s="124">
        <v>49</v>
      </c>
      <c r="T437" s="124">
        <v>49</v>
      </c>
      <c r="U437" s="124">
        <v>1</v>
      </c>
      <c r="V437" s="125">
        <v>0</v>
      </c>
      <c r="W437" s="124">
        <v>0</v>
      </c>
      <c r="X437" s="126">
        <v>0.2</v>
      </c>
      <c r="Y437" s="126">
        <v>0</v>
      </c>
      <c r="Z437" s="126">
        <v>0</v>
      </c>
      <c r="AC437" s="125">
        <v>0</v>
      </c>
      <c r="AD437" s="124">
        <v>0</v>
      </c>
    </row>
    <row r="438" spans="1:30">
      <c r="A438" s="127" t="s">
        <v>1102</v>
      </c>
      <c r="B438" s="127" t="s">
        <v>1699</v>
      </c>
      <c r="C438" s="127" t="s">
        <v>1102</v>
      </c>
      <c r="D438" s="127" t="s">
        <v>1696</v>
      </c>
      <c r="E438" s="127" t="s">
        <v>1699</v>
      </c>
      <c r="M438" s="127" t="s">
        <v>1687</v>
      </c>
      <c r="N438" s="127" t="s">
        <v>1709</v>
      </c>
      <c r="O438" s="123">
        <v>44501</v>
      </c>
      <c r="P438" s="123">
        <v>44589</v>
      </c>
      <c r="Q438" s="123">
        <v>44543</v>
      </c>
      <c r="R438" s="123">
        <v>44549</v>
      </c>
      <c r="S438" s="124">
        <v>50</v>
      </c>
      <c r="T438" s="124">
        <v>50</v>
      </c>
      <c r="U438" s="124">
        <v>1</v>
      </c>
      <c r="V438" s="125">
        <v>0</v>
      </c>
      <c r="W438" s="124">
        <v>0</v>
      </c>
      <c r="X438" s="126">
        <v>0.2</v>
      </c>
      <c r="Y438" s="126">
        <v>0</v>
      </c>
      <c r="Z438" s="126">
        <v>0</v>
      </c>
      <c r="AC438" s="125">
        <v>0</v>
      </c>
      <c r="AD438" s="124">
        <v>0</v>
      </c>
    </row>
    <row r="439" spans="1:30">
      <c r="A439" s="127" t="s">
        <v>1102</v>
      </c>
      <c r="B439" s="127" t="s">
        <v>1699</v>
      </c>
      <c r="C439" s="127" t="s">
        <v>1102</v>
      </c>
      <c r="D439" s="127" t="s">
        <v>1696</v>
      </c>
      <c r="E439" s="127" t="s">
        <v>1699</v>
      </c>
      <c r="M439" s="127" t="s">
        <v>1687</v>
      </c>
      <c r="N439" s="127" t="s">
        <v>1709</v>
      </c>
      <c r="O439" s="123">
        <v>44501</v>
      </c>
      <c r="P439" s="123">
        <v>44589</v>
      </c>
      <c r="Q439" s="123">
        <v>44550</v>
      </c>
      <c r="R439" s="123">
        <v>44556</v>
      </c>
      <c r="S439" s="124">
        <v>51</v>
      </c>
      <c r="T439" s="124">
        <v>51</v>
      </c>
      <c r="U439" s="124">
        <v>1</v>
      </c>
      <c r="V439" s="125">
        <v>0</v>
      </c>
      <c r="W439" s="124">
        <v>0</v>
      </c>
      <c r="X439" s="126">
        <v>0.2</v>
      </c>
      <c r="Y439" s="126">
        <v>0</v>
      </c>
      <c r="Z439" s="126">
        <v>0</v>
      </c>
      <c r="AC439" s="125">
        <v>0</v>
      </c>
      <c r="AD439" s="124">
        <v>0</v>
      </c>
    </row>
    <row r="440" spans="1:30">
      <c r="A440" s="127" t="s">
        <v>1102</v>
      </c>
      <c r="B440" s="127" t="s">
        <v>1699</v>
      </c>
      <c r="C440" s="127" t="s">
        <v>1102</v>
      </c>
      <c r="D440" s="127" t="s">
        <v>1696</v>
      </c>
      <c r="E440" s="127" t="s">
        <v>1699</v>
      </c>
      <c r="M440" s="127" t="s">
        <v>1687</v>
      </c>
      <c r="N440" s="127" t="s">
        <v>1709</v>
      </c>
      <c r="O440" s="123">
        <v>44501</v>
      </c>
      <c r="P440" s="123">
        <v>44589</v>
      </c>
      <c r="Q440" s="123">
        <v>44557</v>
      </c>
      <c r="R440" s="123">
        <v>44563</v>
      </c>
      <c r="S440" s="124">
        <v>52</v>
      </c>
      <c r="T440" s="124">
        <v>52</v>
      </c>
      <c r="U440" s="124">
        <v>1</v>
      </c>
      <c r="V440" s="125">
        <v>0</v>
      </c>
      <c r="W440" s="124">
        <v>0</v>
      </c>
      <c r="X440" s="126">
        <v>0.2</v>
      </c>
      <c r="Y440" s="126">
        <v>0</v>
      </c>
      <c r="Z440" s="126">
        <v>0</v>
      </c>
      <c r="AC440" s="125">
        <v>0</v>
      </c>
      <c r="AD440" s="124">
        <v>0</v>
      </c>
    </row>
    <row r="441" spans="1:30">
      <c r="A441" s="127" t="s">
        <v>1102</v>
      </c>
      <c r="B441" s="127" t="s">
        <v>1699</v>
      </c>
      <c r="C441" s="127" t="s">
        <v>1102</v>
      </c>
      <c r="D441" s="127" t="s">
        <v>1696</v>
      </c>
      <c r="E441" s="127" t="s">
        <v>1699</v>
      </c>
      <c r="M441" s="127" t="s">
        <v>1687</v>
      </c>
      <c r="N441" s="127" t="s">
        <v>1709</v>
      </c>
      <c r="O441" s="123">
        <v>44501</v>
      </c>
      <c r="P441" s="123">
        <v>44589</v>
      </c>
      <c r="Q441" s="123">
        <v>44564</v>
      </c>
      <c r="R441" s="123">
        <v>44570</v>
      </c>
      <c r="S441" s="124">
        <v>1</v>
      </c>
      <c r="T441" s="124">
        <v>53</v>
      </c>
      <c r="U441" s="124">
        <v>1</v>
      </c>
      <c r="V441" s="125">
        <v>0</v>
      </c>
      <c r="W441" s="124">
        <v>0</v>
      </c>
      <c r="X441" s="126">
        <v>0.2</v>
      </c>
      <c r="Y441" s="126">
        <v>0</v>
      </c>
      <c r="Z441" s="126">
        <v>0</v>
      </c>
      <c r="AC441" s="125">
        <v>0</v>
      </c>
      <c r="AD441" s="124">
        <v>0</v>
      </c>
    </row>
    <row r="442" spans="1:30">
      <c r="A442" s="127" t="s">
        <v>1102</v>
      </c>
      <c r="B442" s="127" t="s">
        <v>1699</v>
      </c>
      <c r="C442" s="127" t="s">
        <v>1102</v>
      </c>
      <c r="D442" s="127" t="s">
        <v>1696</v>
      </c>
      <c r="E442" s="127" t="s">
        <v>1699</v>
      </c>
      <c r="M442" s="127" t="s">
        <v>1687</v>
      </c>
      <c r="N442" s="127" t="s">
        <v>1709</v>
      </c>
      <c r="O442" s="123">
        <v>44501</v>
      </c>
      <c r="P442" s="123">
        <v>44589</v>
      </c>
      <c r="Q442" s="123">
        <v>44571</v>
      </c>
      <c r="R442" s="123">
        <v>44577</v>
      </c>
      <c r="S442" s="124">
        <v>2</v>
      </c>
      <c r="T442" s="124">
        <v>54</v>
      </c>
      <c r="U442" s="124">
        <v>1</v>
      </c>
      <c r="V442" s="125">
        <v>0</v>
      </c>
      <c r="W442" s="124">
        <v>0</v>
      </c>
      <c r="X442" s="126">
        <v>0.2</v>
      </c>
      <c r="Y442" s="126">
        <v>0</v>
      </c>
      <c r="Z442" s="126">
        <v>0</v>
      </c>
      <c r="AC442" s="125">
        <v>0</v>
      </c>
      <c r="AD442" s="124">
        <v>0</v>
      </c>
    </row>
    <row r="443" spans="1:30">
      <c r="A443" s="127" t="s">
        <v>1102</v>
      </c>
      <c r="B443" s="127" t="s">
        <v>1699</v>
      </c>
      <c r="C443" s="127" t="s">
        <v>1102</v>
      </c>
      <c r="D443" s="127" t="s">
        <v>1696</v>
      </c>
      <c r="E443" s="127" t="s">
        <v>1699</v>
      </c>
      <c r="M443" s="127" t="s">
        <v>1687</v>
      </c>
      <c r="N443" s="127" t="s">
        <v>1709</v>
      </c>
      <c r="O443" s="123">
        <v>44501</v>
      </c>
      <c r="P443" s="123">
        <v>44589</v>
      </c>
      <c r="Q443" s="123">
        <v>44578</v>
      </c>
      <c r="R443" s="123">
        <v>44584</v>
      </c>
      <c r="S443" s="124">
        <v>3</v>
      </c>
      <c r="T443" s="124">
        <v>55</v>
      </c>
      <c r="U443" s="124">
        <v>1</v>
      </c>
      <c r="V443" s="125">
        <v>0</v>
      </c>
      <c r="W443" s="124">
        <v>0</v>
      </c>
      <c r="X443" s="126">
        <v>0.2</v>
      </c>
      <c r="Y443" s="126">
        <v>0</v>
      </c>
      <c r="Z443" s="126">
        <v>0</v>
      </c>
      <c r="AC443" s="125">
        <v>0</v>
      </c>
      <c r="AD443" s="124">
        <v>0</v>
      </c>
    </row>
    <row r="444" spans="1:30">
      <c r="A444" s="127" t="s">
        <v>1102</v>
      </c>
      <c r="B444" s="127" t="s">
        <v>1699</v>
      </c>
      <c r="C444" s="127" t="s">
        <v>1102</v>
      </c>
      <c r="D444" s="127" t="s">
        <v>1696</v>
      </c>
      <c r="E444" s="127" t="s">
        <v>1699</v>
      </c>
      <c r="M444" s="127" t="s">
        <v>1687</v>
      </c>
      <c r="N444" s="127" t="s">
        <v>1709</v>
      </c>
      <c r="O444" s="123">
        <v>44501</v>
      </c>
      <c r="P444" s="123">
        <v>44589</v>
      </c>
      <c r="Q444" s="123">
        <v>44585</v>
      </c>
      <c r="R444" s="123">
        <v>44591</v>
      </c>
      <c r="S444" s="124">
        <v>4</v>
      </c>
      <c r="T444" s="124">
        <v>56</v>
      </c>
      <c r="U444" s="124">
        <v>1</v>
      </c>
      <c r="V444" s="125">
        <v>0</v>
      </c>
      <c r="W444" s="124">
        <v>0</v>
      </c>
      <c r="X444" s="126">
        <v>0.2</v>
      </c>
      <c r="Y444" s="126">
        <v>0</v>
      </c>
      <c r="Z444" s="126">
        <v>0</v>
      </c>
      <c r="AC444" s="125">
        <v>0</v>
      </c>
      <c r="AD444" s="124">
        <v>0</v>
      </c>
    </row>
    <row r="445" spans="1:30">
      <c r="A445" s="127" t="s">
        <v>1102</v>
      </c>
      <c r="B445" s="127" t="s">
        <v>1701</v>
      </c>
      <c r="C445" s="127" t="s">
        <v>1102</v>
      </c>
      <c r="D445" s="127" t="s">
        <v>1700</v>
      </c>
      <c r="E445" s="127" t="s">
        <v>1701</v>
      </c>
      <c r="M445" s="127" t="s">
        <v>1683</v>
      </c>
      <c r="N445" s="127" t="s">
        <v>1406</v>
      </c>
      <c r="O445" s="123">
        <v>44221</v>
      </c>
      <c r="P445" s="123">
        <v>44651</v>
      </c>
      <c r="Q445" s="123">
        <v>44221</v>
      </c>
      <c r="R445" s="123">
        <v>44227</v>
      </c>
      <c r="S445" s="124">
        <v>4</v>
      </c>
      <c r="T445" s="124">
        <v>4</v>
      </c>
      <c r="U445" s="124">
        <v>5</v>
      </c>
      <c r="V445" s="125">
        <v>0</v>
      </c>
      <c r="W445" s="124">
        <v>0</v>
      </c>
      <c r="X445" s="126">
        <v>1</v>
      </c>
      <c r="Y445" s="126">
        <v>0</v>
      </c>
      <c r="Z445" s="126">
        <v>0</v>
      </c>
      <c r="AC445" s="125">
        <v>0</v>
      </c>
      <c r="AD445" s="124">
        <v>0</v>
      </c>
    </row>
    <row r="446" spans="1:30">
      <c r="A446" s="127" t="s">
        <v>1102</v>
      </c>
      <c r="B446" s="127" t="s">
        <v>1701</v>
      </c>
      <c r="C446" s="127" t="s">
        <v>1102</v>
      </c>
      <c r="D446" s="127" t="s">
        <v>1700</v>
      </c>
      <c r="E446" s="127" t="s">
        <v>1701</v>
      </c>
      <c r="M446" s="127" t="s">
        <v>1683</v>
      </c>
      <c r="N446" s="127" t="s">
        <v>1406</v>
      </c>
      <c r="O446" s="123">
        <v>44221</v>
      </c>
      <c r="P446" s="123">
        <v>44651</v>
      </c>
      <c r="Q446" s="123">
        <v>44228</v>
      </c>
      <c r="R446" s="123">
        <v>44234</v>
      </c>
      <c r="S446" s="124">
        <v>5</v>
      </c>
      <c r="T446" s="124">
        <v>5</v>
      </c>
      <c r="U446" s="124">
        <v>5</v>
      </c>
      <c r="V446" s="125">
        <v>0</v>
      </c>
      <c r="W446" s="124">
        <v>0</v>
      </c>
      <c r="X446" s="126">
        <v>1</v>
      </c>
      <c r="Y446" s="126">
        <v>0</v>
      </c>
      <c r="Z446" s="126">
        <v>0</v>
      </c>
      <c r="AC446" s="125">
        <v>0</v>
      </c>
      <c r="AD446" s="124">
        <v>0</v>
      </c>
    </row>
    <row r="447" spans="1:30">
      <c r="A447" s="127" t="s">
        <v>1102</v>
      </c>
      <c r="B447" s="127" t="s">
        <v>1701</v>
      </c>
      <c r="C447" s="127" t="s">
        <v>1102</v>
      </c>
      <c r="D447" s="127" t="s">
        <v>1700</v>
      </c>
      <c r="E447" s="127" t="s">
        <v>1701</v>
      </c>
      <c r="M447" s="127" t="s">
        <v>1683</v>
      </c>
      <c r="N447" s="127" t="s">
        <v>1406</v>
      </c>
      <c r="O447" s="123">
        <v>44221</v>
      </c>
      <c r="P447" s="123">
        <v>44651</v>
      </c>
      <c r="Q447" s="123">
        <v>44235</v>
      </c>
      <c r="R447" s="123">
        <v>44241</v>
      </c>
      <c r="S447" s="124">
        <v>6</v>
      </c>
      <c r="T447" s="124">
        <v>6</v>
      </c>
      <c r="U447" s="124">
        <v>3</v>
      </c>
      <c r="V447" s="125">
        <v>0</v>
      </c>
      <c r="W447" s="124">
        <v>0</v>
      </c>
      <c r="X447" s="126">
        <v>1</v>
      </c>
      <c r="Y447" s="126">
        <v>0</v>
      </c>
      <c r="Z447" s="126">
        <v>0</v>
      </c>
      <c r="AC447" s="125">
        <v>0</v>
      </c>
      <c r="AD447" s="124">
        <v>0</v>
      </c>
    </row>
    <row r="448" spans="1:30">
      <c r="A448" s="127" t="s">
        <v>1102</v>
      </c>
      <c r="B448" s="127" t="s">
        <v>1701</v>
      </c>
      <c r="C448" s="127" t="s">
        <v>1102</v>
      </c>
      <c r="D448" s="127" t="s">
        <v>1700</v>
      </c>
      <c r="E448" s="127" t="s">
        <v>1701</v>
      </c>
      <c r="M448" s="127" t="s">
        <v>1683</v>
      </c>
      <c r="N448" s="127" t="s">
        <v>1406</v>
      </c>
      <c r="O448" s="123">
        <v>44221</v>
      </c>
      <c r="P448" s="123">
        <v>44651</v>
      </c>
      <c r="Q448" s="123">
        <v>44242</v>
      </c>
      <c r="R448" s="123">
        <v>44248</v>
      </c>
      <c r="S448" s="124">
        <v>7</v>
      </c>
      <c r="T448" s="124">
        <v>7</v>
      </c>
      <c r="U448" s="124">
        <v>5</v>
      </c>
      <c r="V448" s="125">
        <v>0</v>
      </c>
      <c r="W448" s="124">
        <v>0</v>
      </c>
      <c r="X448" s="126">
        <v>1</v>
      </c>
      <c r="Y448" s="126">
        <v>0</v>
      </c>
      <c r="Z448" s="126">
        <v>0</v>
      </c>
      <c r="AC448" s="125">
        <v>0</v>
      </c>
      <c r="AD448" s="124">
        <v>0</v>
      </c>
    </row>
    <row r="449" spans="1:30">
      <c r="A449" s="127" t="s">
        <v>1102</v>
      </c>
      <c r="B449" s="127" t="s">
        <v>1701</v>
      </c>
      <c r="C449" s="127" t="s">
        <v>1102</v>
      </c>
      <c r="D449" s="127" t="s">
        <v>1700</v>
      </c>
      <c r="E449" s="127" t="s">
        <v>1701</v>
      </c>
      <c r="M449" s="127" t="s">
        <v>1683</v>
      </c>
      <c r="N449" s="127" t="s">
        <v>1406</v>
      </c>
      <c r="O449" s="123">
        <v>44221</v>
      </c>
      <c r="P449" s="123">
        <v>44651</v>
      </c>
      <c r="Q449" s="123">
        <v>44249</v>
      </c>
      <c r="R449" s="123">
        <v>44255</v>
      </c>
      <c r="S449" s="124">
        <v>8</v>
      </c>
      <c r="T449" s="124">
        <v>8</v>
      </c>
      <c r="U449" s="124">
        <v>5</v>
      </c>
      <c r="V449" s="125">
        <v>0</v>
      </c>
      <c r="W449" s="124">
        <v>0</v>
      </c>
      <c r="X449" s="126">
        <v>1</v>
      </c>
      <c r="Y449" s="126">
        <v>0</v>
      </c>
      <c r="Z449" s="126">
        <v>0</v>
      </c>
      <c r="AC449" s="125">
        <v>0</v>
      </c>
      <c r="AD449" s="124">
        <v>0</v>
      </c>
    </row>
    <row r="450" spans="1:30">
      <c r="A450" s="127" t="s">
        <v>1102</v>
      </c>
      <c r="B450" s="127" t="s">
        <v>1701</v>
      </c>
      <c r="C450" s="127" t="s">
        <v>1102</v>
      </c>
      <c r="D450" s="127" t="s">
        <v>1700</v>
      </c>
      <c r="E450" s="127" t="s">
        <v>1701</v>
      </c>
      <c r="M450" s="127" t="s">
        <v>1683</v>
      </c>
      <c r="N450" s="127" t="s">
        <v>1406</v>
      </c>
      <c r="O450" s="123">
        <v>44221</v>
      </c>
      <c r="P450" s="123">
        <v>44651</v>
      </c>
      <c r="Q450" s="123">
        <v>44256</v>
      </c>
      <c r="R450" s="123">
        <v>44262</v>
      </c>
      <c r="S450" s="124">
        <v>9</v>
      </c>
      <c r="T450" s="124">
        <v>9</v>
      </c>
      <c r="U450" s="124">
        <v>4</v>
      </c>
      <c r="V450" s="125">
        <v>0</v>
      </c>
      <c r="W450" s="124">
        <v>0</v>
      </c>
      <c r="X450" s="126">
        <v>1</v>
      </c>
      <c r="Y450" s="126">
        <v>0</v>
      </c>
      <c r="Z450" s="126">
        <v>0</v>
      </c>
      <c r="AC450" s="125">
        <v>0</v>
      </c>
      <c r="AD450" s="124">
        <v>0</v>
      </c>
    </row>
    <row r="451" spans="1:30">
      <c r="A451" s="127" t="s">
        <v>1102</v>
      </c>
      <c r="B451" s="127" t="s">
        <v>1701</v>
      </c>
      <c r="C451" s="127" t="s">
        <v>1102</v>
      </c>
      <c r="D451" s="127" t="s">
        <v>1700</v>
      </c>
      <c r="E451" s="127" t="s">
        <v>1701</v>
      </c>
      <c r="M451" s="127" t="s">
        <v>1683</v>
      </c>
      <c r="N451" s="127" t="s">
        <v>1406</v>
      </c>
      <c r="O451" s="123">
        <v>44221</v>
      </c>
      <c r="P451" s="123">
        <v>44651</v>
      </c>
      <c r="Q451" s="123">
        <v>44263</v>
      </c>
      <c r="R451" s="123">
        <v>44269</v>
      </c>
      <c r="S451" s="124">
        <v>10</v>
      </c>
      <c r="T451" s="124">
        <v>10</v>
      </c>
      <c r="U451" s="124">
        <v>5</v>
      </c>
      <c r="V451" s="125">
        <v>0</v>
      </c>
      <c r="W451" s="124">
        <v>0</v>
      </c>
      <c r="X451" s="126">
        <v>1</v>
      </c>
      <c r="Y451" s="126">
        <v>0</v>
      </c>
      <c r="Z451" s="126">
        <v>0</v>
      </c>
      <c r="AC451" s="125">
        <v>0</v>
      </c>
      <c r="AD451" s="124">
        <v>0</v>
      </c>
    </row>
    <row r="452" spans="1:30">
      <c r="A452" s="127" t="s">
        <v>1102</v>
      </c>
      <c r="B452" s="127" t="s">
        <v>1701</v>
      </c>
      <c r="C452" s="127" t="s">
        <v>1102</v>
      </c>
      <c r="D452" s="127" t="s">
        <v>1700</v>
      </c>
      <c r="E452" s="127" t="s">
        <v>1701</v>
      </c>
      <c r="M452" s="127" t="s">
        <v>1683</v>
      </c>
      <c r="N452" s="127" t="s">
        <v>1406</v>
      </c>
      <c r="O452" s="123">
        <v>44221</v>
      </c>
      <c r="P452" s="123">
        <v>44651</v>
      </c>
      <c r="Q452" s="123">
        <v>44270</v>
      </c>
      <c r="R452" s="123">
        <v>44276</v>
      </c>
      <c r="S452" s="124">
        <v>11</v>
      </c>
      <c r="T452" s="124">
        <v>11</v>
      </c>
      <c r="U452" s="124">
        <v>5</v>
      </c>
      <c r="V452" s="125">
        <v>0</v>
      </c>
      <c r="W452" s="124">
        <v>0</v>
      </c>
      <c r="X452" s="126">
        <v>1</v>
      </c>
      <c r="Y452" s="126">
        <v>0</v>
      </c>
      <c r="Z452" s="126">
        <v>0</v>
      </c>
      <c r="AC452" s="125">
        <v>0</v>
      </c>
      <c r="AD452" s="124">
        <v>0</v>
      </c>
    </row>
    <row r="453" spans="1:30">
      <c r="A453" s="127" t="s">
        <v>1102</v>
      </c>
      <c r="B453" s="127" t="s">
        <v>1701</v>
      </c>
      <c r="C453" s="127" t="s">
        <v>1102</v>
      </c>
      <c r="D453" s="127" t="s">
        <v>1700</v>
      </c>
      <c r="E453" s="127" t="s">
        <v>1701</v>
      </c>
      <c r="M453" s="127" t="s">
        <v>1683</v>
      </c>
      <c r="N453" s="127" t="s">
        <v>1406</v>
      </c>
      <c r="O453" s="123">
        <v>44221</v>
      </c>
      <c r="P453" s="123">
        <v>44651</v>
      </c>
      <c r="Q453" s="123">
        <v>44277</v>
      </c>
      <c r="R453" s="123">
        <v>44283</v>
      </c>
      <c r="S453" s="124">
        <v>12</v>
      </c>
      <c r="T453" s="124">
        <v>12</v>
      </c>
      <c r="U453" s="124">
        <v>5</v>
      </c>
      <c r="V453" s="125">
        <v>0</v>
      </c>
      <c r="W453" s="124">
        <v>0</v>
      </c>
      <c r="X453" s="126">
        <v>1</v>
      </c>
      <c r="Y453" s="126">
        <v>0</v>
      </c>
      <c r="Z453" s="126">
        <v>0</v>
      </c>
      <c r="AC453" s="125">
        <v>0</v>
      </c>
      <c r="AD453" s="124">
        <v>0</v>
      </c>
    </row>
    <row r="454" spans="1:30">
      <c r="A454" s="127" t="s">
        <v>1102</v>
      </c>
      <c r="B454" s="127" t="s">
        <v>1701</v>
      </c>
      <c r="C454" s="127" t="s">
        <v>1102</v>
      </c>
      <c r="D454" s="127" t="s">
        <v>1700</v>
      </c>
      <c r="E454" s="127" t="s">
        <v>1701</v>
      </c>
      <c r="M454" s="127" t="s">
        <v>1683</v>
      </c>
      <c r="N454" s="127" t="s">
        <v>1406</v>
      </c>
      <c r="O454" s="123">
        <v>44221</v>
      </c>
      <c r="P454" s="123">
        <v>44651</v>
      </c>
      <c r="Q454" s="123">
        <v>44284</v>
      </c>
      <c r="R454" s="123">
        <v>44290</v>
      </c>
      <c r="S454" s="124">
        <v>13</v>
      </c>
      <c r="T454" s="124">
        <v>13</v>
      </c>
      <c r="U454" s="124">
        <v>5</v>
      </c>
      <c r="V454" s="125">
        <v>0</v>
      </c>
      <c r="W454" s="124">
        <v>0</v>
      </c>
      <c r="X454" s="126">
        <v>1</v>
      </c>
      <c r="Y454" s="126">
        <v>0</v>
      </c>
      <c r="Z454" s="126">
        <v>0</v>
      </c>
      <c r="AC454" s="125">
        <v>0</v>
      </c>
      <c r="AD454" s="124">
        <v>0</v>
      </c>
    </row>
    <row r="455" spans="1:30">
      <c r="A455" s="127" t="s">
        <v>1102</v>
      </c>
      <c r="B455" s="127" t="s">
        <v>1701</v>
      </c>
      <c r="C455" s="127" t="s">
        <v>1102</v>
      </c>
      <c r="D455" s="127" t="s">
        <v>1700</v>
      </c>
      <c r="E455" s="127" t="s">
        <v>1701</v>
      </c>
      <c r="M455" s="127" t="s">
        <v>1683</v>
      </c>
      <c r="N455" s="127" t="s">
        <v>1406</v>
      </c>
      <c r="O455" s="123">
        <v>44221</v>
      </c>
      <c r="P455" s="123">
        <v>44651</v>
      </c>
      <c r="Q455" s="123">
        <v>44291</v>
      </c>
      <c r="R455" s="123">
        <v>44297</v>
      </c>
      <c r="S455" s="124">
        <v>14</v>
      </c>
      <c r="T455" s="124">
        <v>14</v>
      </c>
      <c r="U455" s="124">
        <v>5</v>
      </c>
      <c r="V455" s="125">
        <v>0</v>
      </c>
      <c r="W455" s="124">
        <v>0</v>
      </c>
      <c r="X455" s="126">
        <v>1</v>
      </c>
      <c r="Y455" s="126">
        <v>0</v>
      </c>
      <c r="Z455" s="126">
        <v>0</v>
      </c>
      <c r="AC455" s="125">
        <v>0</v>
      </c>
      <c r="AD455" s="124">
        <v>0</v>
      </c>
    </row>
    <row r="456" spans="1:30">
      <c r="A456" s="127" t="s">
        <v>1102</v>
      </c>
      <c r="B456" s="127" t="s">
        <v>1701</v>
      </c>
      <c r="C456" s="127" t="s">
        <v>1102</v>
      </c>
      <c r="D456" s="127" t="s">
        <v>1700</v>
      </c>
      <c r="E456" s="127" t="s">
        <v>1701</v>
      </c>
      <c r="M456" s="127" t="s">
        <v>1683</v>
      </c>
      <c r="N456" s="127" t="s">
        <v>1406</v>
      </c>
      <c r="O456" s="123">
        <v>44221</v>
      </c>
      <c r="P456" s="123">
        <v>44651</v>
      </c>
      <c r="Q456" s="123">
        <v>44298</v>
      </c>
      <c r="R456" s="123">
        <v>44304</v>
      </c>
      <c r="S456" s="124">
        <v>15</v>
      </c>
      <c r="T456" s="124">
        <v>15</v>
      </c>
      <c r="U456" s="124">
        <v>5</v>
      </c>
      <c r="V456" s="125">
        <v>0</v>
      </c>
      <c r="W456" s="124">
        <v>0</v>
      </c>
      <c r="X456" s="126">
        <v>1</v>
      </c>
      <c r="Y456" s="126">
        <v>0</v>
      </c>
      <c r="Z456" s="126">
        <v>0</v>
      </c>
      <c r="AC456" s="125">
        <v>0</v>
      </c>
      <c r="AD456" s="124">
        <v>0</v>
      </c>
    </row>
    <row r="457" spans="1:30">
      <c r="A457" s="127" t="s">
        <v>1102</v>
      </c>
      <c r="B457" s="127" t="s">
        <v>1701</v>
      </c>
      <c r="C457" s="127" t="s">
        <v>1102</v>
      </c>
      <c r="D457" s="127" t="s">
        <v>1700</v>
      </c>
      <c r="E457" s="127" t="s">
        <v>1701</v>
      </c>
      <c r="M457" s="127" t="s">
        <v>1683</v>
      </c>
      <c r="N457" s="127" t="s">
        <v>1406</v>
      </c>
      <c r="O457" s="123">
        <v>44221</v>
      </c>
      <c r="P457" s="123">
        <v>44651</v>
      </c>
      <c r="Q457" s="123">
        <v>44305</v>
      </c>
      <c r="R457" s="123">
        <v>44311</v>
      </c>
      <c r="S457" s="124">
        <v>16</v>
      </c>
      <c r="T457" s="124">
        <v>16</v>
      </c>
      <c r="U457" s="124">
        <v>5</v>
      </c>
      <c r="V457" s="125">
        <v>0</v>
      </c>
      <c r="W457" s="124">
        <v>0</v>
      </c>
      <c r="X457" s="126">
        <v>1</v>
      </c>
      <c r="Y457" s="126">
        <v>0</v>
      </c>
      <c r="Z457" s="126">
        <v>0</v>
      </c>
      <c r="AC457" s="125">
        <v>0</v>
      </c>
      <c r="AD457" s="124">
        <v>0</v>
      </c>
    </row>
    <row r="458" spans="1:30">
      <c r="A458" s="127" t="s">
        <v>1102</v>
      </c>
      <c r="B458" s="127" t="s">
        <v>1701</v>
      </c>
      <c r="C458" s="127" t="s">
        <v>1102</v>
      </c>
      <c r="D458" s="127" t="s">
        <v>1700</v>
      </c>
      <c r="E458" s="127" t="s">
        <v>1701</v>
      </c>
      <c r="M458" s="127" t="s">
        <v>1683</v>
      </c>
      <c r="N458" s="127" t="s">
        <v>1406</v>
      </c>
      <c r="O458" s="123">
        <v>44221</v>
      </c>
      <c r="P458" s="123">
        <v>44651</v>
      </c>
      <c r="Q458" s="123">
        <v>44312</v>
      </c>
      <c r="R458" s="123">
        <v>44318</v>
      </c>
      <c r="S458" s="124">
        <v>17</v>
      </c>
      <c r="T458" s="124">
        <v>17</v>
      </c>
      <c r="U458" s="124">
        <v>5</v>
      </c>
      <c r="V458" s="125">
        <v>0</v>
      </c>
      <c r="W458" s="124">
        <v>0</v>
      </c>
      <c r="X458" s="126">
        <v>1</v>
      </c>
      <c r="Y458" s="126">
        <v>0</v>
      </c>
      <c r="Z458" s="126">
        <v>0</v>
      </c>
      <c r="AC458" s="125">
        <v>0</v>
      </c>
      <c r="AD458" s="124">
        <v>0</v>
      </c>
    </row>
    <row r="459" spans="1:30">
      <c r="A459" s="127" t="s">
        <v>1102</v>
      </c>
      <c r="B459" s="127" t="s">
        <v>1701</v>
      </c>
      <c r="C459" s="127" t="s">
        <v>1102</v>
      </c>
      <c r="D459" s="127" t="s">
        <v>1700</v>
      </c>
      <c r="E459" s="127" t="s">
        <v>1701</v>
      </c>
      <c r="M459" s="127" t="s">
        <v>1683</v>
      </c>
      <c r="N459" s="127" t="s">
        <v>1406</v>
      </c>
      <c r="O459" s="123">
        <v>44221</v>
      </c>
      <c r="P459" s="123">
        <v>44651</v>
      </c>
      <c r="Q459" s="123">
        <v>44319</v>
      </c>
      <c r="R459" s="123">
        <v>44325</v>
      </c>
      <c r="S459" s="124">
        <v>18</v>
      </c>
      <c r="T459" s="124">
        <v>18</v>
      </c>
      <c r="U459" s="124">
        <v>4</v>
      </c>
      <c r="V459" s="125">
        <v>0</v>
      </c>
      <c r="W459" s="124">
        <v>0</v>
      </c>
      <c r="X459" s="126">
        <v>1</v>
      </c>
      <c r="Y459" s="126">
        <v>0</v>
      </c>
      <c r="Z459" s="126">
        <v>0</v>
      </c>
      <c r="AC459" s="125">
        <v>0</v>
      </c>
      <c r="AD459" s="124">
        <v>0</v>
      </c>
    </row>
    <row r="460" spans="1:30">
      <c r="A460" s="127" t="s">
        <v>1102</v>
      </c>
      <c r="B460" s="127" t="s">
        <v>1701</v>
      </c>
      <c r="C460" s="127" t="s">
        <v>1102</v>
      </c>
      <c r="D460" s="127" t="s">
        <v>1700</v>
      </c>
      <c r="E460" s="127" t="s">
        <v>1701</v>
      </c>
      <c r="M460" s="127" t="s">
        <v>1683</v>
      </c>
      <c r="N460" s="127" t="s">
        <v>1406</v>
      </c>
      <c r="O460" s="123">
        <v>44221</v>
      </c>
      <c r="P460" s="123">
        <v>44651</v>
      </c>
      <c r="Q460" s="123">
        <v>44326</v>
      </c>
      <c r="R460" s="123">
        <v>44332</v>
      </c>
      <c r="S460" s="124">
        <v>19</v>
      </c>
      <c r="T460" s="124">
        <v>19</v>
      </c>
      <c r="U460" s="124">
        <v>5</v>
      </c>
      <c r="V460" s="125">
        <v>0</v>
      </c>
      <c r="W460" s="124">
        <v>0</v>
      </c>
      <c r="X460" s="126">
        <v>1</v>
      </c>
      <c r="Y460" s="126">
        <v>0</v>
      </c>
      <c r="Z460" s="126">
        <v>0</v>
      </c>
      <c r="AC460" s="125">
        <v>0</v>
      </c>
      <c r="AD460" s="124">
        <v>0</v>
      </c>
    </row>
    <row r="461" spans="1:30">
      <c r="A461" s="127" t="s">
        <v>1102</v>
      </c>
      <c r="B461" s="127" t="s">
        <v>1701</v>
      </c>
      <c r="C461" s="127" t="s">
        <v>1102</v>
      </c>
      <c r="D461" s="127" t="s">
        <v>1700</v>
      </c>
      <c r="E461" s="127" t="s">
        <v>1701</v>
      </c>
      <c r="M461" s="127" t="s">
        <v>1683</v>
      </c>
      <c r="N461" s="127" t="s">
        <v>1406</v>
      </c>
      <c r="O461" s="123">
        <v>44221</v>
      </c>
      <c r="P461" s="123">
        <v>44651</v>
      </c>
      <c r="Q461" s="123">
        <v>44333</v>
      </c>
      <c r="R461" s="123">
        <v>44339</v>
      </c>
      <c r="S461" s="124">
        <v>20</v>
      </c>
      <c r="T461" s="124">
        <v>20</v>
      </c>
      <c r="U461" s="124">
        <v>4</v>
      </c>
      <c r="V461" s="125">
        <v>0</v>
      </c>
      <c r="W461" s="124">
        <v>0</v>
      </c>
      <c r="X461" s="126">
        <v>1</v>
      </c>
      <c r="Y461" s="126">
        <v>0</v>
      </c>
      <c r="Z461" s="126">
        <v>0</v>
      </c>
      <c r="AC461" s="125">
        <v>0</v>
      </c>
      <c r="AD461" s="124">
        <v>0</v>
      </c>
    </row>
    <row r="462" spans="1:30">
      <c r="A462" s="127" t="s">
        <v>1102</v>
      </c>
      <c r="B462" s="127" t="s">
        <v>1701</v>
      </c>
      <c r="C462" s="127" t="s">
        <v>1102</v>
      </c>
      <c r="D462" s="127" t="s">
        <v>1700</v>
      </c>
      <c r="E462" s="127" t="s">
        <v>1701</v>
      </c>
      <c r="M462" s="127" t="s">
        <v>1683</v>
      </c>
      <c r="N462" s="127" t="s">
        <v>1406</v>
      </c>
      <c r="O462" s="123">
        <v>44221</v>
      </c>
      <c r="P462" s="123">
        <v>44651</v>
      </c>
      <c r="Q462" s="123">
        <v>44340</v>
      </c>
      <c r="R462" s="123">
        <v>44346</v>
      </c>
      <c r="S462" s="124">
        <v>21</v>
      </c>
      <c r="T462" s="124">
        <v>21</v>
      </c>
      <c r="U462" s="124">
        <v>5</v>
      </c>
      <c r="V462" s="125">
        <v>0</v>
      </c>
      <c r="W462" s="124">
        <v>0</v>
      </c>
      <c r="X462" s="126">
        <v>1</v>
      </c>
      <c r="Y462" s="126">
        <v>0</v>
      </c>
      <c r="Z462" s="126">
        <v>0</v>
      </c>
      <c r="AC462" s="125">
        <v>0</v>
      </c>
      <c r="AD462" s="124">
        <v>0</v>
      </c>
    </row>
    <row r="463" spans="1:30">
      <c r="A463" s="127" t="s">
        <v>1102</v>
      </c>
      <c r="B463" s="127" t="s">
        <v>1701</v>
      </c>
      <c r="C463" s="127" t="s">
        <v>1102</v>
      </c>
      <c r="D463" s="127" t="s">
        <v>1700</v>
      </c>
      <c r="E463" s="127" t="s">
        <v>1701</v>
      </c>
      <c r="M463" s="127" t="s">
        <v>1683</v>
      </c>
      <c r="N463" s="127" t="s">
        <v>1406</v>
      </c>
      <c r="O463" s="123">
        <v>44221</v>
      </c>
      <c r="P463" s="123">
        <v>44651</v>
      </c>
      <c r="Q463" s="123">
        <v>44347</v>
      </c>
      <c r="R463" s="123">
        <v>44353</v>
      </c>
      <c r="S463" s="124">
        <v>22</v>
      </c>
      <c r="T463" s="124">
        <v>22</v>
      </c>
      <c r="U463" s="124">
        <v>5</v>
      </c>
      <c r="V463" s="125">
        <v>0</v>
      </c>
      <c r="W463" s="124">
        <v>0</v>
      </c>
      <c r="X463" s="126">
        <v>1</v>
      </c>
      <c r="Y463" s="126">
        <v>0</v>
      </c>
      <c r="Z463" s="126">
        <v>0</v>
      </c>
      <c r="AC463" s="125">
        <v>0</v>
      </c>
      <c r="AD463" s="124">
        <v>0</v>
      </c>
    </row>
    <row r="464" spans="1:30">
      <c r="A464" s="127" t="s">
        <v>1102</v>
      </c>
      <c r="B464" s="127" t="s">
        <v>1701</v>
      </c>
      <c r="C464" s="127" t="s">
        <v>1102</v>
      </c>
      <c r="D464" s="127" t="s">
        <v>1700</v>
      </c>
      <c r="E464" s="127" t="s">
        <v>1701</v>
      </c>
      <c r="M464" s="127" t="s">
        <v>1683</v>
      </c>
      <c r="N464" s="127" t="s">
        <v>1406</v>
      </c>
      <c r="O464" s="123">
        <v>44221</v>
      </c>
      <c r="P464" s="123">
        <v>44651</v>
      </c>
      <c r="Q464" s="123">
        <v>44354</v>
      </c>
      <c r="R464" s="123">
        <v>44360</v>
      </c>
      <c r="S464" s="124">
        <v>23</v>
      </c>
      <c r="T464" s="124">
        <v>23</v>
      </c>
      <c r="U464" s="124">
        <v>5</v>
      </c>
      <c r="V464" s="125">
        <v>0</v>
      </c>
      <c r="W464" s="124">
        <v>0</v>
      </c>
      <c r="X464" s="126">
        <v>1</v>
      </c>
      <c r="Y464" s="126">
        <v>0</v>
      </c>
      <c r="Z464" s="126">
        <v>0</v>
      </c>
      <c r="AC464" s="125">
        <v>0</v>
      </c>
      <c r="AD464" s="124">
        <v>0</v>
      </c>
    </row>
    <row r="465" spans="1:30">
      <c r="A465" s="127" t="s">
        <v>1102</v>
      </c>
      <c r="B465" s="127" t="s">
        <v>1701</v>
      </c>
      <c r="C465" s="127" t="s">
        <v>1102</v>
      </c>
      <c r="D465" s="127" t="s">
        <v>1700</v>
      </c>
      <c r="E465" s="127" t="s">
        <v>1701</v>
      </c>
      <c r="M465" s="127" t="s">
        <v>1683</v>
      </c>
      <c r="N465" s="127" t="s">
        <v>1406</v>
      </c>
      <c r="O465" s="123">
        <v>44221</v>
      </c>
      <c r="P465" s="123">
        <v>44651</v>
      </c>
      <c r="Q465" s="123">
        <v>44361</v>
      </c>
      <c r="R465" s="123">
        <v>44367</v>
      </c>
      <c r="S465" s="124">
        <v>24</v>
      </c>
      <c r="T465" s="124">
        <v>24</v>
      </c>
      <c r="U465" s="124">
        <v>5</v>
      </c>
      <c r="V465" s="125">
        <v>0</v>
      </c>
      <c r="W465" s="124">
        <v>0</v>
      </c>
      <c r="X465" s="126">
        <v>1</v>
      </c>
      <c r="Y465" s="126">
        <v>0</v>
      </c>
      <c r="Z465" s="126">
        <v>0</v>
      </c>
      <c r="AC465" s="125">
        <v>0</v>
      </c>
      <c r="AD465" s="124">
        <v>0</v>
      </c>
    </row>
    <row r="466" spans="1:30">
      <c r="A466" s="127" t="s">
        <v>1102</v>
      </c>
      <c r="B466" s="127" t="s">
        <v>1701</v>
      </c>
      <c r="C466" s="127" t="s">
        <v>1102</v>
      </c>
      <c r="D466" s="127" t="s">
        <v>1700</v>
      </c>
      <c r="E466" s="127" t="s">
        <v>1701</v>
      </c>
      <c r="M466" s="127" t="s">
        <v>1683</v>
      </c>
      <c r="N466" s="127" t="s">
        <v>1406</v>
      </c>
      <c r="O466" s="123">
        <v>44221</v>
      </c>
      <c r="P466" s="123">
        <v>44651</v>
      </c>
      <c r="Q466" s="123">
        <v>44368</v>
      </c>
      <c r="R466" s="123">
        <v>44374</v>
      </c>
      <c r="S466" s="124">
        <v>25</v>
      </c>
      <c r="T466" s="124">
        <v>25</v>
      </c>
      <c r="U466" s="124">
        <v>5</v>
      </c>
      <c r="V466" s="125">
        <v>0</v>
      </c>
      <c r="W466" s="124">
        <v>0</v>
      </c>
      <c r="X466" s="126">
        <v>1</v>
      </c>
      <c r="Y466" s="126">
        <v>0</v>
      </c>
      <c r="Z466" s="126">
        <v>0</v>
      </c>
      <c r="AC466" s="125">
        <v>0</v>
      </c>
      <c r="AD466" s="124">
        <v>0</v>
      </c>
    </row>
    <row r="467" spans="1:30">
      <c r="A467" s="127" t="s">
        <v>1102</v>
      </c>
      <c r="B467" s="127" t="s">
        <v>1701</v>
      </c>
      <c r="C467" s="127" t="s">
        <v>1102</v>
      </c>
      <c r="D467" s="127" t="s">
        <v>1700</v>
      </c>
      <c r="E467" s="127" t="s">
        <v>1701</v>
      </c>
      <c r="M467" s="127" t="s">
        <v>1683</v>
      </c>
      <c r="N467" s="127" t="s">
        <v>1406</v>
      </c>
      <c r="O467" s="123">
        <v>44221</v>
      </c>
      <c r="P467" s="123">
        <v>44651</v>
      </c>
      <c r="Q467" s="123">
        <v>44375</v>
      </c>
      <c r="R467" s="123">
        <v>44381</v>
      </c>
      <c r="S467" s="124">
        <v>26</v>
      </c>
      <c r="T467" s="124">
        <v>26</v>
      </c>
      <c r="U467" s="124">
        <v>5</v>
      </c>
      <c r="V467" s="125">
        <v>0</v>
      </c>
      <c r="W467" s="124">
        <v>0</v>
      </c>
      <c r="X467" s="126">
        <v>1</v>
      </c>
      <c r="Y467" s="126">
        <v>0</v>
      </c>
      <c r="Z467" s="126">
        <v>0</v>
      </c>
      <c r="AC467" s="125">
        <v>0</v>
      </c>
      <c r="AD467" s="124">
        <v>0</v>
      </c>
    </row>
    <row r="468" spans="1:30">
      <c r="A468" s="127" t="s">
        <v>1102</v>
      </c>
      <c r="B468" s="127" t="s">
        <v>1701</v>
      </c>
      <c r="C468" s="127" t="s">
        <v>1102</v>
      </c>
      <c r="D468" s="127" t="s">
        <v>1700</v>
      </c>
      <c r="E468" s="127" t="s">
        <v>1701</v>
      </c>
      <c r="M468" s="127" t="s">
        <v>1683</v>
      </c>
      <c r="N468" s="127" t="s">
        <v>1406</v>
      </c>
      <c r="O468" s="123">
        <v>44221</v>
      </c>
      <c r="P468" s="123">
        <v>44651</v>
      </c>
      <c r="Q468" s="123">
        <v>44382</v>
      </c>
      <c r="R468" s="123">
        <v>44388</v>
      </c>
      <c r="S468" s="124">
        <v>27</v>
      </c>
      <c r="T468" s="124">
        <v>27</v>
      </c>
      <c r="U468" s="124">
        <v>5</v>
      </c>
      <c r="V468" s="125">
        <v>0</v>
      </c>
      <c r="W468" s="124">
        <v>0</v>
      </c>
      <c r="X468" s="126">
        <v>1</v>
      </c>
      <c r="Y468" s="126">
        <v>0</v>
      </c>
      <c r="Z468" s="126">
        <v>0</v>
      </c>
      <c r="AC468" s="125">
        <v>0</v>
      </c>
      <c r="AD468" s="124">
        <v>0</v>
      </c>
    </row>
    <row r="469" spans="1:30">
      <c r="A469" s="127" t="s">
        <v>1102</v>
      </c>
      <c r="B469" s="127" t="s">
        <v>1701</v>
      </c>
      <c r="C469" s="127" t="s">
        <v>1102</v>
      </c>
      <c r="D469" s="127" t="s">
        <v>1700</v>
      </c>
      <c r="E469" s="127" t="s">
        <v>1701</v>
      </c>
      <c r="M469" s="127" t="s">
        <v>1683</v>
      </c>
      <c r="N469" s="127" t="s">
        <v>1406</v>
      </c>
      <c r="O469" s="123">
        <v>44221</v>
      </c>
      <c r="P469" s="123">
        <v>44651</v>
      </c>
      <c r="Q469" s="123">
        <v>44389</v>
      </c>
      <c r="R469" s="123">
        <v>44395</v>
      </c>
      <c r="S469" s="124">
        <v>28</v>
      </c>
      <c r="T469" s="124">
        <v>28</v>
      </c>
      <c r="U469" s="124">
        <v>5</v>
      </c>
      <c r="V469" s="125">
        <v>0</v>
      </c>
      <c r="W469" s="124">
        <v>0</v>
      </c>
      <c r="X469" s="126">
        <v>1</v>
      </c>
      <c r="Y469" s="126">
        <v>0</v>
      </c>
      <c r="Z469" s="126">
        <v>0</v>
      </c>
      <c r="AC469" s="125">
        <v>0</v>
      </c>
      <c r="AD469" s="124">
        <v>0</v>
      </c>
    </row>
    <row r="470" spans="1:30">
      <c r="A470" s="127" t="s">
        <v>1102</v>
      </c>
      <c r="B470" s="127" t="s">
        <v>1701</v>
      </c>
      <c r="C470" s="127" t="s">
        <v>1102</v>
      </c>
      <c r="D470" s="127" t="s">
        <v>1700</v>
      </c>
      <c r="E470" s="127" t="s">
        <v>1701</v>
      </c>
      <c r="M470" s="127" t="s">
        <v>1683</v>
      </c>
      <c r="N470" s="127" t="s">
        <v>1406</v>
      </c>
      <c r="O470" s="123">
        <v>44221</v>
      </c>
      <c r="P470" s="123">
        <v>44651</v>
      </c>
      <c r="Q470" s="123">
        <v>44396</v>
      </c>
      <c r="R470" s="123">
        <v>44402</v>
      </c>
      <c r="S470" s="124">
        <v>29</v>
      </c>
      <c r="T470" s="124">
        <v>29</v>
      </c>
      <c r="U470" s="124">
        <v>5</v>
      </c>
      <c r="V470" s="125">
        <v>0</v>
      </c>
      <c r="W470" s="124">
        <v>0</v>
      </c>
      <c r="X470" s="126">
        <v>1</v>
      </c>
      <c r="Y470" s="126">
        <v>0</v>
      </c>
      <c r="Z470" s="126">
        <v>0</v>
      </c>
      <c r="AC470" s="125">
        <v>0</v>
      </c>
      <c r="AD470" s="124">
        <v>0</v>
      </c>
    </row>
    <row r="471" spans="1:30">
      <c r="A471" s="127" t="s">
        <v>1102</v>
      </c>
      <c r="B471" s="127" t="s">
        <v>1701</v>
      </c>
      <c r="C471" s="127" t="s">
        <v>1102</v>
      </c>
      <c r="D471" s="127" t="s">
        <v>1700</v>
      </c>
      <c r="E471" s="127" t="s">
        <v>1701</v>
      </c>
      <c r="M471" s="127" t="s">
        <v>1683</v>
      </c>
      <c r="N471" s="127" t="s">
        <v>1406</v>
      </c>
      <c r="O471" s="123">
        <v>44221</v>
      </c>
      <c r="P471" s="123">
        <v>44651</v>
      </c>
      <c r="Q471" s="123">
        <v>44403</v>
      </c>
      <c r="R471" s="123">
        <v>44409</v>
      </c>
      <c r="S471" s="124">
        <v>30</v>
      </c>
      <c r="T471" s="124">
        <v>30</v>
      </c>
      <c r="U471" s="124">
        <v>5</v>
      </c>
      <c r="V471" s="125">
        <v>0</v>
      </c>
      <c r="W471" s="124">
        <v>0</v>
      </c>
      <c r="X471" s="126">
        <v>1</v>
      </c>
      <c r="Y471" s="126">
        <v>0</v>
      </c>
      <c r="Z471" s="126">
        <v>0</v>
      </c>
      <c r="AC471" s="125">
        <v>0</v>
      </c>
      <c r="AD471" s="124">
        <v>0</v>
      </c>
    </row>
    <row r="472" spans="1:30">
      <c r="A472" s="127" t="s">
        <v>1102</v>
      </c>
      <c r="B472" s="127" t="s">
        <v>1701</v>
      </c>
      <c r="C472" s="127" t="s">
        <v>1102</v>
      </c>
      <c r="D472" s="127" t="s">
        <v>1700</v>
      </c>
      <c r="E472" s="127" t="s">
        <v>1701</v>
      </c>
      <c r="M472" s="127" t="s">
        <v>1683</v>
      </c>
      <c r="N472" s="127" t="s">
        <v>1406</v>
      </c>
      <c r="O472" s="123">
        <v>44221</v>
      </c>
      <c r="P472" s="123">
        <v>44651</v>
      </c>
      <c r="Q472" s="123">
        <v>44410</v>
      </c>
      <c r="R472" s="123">
        <v>44416</v>
      </c>
      <c r="S472" s="124">
        <v>31</v>
      </c>
      <c r="T472" s="124">
        <v>31</v>
      </c>
      <c r="U472" s="124">
        <v>5</v>
      </c>
      <c r="V472" s="125">
        <v>0</v>
      </c>
      <c r="W472" s="124">
        <v>0</v>
      </c>
      <c r="X472" s="126">
        <v>1</v>
      </c>
      <c r="Y472" s="126">
        <v>0</v>
      </c>
      <c r="Z472" s="126">
        <v>0</v>
      </c>
      <c r="AC472" s="125">
        <v>0</v>
      </c>
      <c r="AD472" s="124">
        <v>0</v>
      </c>
    </row>
    <row r="473" spans="1:30">
      <c r="A473" s="127" t="s">
        <v>1102</v>
      </c>
      <c r="B473" s="127" t="s">
        <v>1701</v>
      </c>
      <c r="C473" s="127" t="s">
        <v>1102</v>
      </c>
      <c r="D473" s="127" t="s">
        <v>1700</v>
      </c>
      <c r="E473" s="127" t="s">
        <v>1701</v>
      </c>
      <c r="M473" s="127" t="s">
        <v>1683</v>
      </c>
      <c r="N473" s="127" t="s">
        <v>1406</v>
      </c>
      <c r="O473" s="123">
        <v>44221</v>
      </c>
      <c r="P473" s="123">
        <v>44651</v>
      </c>
      <c r="Q473" s="123">
        <v>44417</v>
      </c>
      <c r="R473" s="123">
        <v>44423</v>
      </c>
      <c r="S473" s="124">
        <v>32</v>
      </c>
      <c r="T473" s="124">
        <v>32</v>
      </c>
      <c r="U473" s="124">
        <v>5</v>
      </c>
      <c r="V473" s="125">
        <v>0</v>
      </c>
      <c r="W473" s="124">
        <v>0</v>
      </c>
      <c r="X473" s="126">
        <v>1</v>
      </c>
      <c r="Y473" s="126">
        <v>0</v>
      </c>
      <c r="Z473" s="126">
        <v>0</v>
      </c>
      <c r="AC473" s="125">
        <v>0</v>
      </c>
      <c r="AD473" s="124">
        <v>0</v>
      </c>
    </row>
    <row r="474" spans="1:30">
      <c r="A474" s="127" t="s">
        <v>1102</v>
      </c>
      <c r="B474" s="127" t="s">
        <v>1701</v>
      </c>
      <c r="C474" s="127" t="s">
        <v>1102</v>
      </c>
      <c r="D474" s="127" t="s">
        <v>1700</v>
      </c>
      <c r="E474" s="127" t="s">
        <v>1701</v>
      </c>
      <c r="M474" s="127" t="s">
        <v>1683</v>
      </c>
      <c r="N474" s="127" t="s">
        <v>1406</v>
      </c>
      <c r="O474" s="123">
        <v>44221</v>
      </c>
      <c r="P474" s="123">
        <v>44651</v>
      </c>
      <c r="Q474" s="123">
        <v>44424</v>
      </c>
      <c r="R474" s="123">
        <v>44430</v>
      </c>
      <c r="S474" s="124">
        <v>33</v>
      </c>
      <c r="T474" s="124">
        <v>33</v>
      </c>
      <c r="U474" s="124">
        <v>5</v>
      </c>
      <c r="V474" s="125">
        <v>0</v>
      </c>
      <c r="W474" s="124">
        <v>0</v>
      </c>
      <c r="X474" s="126">
        <v>1</v>
      </c>
      <c r="Y474" s="126">
        <v>0</v>
      </c>
      <c r="Z474" s="126">
        <v>0</v>
      </c>
      <c r="AC474" s="125">
        <v>0</v>
      </c>
      <c r="AD474" s="124">
        <v>0</v>
      </c>
    </row>
    <row r="475" spans="1:30">
      <c r="A475" s="127" t="s">
        <v>1102</v>
      </c>
      <c r="B475" s="127" t="s">
        <v>1701</v>
      </c>
      <c r="C475" s="127" t="s">
        <v>1102</v>
      </c>
      <c r="D475" s="127" t="s">
        <v>1700</v>
      </c>
      <c r="E475" s="127" t="s">
        <v>1701</v>
      </c>
      <c r="M475" s="127" t="s">
        <v>1683</v>
      </c>
      <c r="N475" s="127" t="s">
        <v>1406</v>
      </c>
      <c r="O475" s="123">
        <v>44221</v>
      </c>
      <c r="P475" s="123">
        <v>44651</v>
      </c>
      <c r="Q475" s="123">
        <v>44431</v>
      </c>
      <c r="R475" s="123">
        <v>44437</v>
      </c>
      <c r="S475" s="124">
        <v>34</v>
      </c>
      <c r="T475" s="124">
        <v>34</v>
      </c>
      <c r="U475" s="124">
        <v>5</v>
      </c>
      <c r="V475" s="125">
        <v>0</v>
      </c>
      <c r="W475" s="124">
        <v>0</v>
      </c>
      <c r="X475" s="126">
        <v>1</v>
      </c>
      <c r="Y475" s="126">
        <v>0</v>
      </c>
      <c r="Z475" s="126">
        <v>0</v>
      </c>
      <c r="AC475" s="125">
        <v>0</v>
      </c>
      <c r="AD475" s="124">
        <v>0</v>
      </c>
    </row>
    <row r="476" spans="1:30">
      <c r="A476" s="127" t="s">
        <v>1102</v>
      </c>
      <c r="B476" s="127" t="s">
        <v>1701</v>
      </c>
      <c r="C476" s="127" t="s">
        <v>1102</v>
      </c>
      <c r="D476" s="127" t="s">
        <v>1700</v>
      </c>
      <c r="E476" s="127" t="s">
        <v>1701</v>
      </c>
      <c r="M476" s="127" t="s">
        <v>1683</v>
      </c>
      <c r="N476" s="127" t="s">
        <v>1406</v>
      </c>
      <c r="O476" s="123">
        <v>44221</v>
      </c>
      <c r="P476" s="123">
        <v>44651</v>
      </c>
      <c r="Q476" s="123">
        <v>44438</v>
      </c>
      <c r="R476" s="123">
        <v>44444</v>
      </c>
      <c r="S476" s="124">
        <v>35</v>
      </c>
      <c r="T476" s="124">
        <v>35</v>
      </c>
      <c r="U476" s="124">
        <v>5</v>
      </c>
      <c r="V476" s="125">
        <v>0</v>
      </c>
      <c r="W476" s="124">
        <v>0</v>
      </c>
      <c r="X476" s="126">
        <v>1</v>
      </c>
      <c r="Y476" s="126">
        <v>0</v>
      </c>
      <c r="Z476" s="126">
        <v>0</v>
      </c>
      <c r="AC476" s="125">
        <v>0</v>
      </c>
      <c r="AD476" s="124">
        <v>0</v>
      </c>
    </row>
    <row r="477" spans="1:30">
      <c r="A477" s="127" t="s">
        <v>1102</v>
      </c>
      <c r="B477" s="127" t="s">
        <v>1701</v>
      </c>
      <c r="C477" s="127" t="s">
        <v>1102</v>
      </c>
      <c r="D477" s="127" t="s">
        <v>1700</v>
      </c>
      <c r="E477" s="127" t="s">
        <v>1701</v>
      </c>
      <c r="M477" s="127" t="s">
        <v>1683</v>
      </c>
      <c r="N477" s="127" t="s">
        <v>1406</v>
      </c>
      <c r="O477" s="123">
        <v>44221</v>
      </c>
      <c r="P477" s="123">
        <v>44651</v>
      </c>
      <c r="Q477" s="123">
        <v>44445</v>
      </c>
      <c r="R477" s="123">
        <v>44451</v>
      </c>
      <c r="S477" s="124">
        <v>36</v>
      </c>
      <c r="T477" s="124">
        <v>36</v>
      </c>
      <c r="U477" s="124">
        <v>5</v>
      </c>
      <c r="V477" s="125">
        <v>0</v>
      </c>
      <c r="W477" s="124">
        <v>0</v>
      </c>
      <c r="X477" s="126">
        <v>1</v>
      </c>
      <c r="Y477" s="126">
        <v>0</v>
      </c>
      <c r="Z477" s="126">
        <v>0</v>
      </c>
      <c r="AC477" s="125">
        <v>0</v>
      </c>
      <c r="AD477" s="124">
        <v>0</v>
      </c>
    </row>
    <row r="478" spans="1:30">
      <c r="A478" s="127" t="s">
        <v>1102</v>
      </c>
      <c r="B478" s="127" t="s">
        <v>1701</v>
      </c>
      <c r="C478" s="127" t="s">
        <v>1102</v>
      </c>
      <c r="D478" s="127" t="s">
        <v>1700</v>
      </c>
      <c r="E478" s="127" t="s">
        <v>1701</v>
      </c>
      <c r="M478" s="127" t="s">
        <v>1683</v>
      </c>
      <c r="N478" s="127" t="s">
        <v>1406</v>
      </c>
      <c r="O478" s="123">
        <v>44221</v>
      </c>
      <c r="P478" s="123">
        <v>44651</v>
      </c>
      <c r="Q478" s="123">
        <v>44452</v>
      </c>
      <c r="R478" s="123">
        <v>44458</v>
      </c>
      <c r="S478" s="124">
        <v>37</v>
      </c>
      <c r="T478" s="124">
        <v>37</v>
      </c>
      <c r="U478" s="124">
        <v>5</v>
      </c>
      <c r="V478" s="125">
        <v>0</v>
      </c>
      <c r="W478" s="124">
        <v>0</v>
      </c>
      <c r="X478" s="126">
        <v>1</v>
      </c>
      <c r="Y478" s="126">
        <v>0</v>
      </c>
      <c r="Z478" s="126">
        <v>0</v>
      </c>
      <c r="AC478" s="125">
        <v>0</v>
      </c>
      <c r="AD478" s="124">
        <v>0</v>
      </c>
    </row>
    <row r="479" spans="1:30">
      <c r="A479" s="127" t="s">
        <v>1102</v>
      </c>
      <c r="B479" s="127" t="s">
        <v>1701</v>
      </c>
      <c r="C479" s="127" t="s">
        <v>1102</v>
      </c>
      <c r="D479" s="127" t="s">
        <v>1700</v>
      </c>
      <c r="E479" s="127" t="s">
        <v>1701</v>
      </c>
      <c r="M479" s="127" t="s">
        <v>1683</v>
      </c>
      <c r="N479" s="127" t="s">
        <v>1406</v>
      </c>
      <c r="O479" s="123">
        <v>44221</v>
      </c>
      <c r="P479" s="123">
        <v>44651</v>
      </c>
      <c r="Q479" s="123">
        <v>44459</v>
      </c>
      <c r="R479" s="123">
        <v>44465</v>
      </c>
      <c r="S479" s="124">
        <v>38</v>
      </c>
      <c r="T479" s="124">
        <v>38</v>
      </c>
      <c r="U479" s="124">
        <v>2</v>
      </c>
      <c r="V479" s="125">
        <v>0</v>
      </c>
      <c r="W479" s="124">
        <v>0</v>
      </c>
      <c r="X479" s="126">
        <v>1</v>
      </c>
      <c r="Y479" s="126">
        <v>0</v>
      </c>
      <c r="Z479" s="126">
        <v>0</v>
      </c>
      <c r="AC479" s="125">
        <v>0</v>
      </c>
      <c r="AD479" s="124">
        <v>0</v>
      </c>
    </row>
    <row r="480" spans="1:30">
      <c r="A480" s="127" t="s">
        <v>1102</v>
      </c>
      <c r="B480" s="127" t="s">
        <v>1701</v>
      </c>
      <c r="C480" s="127" t="s">
        <v>1102</v>
      </c>
      <c r="D480" s="127" t="s">
        <v>1700</v>
      </c>
      <c r="E480" s="127" t="s">
        <v>1701</v>
      </c>
      <c r="M480" s="127" t="s">
        <v>1683</v>
      </c>
      <c r="N480" s="127" t="s">
        <v>1406</v>
      </c>
      <c r="O480" s="123">
        <v>44221</v>
      </c>
      <c r="P480" s="123">
        <v>44651</v>
      </c>
      <c r="Q480" s="123">
        <v>44466</v>
      </c>
      <c r="R480" s="123">
        <v>44472</v>
      </c>
      <c r="S480" s="124">
        <v>39</v>
      </c>
      <c r="T480" s="124">
        <v>39</v>
      </c>
      <c r="U480" s="124">
        <v>5</v>
      </c>
      <c r="V480" s="125">
        <v>0</v>
      </c>
      <c r="W480" s="124">
        <v>0</v>
      </c>
      <c r="X480" s="126">
        <v>1</v>
      </c>
      <c r="Y480" s="126">
        <v>0</v>
      </c>
      <c r="Z480" s="126">
        <v>0</v>
      </c>
      <c r="AC480" s="125">
        <v>0</v>
      </c>
      <c r="AD480" s="124">
        <v>0</v>
      </c>
    </row>
    <row r="481" spans="1:30">
      <c r="A481" s="127" t="s">
        <v>1102</v>
      </c>
      <c r="B481" s="127" t="s">
        <v>1701</v>
      </c>
      <c r="C481" s="127" t="s">
        <v>1102</v>
      </c>
      <c r="D481" s="127" t="s">
        <v>1700</v>
      </c>
      <c r="E481" s="127" t="s">
        <v>1701</v>
      </c>
      <c r="M481" s="127" t="s">
        <v>1683</v>
      </c>
      <c r="N481" s="127" t="s">
        <v>1406</v>
      </c>
      <c r="O481" s="123">
        <v>44221</v>
      </c>
      <c r="P481" s="123">
        <v>44651</v>
      </c>
      <c r="Q481" s="123">
        <v>44473</v>
      </c>
      <c r="R481" s="123">
        <v>44479</v>
      </c>
      <c r="S481" s="124">
        <v>40</v>
      </c>
      <c r="T481" s="124">
        <v>40</v>
      </c>
      <c r="U481" s="124">
        <v>5</v>
      </c>
      <c r="V481" s="125">
        <v>0</v>
      </c>
      <c r="W481" s="124">
        <v>0</v>
      </c>
      <c r="X481" s="126">
        <v>1</v>
      </c>
      <c r="Y481" s="126">
        <v>0</v>
      </c>
      <c r="Z481" s="126">
        <v>0</v>
      </c>
      <c r="AC481" s="125">
        <v>0</v>
      </c>
      <c r="AD481" s="124">
        <v>0</v>
      </c>
    </row>
    <row r="482" spans="1:30">
      <c r="A482" s="127" t="s">
        <v>1102</v>
      </c>
      <c r="B482" s="127" t="s">
        <v>1701</v>
      </c>
      <c r="C482" s="127" t="s">
        <v>1102</v>
      </c>
      <c r="D482" s="127" t="s">
        <v>1700</v>
      </c>
      <c r="E482" s="127" t="s">
        <v>1701</v>
      </c>
      <c r="M482" s="127" t="s">
        <v>1683</v>
      </c>
      <c r="N482" s="127" t="s">
        <v>1406</v>
      </c>
      <c r="O482" s="123">
        <v>44221</v>
      </c>
      <c r="P482" s="123">
        <v>44651</v>
      </c>
      <c r="Q482" s="123">
        <v>44480</v>
      </c>
      <c r="R482" s="123">
        <v>44486</v>
      </c>
      <c r="S482" s="124">
        <v>41</v>
      </c>
      <c r="T482" s="124">
        <v>41</v>
      </c>
      <c r="U482" s="124">
        <v>5</v>
      </c>
      <c r="V482" s="125">
        <v>0</v>
      </c>
      <c r="W482" s="124">
        <v>0</v>
      </c>
      <c r="X482" s="126">
        <v>1</v>
      </c>
      <c r="Y482" s="126">
        <v>0</v>
      </c>
      <c r="Z482" s="126">
        <v>0</v>
      </c>
      <c r="AC482" s="125">
        <v>0</v>
      </c>
      <c r="AD482" s="124">
        <v>0</v>
      </c>
    </row>
    <row r="483" spans="1:30">
      <c r="A483" s="127" t="s">
        <v>1102</v>
      </c>
      <c r="B483" s="127" t="s">
        <v>1701</v>
      </c>
      <c r="C483" s="127" t="s">
        <v>1102</v>
      </c>
      <c r="D483" s="127" t="s">
        <v>1700</v>
      </c>
      <c r="E483" s="127" t="s">
        <v>1701</v>
      </c>
      <c r="M483" s="127" t="s">
        <v>1683</v>
      </c>
      <c r="N483" s="127" t="s">
        <v>1406</v>
      </c>
      <c r="O483" s="123">
        <v>44221</v>
      </c>
      <c r="P483" s="123">
        <v>44651</v>
      </c>
      <c r="Q483" s="123">
        <v>44487</v>
      </c>
      <c r="R483" s="123">
        <v>44493</v>
      </c>
      <c r="S483" s="124">
        <v>42</v>
      </c>
      <c r="T483" s="124">
        <v>42</v>
      </c>
      <c r="U483" s="124">
        <v>5</v>
      </c>
      <c r="V483" s="125">
        <v>0</v>
      </c>
      <c r="W483" s="124">
        <v>0</v>
      </c>
      <c r="X483" s="126">
        <v>1</v>
      </c>
      <c r="Y483" s="126">
        <v>0</v>
      </c>
      <c r="Z483" s="126">
        <v>0</v>
      </c>
      <c r="AC483" s="125">
        <v>0</v>
      </c>
      <c r="AD483" s="124">
        <v>0</v>
      </c>
    </row>
    <row r="484" spans="1:30">
      <c r="A484" s="127" t="s">
        <v>1102</v>
      </c>
      <c r="B484" s="127" t="s">
        <v>1701</v>
      </c>
      <c r="C484" s="127" t="s">
        <v>1102</v>
      </c>
      <c r="D484" s="127" t="s">
        <v>1700</v>
      </c>
      <c r="E484" s="127" t="s">
        <v>1701</v>
      </c>
      <c r="M484" s="127" t="s">
        <v>1683</v>
      </c>
      <c r="N484" s="127" t="s">
        <v>1406</v>
      </c>
      <c r="O484" s="123">
        <v>44221</v>
      </c>
      <c r="P484" s="123">
        <v>44651</v>
      </c>
      <c r="Q484" s="123">
        <v>44494</v>
      </c>
      <c r="R484" s="123">
        <v>44500</v>
      </c>
      <c r="S484" s="124">
        <v>43</v>
      </c>
      <c r="T484" s="124">
        <v>43</v>
      </c>
      <c r="U484" s="124">
        <v>5</v>
      </c>
      <c r="V484" s="125">
        <v>0</v>
      </c>
      <c r="W484" s="124">
        <v>0</v>
      </c>
      <c r="X484" s="126">
        <v>1</v>
      </c>
      <c r="Y484" s="126">
        <v>0</v>
      </c>
      <c r="Z484" s="126">
        <v>0</v>
      </c>
      <c r="AC484" s="125">
        <v>0</v>
      </c>
      <c r="AD484" s="124">
        <v>0</v>
      </c>
    </row>
    <row r="485" spans="1:30">
      <c r="A485" s="127" t="s">
        <v>1102</v>
      </c>
      <c r="B485" s="127" t="s">
        <v>1701</v>
      </c>
      <c r="C485" s="127" t="s">
        <v>1102</v>
      </c>
      <c r="D485" s="127" t="s">
        <v>1700</v>
      </c>
      <c r="E485" s="127" t="s">
        <v>1701</v>
      </c>
      <c r="M485" s="127" t="s">
        <v>1683</v>
      </c>
      <c r="N485" s="127" t="s">
        <v>1406</v>
      </c>
      <c r="O485" s="123">
        <v>44221</v>
      </c>
      <c r="P485" s="123">
        <v>44651</v>
      </c>
      <c r="Q485" s="123">
        <v>44501</v>
      </c>
      <c r="R485" s="123">
        <v>44507</v>
      </c>
      <c r="S485" s="124">
        <v>44</v>
      </c>
      <c r="T485" s="124">
        <v>44</v>
      </c>
      <c r="U485" s="124">
        <v>5</v>
      </c>
      <c r="V485" s="125">
        <v>0</v>
      </c>
      <c r="W485" s="124">
        <v>0</v>
      </c>
      <c r="X485" s="126">
        <v>1</v>
      </c>
      <c r="Y485" s="126">
        <v>0</v>
      </c>
      <c r="Z485" s="126">
        <v>0</v>
      </c>
      <c r="AC485" s="125">
        <v>0</v>
      </c>
      <c r="AD485" s="124">
        <v>0</v>
      </c>
    </row>
    <row r="486" spans="1:30">
      <c r="A486" s="127" t="s">
        <v>1102</v>
      </c>
      <c r="B486" s="127" t="s">
        <v>1701</v>
      </c>
      <c r="C486" s="127" t="s">
        <v>1102</v>
      </c>
      <c r="D486" s="127" t="s">
        <v>1700</v>
      </c>
      <c r="E486" s="127" t="s">
        <v>1701</v>
      </c>
      <c r="M486" s="127" t="s">
        <v>1683</v>
      </c>
      <c r="N486" s="127" t="s">
        <v>1406</v>
      </c>
      <c r="O486" s="123">
        <v>44221</v>
      </c>
      <c r="P486" s="123">
        <v>44651</v>
      </c>
      <c r="Q486" s="123">
        <v>44508</v>
      </c>
      <c r="R486" s="123">
        <v>44514</v>
      </c>
      <c r="S486" s="124">
        <v>45</v>
      </c>
      <c r="T486" s="124">
        <v>45</v>
      </c>
      <c r="U486" s="124">
        <v>5</v>
      </c>
      <c r="V486" s="125">
        <v>0</v>
      </c>
      <c r="W486" s="124">
        <v>0</v>
      </c>
      <c r="X486" s="126">
        <v>1</v>
      </c>
      <c r="Y486" s="126">
        <v>0</v>
      </c>
      <c r="Z486" s="126">
        <v>0</v>
      </c>
      <c r="AC486" s="125">
        <v>0</v>
      </c>
      <c r="AD486" s="124">
        <v>0</v>
      </c>
    </row>
    <row r="487" spans="1:30">
      <c r="A487" s="127" t="s">
        <v>1102</v>
      </c>
      <c r="B487" s="127" t="s">
        <v>1701</v>
      </c>
      <c r="C487" s="127" t="s">
        <v>1102</v>
      </c>
      <c r="D487" s="127" t="s">
        <v>1700</v>
      </c>
      <c r="E487" s="127" t="s">
        <v>1701</v>
      </c>
      <c r="M487" s="127" t="s">
        <v>1683</v>
      </c>
      <c r="N487" s="127" t="s">
        <v>1406</v>
      </c>
      <c r="O487" s="123">
        <v>44221</v>
      </c>
      <c r="P487" s="123">
        <v>44651</v>
      </c>
      <c r="Q487" s="123">
        <v>44515</v>
      </c>
      <c r="R487" s="123">
        <v>44521</v>
      </c>
      <c r="S487" s="124">
        <v>46</v>
      </c>
      <c r="T487" s="124">
        <v>46</v>
      </c>
      <c r="U487" s="124">
        <v>5</v>
      </c>
      <c r="V487" s="125">
        <v>0</v>
      </c>
      <c r="W487" s="124">
        <v>0</v>
      </c>
      <c r="X487" s="126">
        <v>1</v>
      </c>
      <c r="Y487" s="126">
        <v>0</v>
      </c>
      <c r="Z487" s="126">
        <v>0</v>
      </c>
      <c r="AC487" s="125">
        <v>0</v>
      </c>
      <c r="AD487" s="124">
        <v>0</v>
      </c>
    </row>
    <row r="488" spans="1:30">
      <c r="A488" s="127" t="s">
        <v>1102</v>
      </c>
      <c r="B488" s="127" t="s">
        <v>1701</v>
      </c>
      <c r="C488" s="127" t="s">
        <v>1102</v>
      </c>
      <c r="D488" s="127" t="s">
        <v>1700</v>
      </c>
      <c r="E488" s="127" t="s">
        <v>1701</v>
      </c>
      <c r="M488" s="127" t="s">
        <v>1683</v>
      </c>
      <c r="N488" s="127" t="s">
        <v>1406</v>
      </c>
      <c r="O488" s="123">
        <v>44221</v>
      </c>
      <c r="P488" s="123">
        <v>44651</v>
      </c>
      <c r="Q488" s="123">
        <v>44522</v>
      </c>
      <c r="R488" s="123">
        <v>44528</v>
      </c>
      <c r="S488" s="124">
        <v>47</v>
      </c>
      <c r="T488" s="124">
        <v>47</v>
      </c>
      <c r="U488" s="124">
        <v>5</v>
      </c>
      <c r="V488" s="125">
        <v>0</v>
      </c>
      <c r="W488" s="124">
        <v>0</v>
      </c>
      <c r="X488" s="126">
        <v>1</v>
      </c>
      <c r="Y488" s="126">
        <v>0</v>
      </c>
      <c r="Z488" s="126">
        <v>0</v>
      </c>
      <c r="AC488" s="125">
        <v>0</v>
      </c>
      <c r="AD488" s="124">
        <v>0</v>
      </c>
    </row>
    <row r="489" spans="1:30">
      <c r="A489" s="127" t="s">
        <v>1102</v>
      </c>
      <c r="B489" s="127" t="s">
        <v>1701</v>
      </c>
      <c r="C489" s="127" t="s">
        <v>1102</v>
      </c>
      <c r="D489" s="127" t="s">
        <v>1700</v>
      </c>
      <c r="E489" s="127" t="s">
        <v>1701</v>
      </c>
      <c r="M489" s="127" t="s">
        <v>1683</v>
      </c>
      <c r="N489" s="127" t="s">
        <v>1406</v>
      </c>
      <c r="O489" s="123">
        <v>44221</v>
      </c>
      <c r="P489" s="123">
        <v>44651</v>
      </c>
      <c r="Q489" s="123">
        <v>44529</v>
      </c>
      <c r="R489" s="123">
        <v>44535</v>
      </c>
      <c r="S489" s="124">
        <v>48</v>
      </c>
      <c r="T489" s="124">
        <v>48</v>
      </c>
      <c r="U489" s="124">
        <v>5</v>
      </c>
      <c r="V489" s="125">
        <v>0</v>
      </c>
      <c r="W489" s="124">
        <v>0</v>
      </c>
      <c r="X489" s="126">
        <v>1</v>
      </c>
      <c r="Y489" s="126">
        <v>0</v>
      </c>
      <c r="Z489" s="126">
        <v>0</v>
      </c>
      <c r="AC489" s="125">
        <v>0</v>
      </c>
      <c r="AD489" s="124">
        <v>0</v>
      </c>
    </row>
    <row r="490" spans="1:30">
      <c r="A490" s="127" t="s">
        <v>1102</v>
      </c>
      <c r="B490" s="127" t="s">
        <v>1701</v>
      </c>
      <c r="C490" s="127" t="s">
        <v>1102</v>
      </c>
      <c r="D490" s="127" t="s">
        <v>1700</v>
      </c>
      <c r="E490" s="127" t="s">
        <v>1701</v>
      </c>
      <c r="M490" s="127" t="s">
        <v>1683</v>
      </c>
      <c r="N490" s="127" t="s">
        <v>1406</v>
      </c>
      <c r="O490" s="123">
        <v>44221</v>
      </c>
      <c r="P490" s="123">
        <v>44651</v>
      </c>
      <c r="Q490" s="123">
        <v>44536</v>
      </c>
      <c r="R490" s="123">
        <v>44542</v>
      </c>
      <c r="S490" s="124">
        <v>49</v>
      </c>
      <c r="T490" s="124">
        <v>49</v>
      </c>
      <c r="U490" s="124">
        <v>5</v>
      </c>
      <c r="V490" s="125">
        <v>0</v>
      </c>
      <c r="W490" s="124">
        <v>0</v>
      </c>
      <c r="X490" s="126">
        <v>1</v>
      </c>
      <c r="Y490" s="126">
        <v>0</v>
      </c>
      <c r="Z490" s="126">
        <v>0</v>
      </c>
      <c r="AC490" s="125">
        <v>0</v>
      </c>
      <c r="AD490" s="124">
        <v>0</v>
      </c>
    </row>
    <row r="491" spans="1:30">
      <c r="A491" s="127" t="s">
        <v>1102</v>
      </c>
      <c r="B491" s="127" t="s">
        <v>1701</v>
      </c>
      <c r="C491" s="127" t="s">
        <v>1102</v>
      </c>
      <c r="D491" s="127" t="s">
        <v>1700</v>
      </c>
      <c r="E491" s="127" t="s">
        <v>1701</v>
      </c>
      <c r="M491" s="127" t="s">
        <v>1683</v>
      </c>
      <c r="N491" s="127" t="s">
        <v>1406</v>
      </c>
      <c r="O491" s="123">
        <v>44221</v>
      </c>
      <c r="P491" s="123">
        <v>44651</v>
      </c>
      <c r="Q491" s="123">
        <v>44543</v>
      </c>
      <c r="R491" s="123">
        <v>44549</v>
      </c>
      <c r="S491" s="124">
        <v>50</v>
      </c>
      <c r="T491" s="124">
        <v>50</v>
      </c>
      <c r="U491" s="124">
        <v>5</v>
      </c>
      <c r="V491" s="125">
        <v>0</v>
      </c>
      <c r="W491" s="124">
        <v>0</v>
      </c>
      <c r="X491" s="126">
        <v>1</v>
      </c>
      <c r="Y491" s="126">
        <v>0</v>
      </c>
      <c r="Z491" s="126">
        <v>0</v>
      </c>
      <c r="AC491" s="125">
        <v>0</v>
      </c>
      <c r="AD491" s="124">
        <v>0</v>
      </c>
    </row>
    <row r="492" spans="1:30">
      <c r="A492" s="127" t="s">
        <v>1102</v>
      </c>
      <c r="B492" s="127" t="s">
        <v>1701</v>
      </c>
      <c r="C492" s="127" t="s">
        <v>1102</v>
      </c>
      <c r="D492" s="127" t="s">
        <v>1700</v>
      </c>
      <c r="E492" s="127" t="s">
        <v>1701</v>
      </c>
      <c r="M492" s="127" t="s">
        <v>1683</v>
      </c>
      <c r="N492" s="127" t="s">
        <v>1406</v>
      </c>
      <c r="O492" s="123">
        <v>44221</v>
      </c>
      <c r="P492" s="123">
        <v>44651</v>
      </c>
      <c r="Q492" s="123">
        <v>44550</v>
      </c>
      <c r="R492" s="123">
        <v>44556</v>
      </c>
      <c r="S492" s="124">
        <v>51</v>
      </c>
      <c r="T492" s="124">
        <v>51</v>
      </c>
      <c r="U492" s="124">
        <v>5</v>
      </c>
      <c r="V492" s="125">
        <v>0</v>
      </c>
      <c r="W492" s="124">
        <v>0</v>
      </c>
      <c r="X492" s="126">
        <v>1</v>
      </c>
      <c r="Y492" s="126">
        <v>0</v>
      </c>
      <c r="Z492" s="126">
        <v>0</v>
      </c>
      <c r="AC492" s="125">
        <v>0</v>
      </c>
      <c r="AD492" s="124">
        <v>0</v>
      </c>
    </row>
    <row r="493" spans="1:30">
      <c r="A493" s="127" t="s">
        <v>1102</v>
      </c>
      <c r="B493" s="127" t="s">
        <v>1701</v>
      </c>
      <c r="C493" s="127" t="s">
        <v>1102</v>
      </c>
      <c r="D493" s="127" t="s">
        <v>1700</v>
      </c>
      <c r="E493" s="127" t="s">
        <v>1701</v>
      </c>
      <c r="M493" s="127" t="s">
        <v>1683</v>
      </c>
      <c r="N493" s="127" t="s">
        <v>1406</v>
      </c>
      <c r="O493" s="123">
        <v>44221</v>
      </c>
      <c r="P493" s="123">
        <v>44651</v>
      </c>
      <c r="Q493" s="123">
        <v>44557</v>
      </c>
      <c r="R493" s="123">
        <v>44563</v>
      </c>
      <c r="S493" s="124">
        <v>52</v>
      </c>
      <c r="T493" s="124">
        <v>52</v>
      </c>
      <c r="U493" s="124">
        <v>5</v>
      </c>
      <c r="V493" s="125">
        <v>0</v>
      </c>
      <c r="W493" s="124">
        <v>0</v>
      </c>
      <c r="X493" s="126">
        <v>1</v>
      </c>
      <c r="Y493" s="126">
        <v>0</v>
      </c>
      <c r="Z493" s="126">
        <v>0</v>
      </c>
      <c r="AC493" s="125">
        <v>0</v>
      </c>
      <c r="AD493" s="124">
        <v>0</v>
      </c>
    </row>
    <row r="494" spans="1:30">
      <c r="A494" s="127" t="s">
        <v>1102</v>
      </c>
      <c r="B494" s="127" t="s">
        <v>1701</v>
      </c>
      <c r="C494" s="127" t="s">
        <v>1102</v>
      </c>
      <c r="D494" s="127" t="s">
        <v>1700</v>
      </c>
      <c r="E494" s="127" t="s">
        <v>1701</v>
      </c>
      <c r="M494" s="127" t="s">
        <v>1683</v>
      </c>
      <c r="N494" s="127" t="s">
        <v>1406</v>
      </c>
      <c r="O494" s="123">
        <v>44221</v>
      </c>
      <c r="P494" s="123">
        <v>44651</v>
      </c>
      <c r="Q494" s="123">
        <v>44564</v>
      </c>
      <c r="R494" s="123">
        <v>44570</v>
      </c>
      <c r="S494" s="124">
        <v>1</v>
      </c>
      <c r="T494" s="124">
        <v>53</v>
      </c>
      <c r="U494" s="124">
        <v>5</v>
      </c>
      <c r="V494" s="125">
        <v>0</v>
      </c>
      <c r="W494" s="124">
        <v>0</v>
      </c>
      <c r="X494" s="126">
        <v>1</v>
      </c>
      <c r="Y494" s="126">
        <v>0</v>
      </c>
      <c r="Z494" s="126">
        <v>0</v>
      </c>
      <c r="AC494" s="125">
        <v>0</v>
      </c>
      <c r="AD494" s="124">
        <v>0</v>
      </c>
    </row>
    <row r="495" spans="1:30">
      <c r="A495" s="127" t="s">
        <v>1102</v>
      </c>
      <c r="B495" s="127" t="s">
        <v>1701</v>
      </c>
      <c r="C495" s="127" t="s">
        <v>1102</v>
      </c>
      <c r="D495" s="127" t="s">
        <v>1700</v>
      </c>
      <c r="E495" s="127" t="s">
        <v>1701</v>
      </c>
      <c r="M495" s="127" t="s">
        <v>1683</v>
      </c>
      <c r="N495" s="127" t="s">
        <v>1406</v>
      </c>
      <c r="O495" s="123">
        <v>44221</v>
      </c>
      <c r="P495" s="123">
        <v>44651</v>
      </c>
      <c r="Q495" s="123">
        <v>44571</v>
      </c>
      <c r="R495" s="123">
        <v>44577</v>
      </c>
      <c r="S495" s="124">
        <v>2</v>
      </c>
      <c r="T495" s="124">
        <v>54</v>
      </c>
      <c r="U495" s="124">
        <v>5</v>
      </c>
      <c r="V495" s="125">
        <v>0</v>
      </c>
      <c r="W495" s="124">
        <v>0</v>
      </c>
      <c r="X495" s="126">
        <v>1</v>
      </c>
      <c r="Y495" s="126">
        <v>0</v>
      </c>
      <c r="Z495" s="126">
        <v>0</v>
      </c>
      <c r="AC495" s="125">
        <v>0</v>
      </c>
      <c r="AD495" s="124">
        <v>0</v>
      </c>
    </row>
    <row r="496" spans="1:30">
      <c r="A496" s="127" t="s">
        <v>1102</v>
      </c>
      <c r="B496" s="127" t="s">
        <v>1701</v>
      </c>
      <c r="C496" s="127" t="s">
        <v>1102</v>
      </c>
      <c r="D496" s="127" t="s">
        <v>1700</v>
      </c>
      <c r="E496" s="127" t="s">
        <v>1701</v>
      </c>
      <c r="M496" s="127" t="s">
        <v>1683</v>
      </c>
      <c r="N496" s="127" t="s">
        <v>1406</v>
      </c>
      <c r="O496" s="123">
        <v>44221</v>
      </c>
      <c r="P496" s="123">
        <v>44651</v>
      </c>
      <c r="Q496" s="123">
        <v>44578</v>
      </c>
      <c r="R496" s="123">
        <v>44584</v>
      </c>
      <c r="S496" s="124">
        <v>3</v>
      </c>
      <c r="T496" s="124">
        <v>55</v>
      </c>
      <c r="U496" s="124">
        <v>5</v>
      </c>
      <c r="V496" s="125">
        <v>0</v>
      </c>
      <c r="W496" s="124">
        <v>0</v>
      </c>
      <c r="X496" s="126">
        <v>1</v>
      </c>
      <c r="Y496" s="126">
        <v>0</v>
      </c>
      <c r="Z496" s="126">
        <v>0</v>
      </c>
      <c r="AC496" s="125">
        <v>0</v>
      </c>
      <c r="AD496" s="124">
        <v>0</v>
      </c>
    </row>
    <row r="497" spans="1:30">
      <c r="A497" s="127" t="s">
        <v>1102</v>
      </c>
      <c r="B497" s="127" t="s">
        <v>1701</v>
      </c>
      <c r="C497" s="127" t="s">
        <v>1102</v>
      </c>
      <c r="D497" s="127" t="s">
        <v>1700</v>
      </c>
      <c r="E497" s="127" t="s">
        <v>1701</v>
      </c>
      <c r="M497" s="127" t="s">
        <v>1683</v>
      </c>
      <c r="N497" s="127" t="s">
        <v>1406</v>
      </c>
      <c r="O497" s="123">
        <v>44221</v>
      </c>
      <c r="P497" s="123">
        <v>44651</v>
      </c>
      <c r="Q497" s="123">
        <v>44585</v>
      </c>
      <c r="R497" s="123">
        <v>44591</v>
      </c>
      <c r="S497" s="124">
        <v>4</v>
      </c>
      <c r="T497" s="124">
        <v>56</v>
      </c>
      <c r="U497" s="124">
        <v>5</v>
      </c>
      <c r="V497" s="125">
        <v>0</v>
      </c>
      <c r="W497" s="124">
        <v>0</v>
      </c>
      <c r="X497" s="126">
        <v>1</v>
      </c>
      <c r="Y497" s="126">
        <v>0</v>
      </c>
      <c r="Z497" s="126">
        <v>0</v>
      </c>
      <c r="AC497" s="125">
        <v>0</v>
      </c>
      <c r="AD497" s="124">
        <v>0</v>
      </c>
    </row>
    <row r="498" spans="1:30">
      <c r="A498" s="127" t="s">
        <v>1102</v>
      </c>
      <c r="B498" s="127" t="s">
        <v>1701</v>
      </c>
      <c r="C498" s="127" t="s">
        <v>1102</v>
      </c>
      <c r="D498" s="127" t="s">
        <v>1700</v>
      </c>
      <c r="E498" s="127" t="s">
        <v>1701</v>
      </c>
      <c r="M498" s="127" t="s">
        <v>1683</v>
      </c>
      <c r="N498" s="127" t="s">
        <v>1406</v>
      </c>
      <c r="O498" s="123">
        <v>44221</v>
      </c>
      <c r="P498" s="123">
        <v>44651</v>
      </c>
      <c r="Q498" s="123">
        <v>44592</v>
      </c>
      <c r="R498" s="123">
        <v>44598</v>
      </c>
      <c r="S498" s="124">
        <v>5</v>
      </c>
      <c r="T498" s="124">
        <v>57</v>
      </c>
      <c r="U498" s="124">
        <v>2</v>
      </c>
      <c r="V498" s="125">
        <v>0</v>
      </c>
      <c r="W498" s="124">
        <v>0</v>
      </c>
      <c r="X498" s="126">
        <v>1</v>
      </c>
      <c r="Y498" s="126">
        <v>0</v>
      </c>
      <c r="Z498" s="126">
        <v>0</v>
      </c>
      <c r="AC498" s="125">
        <v>0</v>
      </c>
      <c r="AD498" s="124">
        <v>0</v>
      </c>
    </row>
    <row r="499" spans="1:30">
      <c r="A499" s="127" t="s">
        <v>1102</v>
      </c>
      <c r="B499" s="127" t="s">
        <v>1701</v>
      </c>
      <c r="C499" s="127" t="s">
        <v>1102</v>
      </c>
      <c r="D499" s="127" t="s">
        <v>1700</v>
      </c>
      <c r="E499" s="127" t="s">
        <v>1701</v>
      </c>
      <c r="M499" s="127" t="s">
        <v>1683</v>
      </c>
      <c r="N499" s="127" t="s">
        <v>1406</v>
      </c>
      <c r="O499" s="123">
        <v>44221</v>
      </c>
      <c r="P499" s="123">
        <v>44651</v>
      </c>
      <c r="Q499" s="123">
        <v>44599</v>
      </c>
      <c r="R499" s="123">
        <v>44605</v>
      </c>
      <c r="S499" s="124">
        <v>6</v>
      </c>
      <c r="T499" s="124">
        <v>58</v>
      </c>
      <c r="U499" s="124">
        <v>5</v>
      </c>
      <c r="V499" s="125">
        <v>0</v>
      </c>
      <c r="W499" s="124">
        <v>0</v>
      </c>
      <c r="X499" s="126">
        <v>1</v>
      </c>
      <c r="Y499" s="126">
        <v>0</v>
      </c>
      <c r="Z499" s="126">
        <v>0</v>
      </c>
      <c r="AC499" s="125">
        <v>0</v>
      </c>
      <c r="AD499" s="124">
        <v>0</v>
      </c>
    </row>
    <row r="500" spans="1:30">
      <c r="A500" s="127" t="s">
        <v>1102</v>
      </c>
      <c r="B500" s="127" t="s">
        <v>1701</v>
      </c>
      <c r="C500" s="127" t="s">
        <v>1102</v>
      </c>
      <c r="D500" s="127" t="s">
        <v>1700</v>
      </c>
      <c r="E500" s="127" t="s">
        <v>1701</v>
      </c>
      <c r="M500" s="127" t="s">
        <v>1683</v>
      </c>
      <c r="N500" s="127" t="s">
        <v>1406</v>
      </c>
      <c r="O500" s="123">
        <v>44221</v>
      </c>
      <c r="P500" s="123">
        <v>44651</v>
      </c>
      <c r="Q500" s="123">
        <v>44606</v>
      </c>
      <c r="R500" s="123">
        <v>44612</v>
      </c>
      <c r="S500" s="124">
        <v>7</v>
      </c>
      <c r="T500" s="124">
        <v>59</v>
      </c>
      <c r="U500" s="124">
        <v>5</v>
      </c>
      <c r="V500" s="125">
        <v>0</v>
      </c>
      <c r="W500" s="124">
        <v>0</v>
      </c>
      <c r="X500" s="126">
        <v>1</v>
      </c>
      <c r="Y500" s="126">
        <v>0</v>
      </c>
      <c r="Z500" s="126">
        <v>0</v>
      </c>
      <c r="AC500" s="125">
        <v>0</v>
      </c>
      <c r="AD500" s="124">
        <v>0</v>
      </c>
    </row>
    <row r="501" spans="1:30">
      <c r="A501" s="127" t="s">
        <v>1102</v>
      </c>
      <c r="B501" s="127" t="s">
        <v>1701</v>
      </c>
      <c r="C501" s="127" t="s">
        <v>1102</v>
      </c>
      <c r="D501" s="127" t="s">
        <v>1700</v>
      </c>
      <c r="E501" s="127" t="s">
        <v>1701</v>
      </c>
      <c r="M501" s="127" t="s">
        <v>1683</v>
      </c>
      <c r="N501" s="127" t="s">
        <v>1406</v>
      </c>
      <c r="O501" s="123">
        <v>44221</v>
      </c>
      <c r="P501" s="123">
        <v>44651</v>
      </c>
      <c r="Q501" s="123">
        <v>44613</v>
      </c>
      <c r="R501" s="123">
        <v>44619</v>
      </c>
      <c r="S501" s="124">
        <v>8</v>
      </c>
      <c r="T501" s="124">
        <v>60</v>
      </c>
      <c r="U501" s="124">
        <v>5</v>
      </c>
      <c r="V501" s="125">
        <v>0</v>
      </c>
      <c r="W501" s="124">
        <v>0</v>
      </c>
      <c r="X501" s="126">
        <v>1</v>
      </c>
      <c r="Y501" s="126">
        <v>0</v>
      </c>
      <c r="Z501" s="126">
        <v>0</v>
      </c>
      <c r="AC501" s="125">
        <v>0</v>
      </c>
      <c r="AD501" s="124">
        <v>0</v>
      </c>
    </row>
    <row r="502" spans="1:30">
      <c r="A502" s="127" t="s">
        <v>1102</v>
      </c>
      <c r="B502" s="127" t="s">
        <v>1701</v>
      </c>
      <c r="C502" s="127" t="s">
        <v>1102</v>
      </c>
      <c r="D502" s="127" t="s">
        <v>1700</v>
      </c>
      <c r="E502" s="127" t="s">
        <v>1701</v>
      </c>
      <c r="M502" s="127" t="s">
        <v>1683</v>
      </c>
      <c r="N502" s="127" t="s">
        <v>1406</v>
      </c>
      <c r="O502" s="123">
        <v>44221</v>
      </c>
      <c r="P502" s="123">
        <v>44651</v>
      </c>
      <c r="Q502" s="123">
        <v>44620</v>
      </c>
      <c r="R502" s="123">
        <v>44626</v>
      </c>
      <c r="S502" s="124">
        <v>9</v>
      </c>
      <c r="T502" s="124">
        <v>61</v>
      </c>
      <c r="U502" s="124">
        <v>4</v>
      </c>
      <c r="V502" s="125">
        <v>0</v>
      </c>
      <c r="W502" s="124">
        <v>0</v>
      </c>
      <c r="X502" s="126">
        <v>1</v>
      </c>
      <c r="Y502" s="126">
        <v>0</v>
      </c>
      <c r="Z502" s="126">
        <v>0</v>
      </c>
      <c r="AC502" s="125">
        <v>0</v>
      </c>
      <c r="AD502" s="124">
        <v>0</v>
      </c>
    </row>
    <row r="503" spans="1:30">
      <c r="A503" s="127" t="s">
        <v>1102</v>
      </c>
      <c r="B503" s="127" t="s">
        <v>1701</v>
      </c>
      <c r="C503" s="127" t="s">
        <v>1102</v>
      </c>
      <c r="D503" s="127" t="s">
        <v>1700</v>
      </c>
      <c r="E503" s="127" t="s">
        <v>1701</v>
      </c>
      <c r="M503" s="127" t="s">
        <v>1683</v>
      </c>
      <c r="N503" s="127" t="s">
        <v>1406</v>
      </c>
      <c r="O503" s="123">
        <v>44221</v>
      </c>
      <c r="P503" s="123">
        <v>44651</v>
      </c>
      <c r="Q503" s="123">
        <v>44627</v>
      </c>
      <c r="R503" s="123">
        <v>44633</v>
      </c>
      <c r="S503" s="124">
        <v>10</v>
      </c>
      <c r="T503" s="124">
        <v>62</v>
      </c>
      <c r="U503" s="124">
        <v>5</v>
      </c>
      <c r="V503" s="125">
        <v>0</v>
      </c>
      <c r="W503" s="124">
        <v>0</v>
      </c>
      <c r="X503" s="126">
        <v>1</v>
      </c>
      <c r="Y503" s="126">
        <v>0</v>
      </c>
      <c r="Z503" s="126">
        <v>0</v>
      </c>
      <c r="AC503" s="125">
        <v>0</v>
      </c>
      <c r="AD503" s="124">
        <v>0</v>
      </c>
    </row>
    <row r="504" spans="1:30">
      <c r="A504" s="127" t="s">
        <v>1102</v>
      </c>
      <c r="B504" s="127" t="s">
        <v>1701</v>
      </c>
      <c r="C504" s="127" t="s">
        <v>1102</v>
      </c>
      <c r="D504" s="127" t="s">
        <v>1700</v>
      </c>
      <c r="E504" s="127" t="s">
        <v>1701</v>
      </c>
      <c r="M504" s="127" t="s">
        <v>1683</v>
      </c>
      <c r="N504" s="127" t="s">
        <v>1406</v>
      </c>
      <c r="O504" s="123">
        <v>44221</v>
      </c>
      <c r="P504" s="123">
        <v>44651</v>
      </c>
      <c r="Q504" s="123">
        <v>44634</v>
      </c>
      <c r="R504" s="123">
        <v>44640</v>
      </c>
      <c r="S504" s="124">
        <v>11</v>
      </c>
      <c r="T504" s="124">
        <v>63</v>
      </c>
      <c r="U504" s="124">
        <v>5</v>
      </c>
      <c r="V504" s="125">
        <v>0</v>
      </c>
      <c r="W504" s="124">
        <v>0</v>
      </c>
      <c r="X504" s="126">
        <v>1</v>
      </c>
      <c r="Y504" s="126">
        <v>0</v>
      </c>
      <c r="Z504" s="126">
        <v>0</v>
      </c>
      <c r="AC504" s="125">
        <v>0</v>
      </c>
      <c r="AD504" s="124">
        <v>0</v>
      </c>
    </row>
    <row r="505" spans="1:30">
      <c r="A505" s="127" t="s">
        <v>1102</v>
      </c>
      <c r="B505" s="127" t="s">
        <v>1701</v>
      </c>
      <c r="C505" s="127" t="s">
        <v>1102</v>
      </c>
      <c r="D505" s="127" t="s">
        <v>1700</v>
      </c>
      <c r="E505" s="127" t="s">
        <v>1701</v>
      </c>
      <c r="M505" s="127" t="s">
        <v>1683</v>
      </c>
      <c r="N505" s="127" t="s">
        <v>1406</v>
      </c>
      <c r="O505" s="123">
        <v>44221</v>
      </c>
      <c r="P505" s="123">
        <v>44651</v>
      </c>
      <c r="Q505" s="123">
        <v>44641</v>
      </c>
      <c r="R505" s="123">
        <v>44647</v>
      </c>
      <c r="S505" s="124">
        <v>12</v>
      </c>
      <c r="T505" s="124">
        <v>64</v>
      </c>
      <c r="U505" s="124">
        <v>5</v>
      </c>
      <c r="V505" s="125">
        <v>0</v>
      </c>
      <c r="W505" s="124">
        <v>0</v>
      </c>
      <c r="X505" s="126">
        <v>1</v>
      </c>
      <c r="Y505" s="126">
        <v>0</v>
      </c>
      <c r="Z505" s="126">
        <v>0</v>
      </c>
      <c r="AC505" s="125">
        <v>0</v>
      </c>
      <c r="AD505" s="124">
        <v>0</v>
      </c>
    </row>
    <row r="506" spans="1:30">
      <c r="A506" s="127" t="s">
        <v>1102</v>
      </c>
      <c r="B506" s="127" t="s">
        <v>1701</v>
      </c>
      <c r="C506" s="127" t="s">
        <v>1102</v>
      </c>
      <c r="D506" s="127" t="s">
        <v>1700</v>
      </c>
      <c r="E506" s="127" t="s">
        <v>1701</v>
      </c>
      <c r="M506" s="127" t="s">
        <v>1683</v>
      </c>
      <c r="N506" s="127" t="s">
        <v>1406</v>
      </c>
      <c r="O506" s="123">
        <v>44221</v>
      </c>
      <c r="P506" s="123">
        <v>44651</v>
      </c>
      <c r="Q506" s="123">
        <v>44648</v>
      </c>
      <c r="R506" s="123">
        <v>44654</v>
      </c>
      <c r="S506" s="124">
        <v>13</v>
      </c>
      <c r="T506" s="124">
        <v>65</v>
      </c>
      <c r="U506" s="124">
        <v>4</v>
      </c>
      <c r="V506" s="125">
        <v>0</v>
      </c>
      <c r="W506" s="124">
        <v>0</v>
      </c>
      <c r="X506" s="126">
        <v>1</v>
      </c>
      <c r="Y506" s="126">
        <v>0</v>
      </c>
      <c r="Z506" s="126">
        <v>0</v>
      </c>
      <c r="AC506" s="125">
        <v>0</v>
      </c>
      <c r="AD506" s="124">
        <v>0</v>
      </c>
    </row>
    <row r="507" spans="1:30">
      <c r="A507" s="127" t="s">
        <v>1102</v>
      </c>
      <c r="B507" s="127" t="s">
        <v>1702</v>
      </c>
      <c r="C507" s="127" t="s">
        <v>1102</v>
      </c>
      <c r="D507" s="127" t="s">
        <v>1700</v>
      </c>
      <c r="E507" s="127" t="s">
        <v>1702</v>
      </c>
      <c r="M507" s="127" t="s">
        <v>1253</v>
      </c>
      <c r="N507" s="127" t="s">
        <v>1406</v>
      </c>
      <c r="O507" s="123">
        <v>44378</v>
      </c>
      <c r="P507" s="123">
        <v>44530</v>
      </c>
      <c r="Q507" s="123">
        <v>44375</v>
      </c>
      <c r="R507" s="123">
        <v>44381</v>
      </c>
      <c r="S507" s="124">
        <v>26</v>
      </c>
      <c r="T507" s="124">
        <v>26</v>
      </c>
      <c r="U507" s="124">
        <v>2</v>
      </c>
      <c r="V507" s="125">
        <v>0</v>
      </c>
      <c r="W507" s="124">
        <v>0</v>
      </c>
      <c r="X507" s="126">
        <v>1</v>
      </c>
      <c r="Y507" s="126">
        <v>0</v>
      </c>
      <c r="Z507" s="126">
        <v>0</v>
      </c>
      <c r="AC507" s="125">
        <v>0</v>
      </c>
      <c r="AD507" s="124">
        <v>0</v>
      </c>
    </row>
    <row r="508" spans="1:30">
      <c r="A508" s="127" t="s">
        <v>1102</v>
      </c>
      <c r="B508" s="127" t="s">
        <v>1702</v>
      </c>
      <c r="C508" s="127" t="s">
        <v>1102</v>
      </c>
      <c r="D508" s="127" t="s">
        <v>1700</v>
      </c>
      <c r="E508" s="127" t="s">
        <v>1702</v>
      </c>
      <c r="M508" s="127" t="s">
        <v>1253</v>
      </c>
      <c r="N508" s="127" t="s">
        <v>1406</v>
      </c>
      <c r="O508" s="123">
        <v>44378</v>
      </c>
      <c r="P508" s="123">
        <v>44530</v>
      </c>
      <c r="Q508" s="123">
        <v>44382</v>
      </c>
      <c r="R508" s="123">
        <v>44388</v>
      </c>
      <c r="S508" s="124">
        <v>27</v>
      </c>
      <c r="T508" s="124">
        <v>27</v>
      </c>
      <c r="U508" s="124">
        <v>5</v>
      </c>
      <c r="V508" s="125">
        <v>0</v>
      </c>
      <c r="W508" s="124">
        <v>0</v>
      </c>
      <c r="X508" s="126">
        <v>1</v>
      </c>
      <c r="Y508" s="126">
        <v>0</v>
      </c>
      <c r="Z508" s="126">
        <v>0</v>
      </c>
      <c r="AC508" s="125">
        <v>0</v>
      </c>
      <c r="AD508" s="124">
        <v>0</v>
      </c>
    </row>
    <row r="509" spans="1:30">
      <c r="A509" s="127" t="s">
        <v>1102</v>
      </c>
      <c r="B509" s="127" t="s">
        <v>1702</v>
      </c>
      <c r="C509" s="127" t="s">
        <v>1102</v>
      </c>
      <c r="D509" s="127" t="s">
        <v>1700</v>
      </c>
      <c r="E509" s="127" t="s">
        <v>1702</v>
      </c>
      <c r="M509" s="127" t="s">
        <v>1253</v>
      </c>
      <c r="N509" s="127" t="s">
        <v>1406</v>
      </c>
      <c r="O509" s="123">
        <v>44378</v>
      </c>
      <c r="P509" s="123">
        <v>44530</v>
      </c>
      <c r="Q509" s="123">
        <v>44389</v>
      </c>
      <c r="R509" s="123">
        <v>44395</v>
      </c>
      <c r="S509" s="124">
        <v>28</v>
      </c>
      <c r="T509" s="124">
        <v>28</v>
      </c>
      <c r="U509" s="124">
        <v>5</v>
      </c>
      <c r="V509" s="125">
        <v>0</v>
      </c>
      <c r="W509" s="124">
        <v>0</v>
      </c>
      <c r="X509" s="126">
        <v>1</v>
      </c>
      <c r="Y509" s="126">
        <v>0</v>
      </c>
      <c r="Z509" s="126">
        <v>0</v>
      </c>
      <c r="AC509" s="125">
        <v>0</v>
      </c>
      <c r="AD509" s="124">
        <v>0</v>
      </c>
    </row>
    <row r="510" spans="1:30">
      <c r="A510" s="127" t="s">
        <v>1102</v>
      </c>
      <c r="B510" s="127" t="s">
        <v>1702</v>
      </c>
      <c r="C510" s="127" t="s">
        <v>1102</v>
      </c>
      <c r="D510" s="127" t="s">
        <v>1700</v>
      </c>
      <c r="E510" s="127" t="s">
        <v>1702</v>
      </c>
      <c r="M510" s="127" t="s">
        <v>1253</v>
      </c>
      <c r="N510" s="127" t="s">
        <v>1406</v>
      </c>
      <c r="O510" s="123">
        <v>44378</v>
      </c>
      <c r="P510" s="123">
        <v>44530</v>
      </c>
      <c r="Q510" s="123">
        <v>44396</v>
      </c>
      <c r="R510" s="123">
        <v>44402</v>
      </c>
      <c r="S510" s="124">
        <v>29</v>
      </c>
      <c r="T510" s="124">
        <v>29</v>
      </c>
      <c r="U510" s="124">
        <v>5</v>
      </c>
      <c r="V510" s="125">
        <v>0</v>
      </c>
      <c r="W510" s="124">
        <v>0</v>
      </c>
      <c r="X510" s="126">
        <v>1</v>
      </c>
      <c r="Y510" s="126">
        <v>0</v>
      </c>
      <c r="Z510" s="126">
        <v>0</v>
      </c>
      <c r="AC510" s="125">
        <v>0</v>
      </c>
      <c r="AD510" s="124">
        <v>0</v>
      </c>
    </row>
    <row r="511" spans="1:30">
      <c r="A511" s="127" t="s">
        <v>1102</v>
      </c>
      <c r="B511" s="127" t="s">
        <v>1702</v>
      </c>
      <c r="C511" s="127" t="s">
        <v>1102</v>
      </c>
      <c r="D511" s="127" t="s">
        <v>1700</v>
      </c>
      <c r="E511" s="127" t="s">
        <v>1702</v>
      </c>
      <c r="M511" s="127" t="s">
        <v>1253</v>
      </c>
      <c r="N511" s="127" t="s">
        <v>1406</v>
      </c>
      <c r="O511" s="123">
        <v>44378</v>
      </c>
      <c r="P511" s="123">
        <v>44530</v>
      </c>
      <c r="Q511" s="123">
        <v>44403</v>
      </c>
      <c r="R511" s="123">
        <v>44409</v>
      </c>
      <c r="S511" s="124">
        <v>30</v>
      </c>
      <c r="T511" s="124">
        <v>30</v>
      </c>
      <c r="U511" s="124">
        <v>5</v>
      </c>
      <c r="V511" s="125">
        <v>0</v>
      </c>
      <c r="W511" s="124">
        <v>0</v>
      </c>
      <c r="X511" s="126">
        <v>1</v>
      </c>
      <c r="Y511" s="126">
        <v>0</v>
      </c>
      <c r="Z511" s="126">
        <v>0</v>
      </c>
      <c r="AC511" s="125">
        <v>0</v>
      </c>
      <c r="AD511" s="124">
        <v>0</v>
      </c>
    </row>
    <row r="512" spans="1:30">
      <c r="A512" s="127" t="s">
        <v>1102</v>
      </c>
      <c r="B512" s="127" t="s">
        <v>1702</v>
      </c>
      <c r="C512" s="127" t="s">
        <v>1102</v>
      </c>
      <c r="D512" s="127" t="s">
        <v>1700</v>
      </c>
      <c r="E512" s="127" t="s">
        <v>1702</v>
      </c>
      <c r="M512" s="127" t="s">
        <v>1253</v>
      </c>
      <c r="N512" s="127" t="s">
        <v>1406</v>
      </c>
      <c r="O512" s="123">
        <v>44378</v>
      </c>
      <c r="P512" s="123">
        <v>44530</v>
      </c>
      <c r="Q512" s="123">
        <v>44410</v>
      </c>
      <c r="R512" s="123">
        <v>44416</v>
      </c>
      <c r="S512" s="124">
        <v>31</v>
      </c>
      <c r="T512" s="124">
        <v>31</v>
      </c>
      <c r="U512" s="124">
        <v>5</v>
      </c>
      <c r="V512" s="125">
        <v>0</v>
      </c>
      <c r="W512" s="124">
        <v>0</v>
      </c>
      <c r="X512" s="126">
        <v>1</v>
      </c>
      <c r="Y512" s="126">
        <v>0</v>
      </c>
      <c r="Z512" s="126">
        <v>0</v>
      </c>
      <c r="AC512" s="125">
        <v>0</v>
      </c>
      <c r="AD512" s="124">
        <v>0</v>
      </c>
    </row>
    <row r="513" spans="1:30">
      <c r="A513" s="127" t="s">
        <v>1102</v>
      </c>
      <c r="B513" s="127" t="s">
        <v>1702</v>
      </c>
      <c r="C513" s="127" t="s">
        <v>1102</v>
      </c>
      <c r="D513" s="127" t="s">
        <v>1700</v>
      </c>
      <c r="E513" s="127" t="s">
        <v>1702</v>
      </c>
      <c r="M513" s="127" t="s">
        <v>1253</v>
      </c>
      <c r="N513" s="127" t="s">
        <v>1406</v>
      </c>
      <c r="O513" s="123">
        <v>44378</v>
      </c>
      <c r="P513" s="123">
        <v>44530</v>
      </c>
      <c r="Q513" s="123">
        <v>44417</v>
      </c>
      <c r="R513" s="123">
        <v>44423</v>
      </c>
      <c r="S513" s="124">
        <v>32</v>
      </c>
      <c r="T513" s="124">
        <v>32</v>
      </c>
      <c r="U513" s="124">
        <v>5</v>
      </c>
      <c r="V513" s="125">
        <v>0</v>
      </c>
      <c r="W513" s="124">
        <v>0</v>
      </c>
      <c r="X513" s="126">
        <v>1</v>
      </c>
      <c r="Y513" s="126">
        <v>0</v>
      </c>
      <c r="Z513" s="126">
        <v>0</v>
      </c>
      <c r="AC513" s="125">
        <v>0</v>
      </c>
      <c r="AD513" s="124">
        <v>0</v>
      </c>
    </row>
    <row r="514" spans="1:30">
      <c r="A514" s="127" t="s">
        <v>1102</v>
      </c>
      <c r="B514" s="127" t="s">
        <v>1702</v>
      </c>
      <c r="C514" s="127" t="s">
        <v>1102</v>
      </c>
      <c r="D514" s="127" t="s">
        <v>1700</v>
      </c>
      <c r="E514" s="127" t="s">
        <v>1702</v>
      </c>
      <c r="M514" s="127" t="s">
        <v>1253</v>
      </c>
      <c r="N514" s="127" t="s">
        <v>1406</v>
      </c>
      <c r="O514" s="123">
        <v>44378</v>
      </c>
      <c r="P514" s="123">
        <v>44530</v>
      </c>
      <c r="Q514" s="123">
        <v>44424</v>
      </c>
      <c r="R514" s="123">
        <v>44430</v>
      </c>
      <c r="S514" s="124">
        <v>33</v>
      </c>
      <c r="T514" s="124">
        <v>33</v>
      </c>
      <c r="U514" s="124">
        <v>5</v>
      </c>
      <c r="V514" s="125">
        <v>0</v>
      </c>
      <c r="W514" s="124">
        <v>0</v>
      </c>
      <c r="X514" s="126">
        <v>1</v>
      </c>
      <c r="Y514" s="126">
        <v>0</v>
      </c>
      <c r="Z514" s="126">
        <v>0</v>
      </c>
      <c r="AC514" s="125">
        <v>0</v>
      </c>
      <c r="AD514" s="124">
        <v>0</v>
      </c>
    </row>
    <row r="515" spans="1:30">
      <c r="A515" s="127" t="s">
        <v>1102</v>
      </c>
      <c r="B515" s="127" t="s">
        <v>1702</v>
      </c>
      <c r="C515" s="127" t="s">
        <v>1102</v>
      </c>
      <c r="D515" s="127" t="s">
        <v>1700</v>
      </c>
      <c r="E515" s="127" t="s">
        <v>1702</v>
      </c>
      <c r="M515" s="127" t="s">
        <v>1253</v>
      </c>
      <c r="N515" s="127" t="s">
        <v>1406</v>
      </c>
      <c r="O515" s="123">
        <v>44378</v>
      </c>
      <c r="P515" s="123">
        <v>44530</v>
      </c>
      <c r="Q515" s="123">
        <v>44431</v>
      </c>
      <c r="R515" s="123">
        <v>44437</v>
      </c>
      <c r="S515" s="124">
        <v>34</v>
      </c>
      <c r="T515" s="124">
        <v>34</v>
      </c>
      <c r="U515" s="124">
        <v>5</v>
      </c>
      <c r="V515" s="125">
        <v>0</v>
      </c>
      <c r="W515" s="124">
        <v>0</v>
      </c>
      <c r="X515" s="126">
        <v>1</v>
      </c>
      <c r="Y515" s="126">
        <v>0</v>
      </c>
      <c r="Z515" s="126">
        <v>0</v>
      </c>
      <c r="AC515" s="125">
        <v>0</v>
      </c>
      <c r="AD515" s="124">
        <v>0</v>
      </c>
    </row>
    <row r="516" spans="1:30">
      <c r="A516" s="127" t="s">
        <v>1102</v>
      </c>
      <c r="B516" s="127" t="s">
        <v>1702</v>
      </c>
      <c r="C516" s="127" t="s">
        <v>1102</v>
      </c>
      <c r="D516" s="127" t="s">
        <v>1700</v>
      </c>
      <c r="E516" s="127" t="s">
        <v>1702</v>
      </c>
      <c r="M516" s="127" t="s">
        <v>1253</v>
      </c>
      <c r="N516" s="127" t="s">
        <v>1406</v>
      </c>
      <c r="O516" s="123">
        <v>44378</v>
      </c>
      <c r="P516" s="123">
        <v>44530</v>
      </c>
      <c r="Q516" s="123">
        <v>44438</v>
      </c>
      <c r="R516" s="123">
        <v>44444</v>
      </c>
      <c r="S516" s="124">
        <v>35</v>
      </c>
      <c r="T516" s="124">
        <v>35</v>
      </c>
      <c r="U516" s="124">
        <v>5</v>
      </c>
      <c r="V516" s="125">
        <v>0</v>
      </c>
      <c r="W516" s="124">
        <v>0</v>
      </c>
      <c r="X516" s="126">
        <v>1</v>
      </c>
      <c r="Y516" s="126">
        <v>0</v>
      </c>
      <c r="Z516" s="126">
        <v>0</v>
      </c>
      <c r="AC516" s="125">
        <v>0</v>
      </c>
      <c r="AD516" s="124">
        <v>0</v>
      </c>
    </row>
    <row r="517" spans="1:30">
      <c r="A517" s="127" t="s">
        <v>1102</v>
      </c>
      <c r="B517" s="127" t="s">
        <v>1702</v>
      </c>
      <c r="C517" s="127" t="s">
        <v>1102</v>
      </c>
      <c r="D517" s="127" t="s">
        <v>1700</v>
      </c>
      <c r="E517" s="127" t="s">
        <v>1702</v>
      </c>
      <c r="M517" s="127" t="s">
        <v>1253</v>
      </c>
      <c r="N517" s="127" t="s">
        <v>1406</v>
      </c>
      <c r="O517" s="123">
        <v>44378</v>
      </c>
      <c r="P517" s="123">
        <v>44530</v>
      </c>
      <c r="Q517" s="123">
        <v>44445</v>
      </c>
      <c r="R517" s="123">
        <v>44451</v>
      </c>
      <c r="S517" s="124">
        <v>36</v>
      </c>
      <c r="T517" s="124">
        <v>36</v>
      </c>
      <c r="U517" s="124">
        <v>5</v>
      </c>
      <c r="V517" s="125">
        <v>0</v>
      </c>
      <c r="W517" s="124">
        <v>0</v>
      </c>
      <c r="X517" s="126">
        <v>1</v>
      </c>
      <c r="Y517" s="126">
        <v>0</v>
      </c>
      <c r="Z517" s="126">
        <v>0</v>
      </c>
      <c r="AC517" s="125">
        <v>0</v>
      </c>
      <c r="AD517" s="124">
        <v>0</v>
      </c>
    </row>
    <row r="518" spans="1:30">
      <c r="A518" s="127" t="s">
        <v>1102</v>
      </c>
      <c r="B518" s="127" t="s">
        <v>1702</v>
      </c>
      <c r="C518" s="127" t="s">
        <v>1102</v>
      </c>
      <c r="D518" s="127" t="s">
        <v>1700</v>
      </c>
      <c r="E518" s="127" t="s">
        <v>1702</v>
      </c>
      <c r="M518" s="127" t="s">
        <v>1253</v>
      </c>
      <c r="N518" s="127" t="s">
        <v>1406</v>
      </c>
      <c r="O518" s="123">
        <v>44378</v>
      </c>
      <c r="P518" s="123">
        <v>44530</v>
      </c>
      <c r="Q518" s="123">
        <v>44452</v>
      </c>
      <c r="R518" s="123">
        <v>44458</v>
      </c>
      <c r="S518" s="124">
        <v>37</v>
      </c>
      <c r="T518" s="124">
        <v>37</v>
      </c>
      <c r="U518" s="124">
        <v>5</v>
      </c>
      <c r="V518" s="125">
        <v>0</v>
      </c>
      <c r="W518" s="124">
        <v>0</v>
      </c>
      <c r="X518" s="126">
        <v>1</v>
      </c>
      <c r="Y518" s="126">
        <v>0</v>
      </c>
      <c r="Z518" s="126">
        <v>0</v>
      </c>
      <c r="AC518" s="125">
        <v>0</v>
      </c>
      <c r="AD518" s="124">
        <v>0</v>
      </c>
    </row>
    <row r="519" spans="1:30">
      <c r="A519" s="127" t="s">
        <v>1102</v>
      </c>
      <c r="B519" s="127" t="s">
        <v>1702</v>
      </c>
      <c r="C519" s="127" t="s">
        <v>1102</v>
      </c>
      <c r="D519" s="127" t="s">
        <v>1700</v>
      </c>
      <c r="E519" s="127" t="s">
        <v>1702</v>
      </c>
      <c r="M519" s="127" t="s">
        <v>1253</v>
      </c>
      <c r="N519" s="127" t="s">
        <v>1406</v>
      </c>
      <c r="O519" s="123">
        <v>44378</v>
      </c>
      <c r="P519" s="123">
        <v>44530</v>
      </c>
      <c r="Q519" s="123">
        <v>44459</v>
      </c>
      <c r="R519" s="123">
        <v>44465</v>
      </c>
      <c r="S519" s="124">
        <v>38</v>
      </c>
      <c r="T519" s="124">
        <v>38</v>
      </c>
      <c r="U519" s="124">
        <v>2</v>
      </c>
      <c r="V519" s="125">
        <v>0</v>
      </c>
      <c r="W519" s="124">
        <v>0</v>
      </c>
      <c r="X519" s="126">
        <v>1</v>
      </c>
      <c r="Y519" s="126">
        <v>0</v>
      </c>
      <c r="Z519" s="126">
        <v>0</v>
      </c>
      <c r="AC519" s="125">
        <v>0</v>
      </c>
      <c r="AD519" s="124">
        <v>0</v>
      </c>
    </row>
    <row r="520" spans="1:30">
      <c r="A520" s="127" t="s">
        <v>1102</v>
      </c>
      <c r="B520" s="127" t="s">
        <v>1702</v>
      </c>
      <c r="C520" s="127" t="s">
        <v>1102</v>
      </c>
      <c r="D520" s="127" t="s">
        <v>1700</v>
      </c>
      <c r="E520" s="127" t="s">
        <v>1702</v>
      </c>
      <c r="M520" s="127" t="s">
        <v>1253</v>
      </c>
      <c r="N520" s="127" t="s">
        <v>1406</v>
      </c>
      <c r="O520" s="123">
        <v>44378</v>
      </c>
      <c r="P520" s="123">
        <v>44530</v>
      </c>
      <c r="Q520" s="123">
        <v>44466</v>
      </c>
      <c r="R520" s="123">
        <v>44472</v>
      </c>
      <c r="S520" s="124">
        <v>39</v>
      </c>
      <c r="T520" s="124">
        <v>39</v>
      </c>
      <c r="U520" s="124">
        <v>5</v>
      </c>
      <c r="V520" s="125">
        <v>0</v>
      </c>
      <c r="W520" s="124">
        <v>0</v>
      </c>
      <c r="X520" s="126">
        <v>1</v>
      </c>
      <c r="Y520" s="126">
        <v>0</v>
      </c>
      <c r="Z520" s="126">
        <v>0</v>
      </c>
      <c r="AC520" s="125">
        <v>0</v>
      </c>
      <c r="AD520" s="124">
        <v>0</v>
      </c>
    </row>
    <row r="521" spans="1:30">
      <c r="A521" s="127" t="s">
        <v>1102</v>
      </c>
      <c r="B521" s="127" t="s">
        <v>1702</v>
      </c>
      <c r="C521" s="127" t="s">
        <v>1102</v>
      </c>
      <c r="D521" s="127" t="s">
        <v>1700</v>
      </c>
      <c r="E521" s="127" t="s">
        <v>1702</v>
      </c>
      <c r="M521" s="127" t="s">
        <v>1253</v>
      </c>
      <c r="N521" s="127" t="s">
        <v>1406</v>
      </c>
      <c r="O521" s="123">
        <v>44378</v>
      </c>
      <c r="P521" s="123">
        <v>44530</v>
      </c>
      <c r="Q521" s="123">
        <v>44473</v>
      </c>
      <c r="R521" s="123">
        <v>44479</v>
      </c>
      <c r="S521" s="124">
        <v>40</v>
      </c>
      <c r="T521" s="124">
        <v>40</v>
      </c>
      <c r="U521" s="124">
        <v>5</v>
      </c>
      <c r="V521" s="125">
        <v>0</v>
      </c>
      <c r="W521" s="124">
        <v>0</v>
      </c>
      <c r="X521" s="126">
        <v>1</v>
      </c>
      <c r="Y521" s="126">
        <v>0</v>
      </c>
      <c r="Z521" s="126">
        <v>0</v>
      </c>
      <c r="AC521" s="125">
        <v>0</v>
      </c>
      <c r="AD521" s="124">
        <v>0</v>
      </c>
    </row>
    <row r="522" spans="1:30">
      <c r="A522" s="127" t="s">
        <v>1102</v>
      </c>
      <c r="B522" s="127" t="s">
        <v>1702</v>
      </c>
      <c r="C522" s="127" t="s">
        <v>1102</v>
      </c>
      <c r="D522" s="127" t="s">
        <v>1700</v>
      </c>
      <c r="E522" s="127" t="s">
        <v>1702</v>
      </c>
      <c r="M522" s="127" t="s">
        <v>1253</v>
      </c>
      <c r="N522" s="127" t="s">
        <v>1406</v>
      </c>
      <c r="O522" s="123">
        <v>44378</v>
      </c>
      <c r="P522" s="123">
        <v>44530</v>
      </c>
      <c r="Q522" s="123">
        <v>44480</v>
      </c>
      <c r="R522" s="123">
        <v>44486</v>
      </c>
      <c r="S522" s="124">
        <v>41</v>
      </c>
      <c r="T522" s="124">
        <v>41</v>
      </c>
      <c r="U522" s="124">
        <v>5</v>
      </c>
      <c r="V522" s="125">
        <v>0</v>
      </c>
      <c r="W522" s="124">
        <v>0</v>
      </c>
      <c r="X522" s="126">
        <v>1</v>
      </c>
      <c r="Y522" s="126">
        <v>0</v>
      </c>
      <c r="Z522" s="126">
        <v>0</v>
      </c>
      <c r="AC522" s="125">
        <v>0</v>
      </c>
      <c r="AD522" s="124">
        <v>0</v>
      </c>
    </row>
    <row r="523" spans="1:30">
      <c r="A523" s="127" t="s">
        <v>1102</v>
      </c>
      <c r="B523" s="127" t="s">
        <v>1702</v>
      </c>
      <c r="C523" s="127" t="s">
        <v>1102</v>
      </c>
      <c r="D523" s="127" t="s">
        <v>1700</v>
      </c>
      <c r="E523" s="127" t="s">
        <v>1702</v>
      </c>
      <c r="M523" s="127" t="s">
        <v>1253</v>
      </c>
      <c r="N523" s="127" t="s">
        <v>1406</v>
      </c>
      <c r="O523" s="123">
        <v>44378</v>
      </c>
      <c r="P523" s="123">
        <v>44530</v>
      </c>
      <c r="Q523" s="123">
        <v>44487</v>
      </c>
      <c r="R523" s="123">
        <v>44493</v>
      </c>
      <c r="S523" s="124">
        <v>42</v>
      </c>
      <c r="T523" s="124">
        <v>42</v>
      </c>
      <c r="U523" s="124">
        <v>5</v>
      </c>
      <c r="V523" s="125">
        <v>0</v>
      </c>
      <c r="W523" s="124">
        <v>0</v>
      </c>
      <c r="X523" s="126">
        <v>1</v>
      </c>
      <c r="Y523" s="126">
        <v>0</v>
      </c>
      <c r="Z523" s="126">
        <v>0</v>
      </c>
      <c r="AC523" s="125">
        <v>0</v>
      </c>
      <c r="AD523" s="124">
        <v>0</v>
      </c>
    </row>
    <row r="524" spans="1:30">
      <c r="A524" s="127" t="s">
        <v>1102</v>
      </c>
      <c r="B524" s="127" t="s">
        <v>1702</v>
      </c>
      <c r="C524" s="127" t="s">
        <v>1102</v>
      </c>
      <c r="D524" s="127" t="s">
        <v>1700</v>
      </c>
      <c r="E524" s="127" t="s">
        <v>1702</v>
      </c>
      <c r="M524" s="127" t="s">
        <v>1253</v>
      </c>
      <c r="N524" s="127" t="s">
        <v>1406</v>
      </c>
      <c r="O524" s="123">
        <v>44378</v>
      </c>
      <c r="P524" s="123">
        <v>44530</v>
      </c>
      <c r="Q524" s="123">
        <v>44494</v>
      </c>
      <c r="R524" s="123">
        <v>44500</v>
      </c>
      <c r="S524" s="124">
        <v>43</v>
      </c>
      <c r="T524" s="124">
        <v>43</v>
      </c>
      <c r="U524" s="124">
        <v>5</v>
      </c>
      <c r="V524" s="125">
        <v>0</v>
      </c>
      <c r="W524" s="124">
        <v>0</v>
      </c>
      <c r="X524" s="126">
        <v>1</v>
      </c>
      <c r="Y524" s="126">
        <v>0</v>
      </c>
      <c r="Z524" s="126">
        <v>0</v>
      </c>
      <c r="AC524" s="125">
        <v>0</v>
      </c>
      <c r="AD524" s="124">
        <v>0</v>
      </c>
    </row>
    <row r="525" spans="1:30">
      <c r="A525" s="127" t="s">
        <v>1102</v>
      </c>
      <c r="B525" s="127" t="s">
        <v>1702</v>
      </c>
      <c r="C525" s="127" t="s">
        <v>1102</v>
      </c>
      <c r="D525" s="127" t="s">
        <v>1700</v>
      </c>
      <c r="E525" s="127" t="s">
        <v>1702</v>
      </c>
      <c r="M525" s="127" t="s">
        <v>1253</v>
      </c>
      <c r="N525" s="127" t="s">
        <v>1406</v>
      </c>
      <c r="O525" s="123">
        <v>44378</v>
      </c>
      <c r="P525" s="123">
        <v>44530</v>
      </c>
      <c r="Q525" s="123">
        <v>44501</v>
      </c>
      <c r="R525" s="123">
        <v>44507</v>
      </c>
      <c r="S525" s="124">
        <v>44</v>
      </c>
      <c r="T525" s="124">
        <v>44</v>
      </c>
      <c r="U525" s="124">
        <v>5</v>
      </c>
      <c r="V525" s="125">
        <v>0</v>
      </c>
      <c r="W525" s="124">
        <v>0</v>
      </c>
      <c r="X525" s="126">
        <v>1</v>
      </c>
      <c r="Y525" s="126">
        <v>0</v>
      </c>
      <c r="Z525" s="126">
        <v>0</v>
      </c>
      <c r="AC525" s="125">
        <v>0</v>
      </c>
      <c r="AD525" s="124">
        <v>0</v>
      </c>
    </row>
    <row r="526" spans="1:30">
      <c r="A526" s="127" t="s">
        <v>1102</v>
      </c>
      <c r="B526" s="127" t="s">
        <v>1702</v>
      </c>
      <c r="C526" s="127" t="s">
        <v>1102</v>
      </c>
      <c r="D526" s="127" t="s">
        <v>1700</v>
      </c>
      <c r="E526" s="127" t="s">
        <v>1702</v>
      </c>
      <c r="M526" s="127" t="s">
        <v>1253</v>
      </c>
      <c r="N526" s="127" t="s">
        <v>1406</v>
      </c>
      <c r="O526" s="123">
        <v>44378</v>
      </c>
      <c r="P526" s="123">
        <v>44530</v>
      </c>
      <c r="Q526" s="123">
        <v>44508</v>
      </c>
      <c r="R526" s="123">
        <v>44514</v>
      </c>
      <c r="S526" s="124">
        <v>45</v>
      </c>
      <c r="T526" s="124">
        <v>45</v>
      </c>
      <c r="U526" s="124">
        <v>5</v>
      </c>
      <c r="V526" s="125">
        <v>0</v>
      </c>
      <c r="W526" s="124">
        <v>0</v>
      </c>
      <c r="X526" s="126">
        <v>1</v>
      </c>
      <c r="Y526" s="126">
        <v>0</v>
      </c>
      <c r="Z526" s="126">
        <v>0</v>
      </c>
      <c r="AC526" s="125">
        <v>0</v>
      </c>
      <c r="AD526" s="124">
        <v>0</v>
      </c>
    </row>
    <row r="527" spans="1:30">
      <c r="A527" s="127" t="s">
        <v>1102</v>
      </c>
      <c r="B527" s="127" t="s">
        <v>1702</v>
      </c>
      <c r="C527" s="127" t="s">
        <v>1102</v>
      </c>
      <c r="D527" s="127" t="s">
        <v>1700</v>
      </c>
      <c r="E527" s="127" t="s">
        <v>1702</v>
      </c>
      <c r="M527" s="127" t="s">
        <v>1253</v>
      </c>
      <c r="N527" s="127" t="s">
        <v>1406</v>
      </c>
      <c r="O527" s="123">
        <v>44378</v>
      </c>
      <c r="P527" s="123">
        <v>44530</v>
      </c>
      <c r="Q527" s="123">
        <v>44515</v>
      </c>
      <c r="R527" s="123">
        <v>44521</v>
      </c>
      <c r="S527" s="124">
        <v>46</v>
      </c>
      <c r="T527" s="124">
        <v>46</v>
      </c>
      <c r="U527" s="124">
        <v>5</v>
      </c>
      <c r="V527" s="125">
        <v>0</v>
      </c>
      <c r="W527" s="124">
        <v>0</v>
      </c>
      <c r="X527" s="126">
        <v>1</v>
      </c>
      <c r="Y527" s="126">
        <v>0</v>
      </c>
      <c r="Z527" s="126">
        <v>0</v>
      </c>
      <c r="AC527" s="125">
        <v>0</v>
      </c>
      <c r="AD527" s="124">
        <v>0</v>
      </c>
    </row>
    <row r="528" spans="1:30">
      <c r="A528" s="127" t="s">
        <v>1102</v>
      </c>
      <c r="B528" s="127" t="s">
        <v>1702</v>
      </c>
      <c r="C528" s="127" t="s">
        <v>1102</v>
      </c>
      <c r="D528" s="127" t="s">
        <v>1700</v>
      </c>
      <c r="E528" s="127" t="s">
        <v>1702</v>
      </c>
      <c r="M528" s="127" t="s">
        <v>1253</v>
      </c>
      <c r="N528" s="127" t="s">
        <v>1406</v>
      </c>
      <c r="O528" s="123">
        <v>44378</v>
      </c>
      <c r="P528" s="123">
        <v>44530</v>
      </c>
      <c r="Q528" s="123">
        <v>44522</v>
      </c>
      <c r="R528" s="123">
        <v>44528</v>
      </c>
      <c r="S528" s="124">
        <v>47</v>
      </c>
      <c r="T528" s="124">
        <v>47</v>
      </c>
      <c r="U528" s="124">
        <v>5</v>
      </c>
      <c r="V528" s="125">
        <v>0</v>
      </c>
      <c r="W528" s="124">
        <v>0</v>
      </c>
      <c r="X528" s="126">
        <v>1</v>
      </c>
      <c r="Y528" s="126">
        <v>0</v>
      </c>
      <c r="Z528" s="126">
        <v>0</v>
      </c>
      <c r="AC528" s="125">
        <v>0</v>
      </c>
      <c r="AD528" s="124">
        <v>0</v>
      </c>
    </row>
    <row r="529" spans="1:30">
      <c r="A529" s="127" t="s">
        <v>1102</v>
      </c>
      <c r="B529" s="127" t="s">
        <v>1702</v>
      </c>
      <c r="C529" s="127" t="s">
        <v>1102</v>
      </c>
      <c r="D529" s="127" t="s">
        <v>1700</v>
      </c>
      <c r="E529" s="127" t="s">
        <v>1702</v>
      </c>
      <c r="M529" s="127" t="s">
        <v>1253</v>
      </c>
      <c r="N529" s="127" t="s">
        <v>1406</v>
      </c>
      <c r="O529" s="123">
        <v>44378</v>
      </c>
      <c r="P529" s="123">
        <v>44530</v>
      </c>
      <c r="Q529" s="123">
        <v>44529</v>
      </c>
      <c r="R529" s="123">
        <v>44535</v>
      </c>
      <c r="S529" s="124">
        <v>48</v>
      </c>
      <c r="T529" s="124">
        <v>48</v>
      </c>
      <c r="U529" s="124">
        <v>2</v>
      </c>
      <c r="V529" s="125">
        <v>0</v>
      </c>
      <c r="W529" s="124">
        <v>0</v>
      </c>
      <c r="X529" s="126">
        <v>1</v>
      </c>
      <c r="Y529" s="126">
        <v>0</v>
      </c>
      <c r="Z529" s="126">
        <v>0</v>
      </c>
      <c r="AC529" s="125">
        <v>0</v>
      </c>
      <c r="AD529" s="124">
        <v>0</v>
      </c>
    </row>
    <row r="530" spans="1:30">
      <c r="A530" s="127" t="s">
        <v>1102</v>
      </c>
      <c r="B530" s="127" t="s">
        <v>1703</v>
      </c>
      <c r="C530" s="127" t="s">
        <v>1102</v>
      </c>
      <c r="D530" s="127" t="s">
        <v>1700</v>
      </c>
      <c r="E530" s="127" t="s">
        <v>1703</v>
      </c>
      <c r="M530" s="127" t="s">
        <v>1253</v>
      </c>
      <c r="N530" s="127" t="s">
        <v>1406</v>
      </c>
      <c r="O530" s="123">
        <v>44473</v>
      </c>
      <c r="P530" s="123">
        <v>44561</v>
      </c>
      <c r="Q530" s="123">
        <v>44473</v>
      </c>
      <c r="R530" s="123">
        <v>44479</v>
      </c>
      <c r="S530" s="124">
        <v>40</v>
      </c>
      <c r="T530" s="124">
        <v>40</v>
      </c>
      <c r="U530" s="124">
        <v>5</v>
      </c>
      <c r="V530" s="125">
        <v>0</v>
      </c>
      <c r="W530" s="124">
        <v>0</v>
      </c>
      <c r="X530" s="126">
        <v>1</v>
      </c>
      <c r="Y530" s="126">
        <v>0</v>
      </c>
      <c r="Z530" s="126">
        <v>0</v>
      </c>
      <c r="AC530" s="125">
        <v>0</v>
      </c>
      <c r="AD530" s="124">
        <v>0</v>
      </c>
    </row>
    <row r="531" spans="1:30">
      <c r="A531" s="127" t="s">
        <v>1102</v>
      </c>
      <c r="B531" s="127" t="s">
        <v>1703</v>
      </c>
      <c r="C531" s="127" t="s">
        <v>1102</v>
      </c>
      <c r="D531" s="127" t="s">
        <v>1700</v>
      </c>
      <c r="E531" s="127" t="s">
        <v>1703</v>
      </c>
      <c r="M531" s="127" t="s">
        <v>1253</v>
      </c>
      <c r="N531" s="127" t="s">
        <v>1406</v>
      </c>
      <c r="O531" s="123">
        <v>44473</v>
      </c>
      <c r="P531" s="123">
        <v>44561</v>
      </c>
      <c r="Q531" s="123">
        <v>44480</v>
      </c>
      <c r="R531" s="123">
        <v>44486</v>
      </c>
      <c r="S531" s="124">
        <v>41</v>
      </c>
      <c r="T531" s="124">
        <v>41</v>
      </c>
      <c r="U531" s="124">
        <v>5</v>
      </c>
      <c r="V531" s="125">
        <v>0</v>
      </c>
      <c r="W531" s="124">
        <v>0</v>
      </c>
      <c r="X531" s="126">
        <v>1</v>
      </c>
      <c r="Y531" s="126">
        <v>0</v>
      </c>
      <c r="Z531" s="126">
        <v>0</v>
      </c>
      <c r="AC531" s="125">
        <v>0</v>
      </c>
      <c r="AD531" s="124">
        <v>0</v>
      </c>
    </row>
    <row r="532" spans="1:30">
      <c r="A532" s="127" t="s">
        <v>1102</v>
      </c>
      <c r="B532" s="127" t="s">
        <v>1703</v>
      </c>
      <c r="C532" s="127" t="s">
        <v>1102</v>
      </c>
      <c r="D532" s="127" t="s">
        <v>1700</v>
      </c>
      <c r="E532" s="127" t="s">
        <v>1703</v>
      </c>
      <c r="M532" s="127" t="s">
        <v>1253</v>
      </c>
      <c r="N532" s="127" t="s">
        <v>1406</v>
      </c>
      <c r="O532" s="123">
        <v>44473</v>
      </c>
      <c r="P532" s="123">
        <v>44561</v>
      </c>
      <c r="Q532" s="123">
        <v>44487</v>
      </c>
      <c r="R532" s="123">
        <v>44493</v>
      </c>
      <c r="S532" s="124">
        <v>42</v>
      </c>
      <c r="T532" s="124">
        <v>42</v>
      </c>
      <c r="U532" s="124">
        <v>5</v>
      </c>
      <c r="V532" s="125">
        <v>0</v>
      </c>
      <c r="W532" s="124">
        <v>0</v>
      </c>
      <c r="X532" s="126">
        <v>1</v>
      </c>
      <c r="Y532" s="126">
        <v>0</v>
      </c>
      <c r="Z532" s="126">
        <v>0</v>
      </c>
      <c r="AC532" s="125">
        <v>0</v>
      </c>
      <c r="AD532" s="124">
        <v>0</v>
      </c>
    </row>
    <row r="533" spans="1:30">
      <c r="A533" s="127" t="s">
        <v>1102</v>
      </c>
      <c r="B533" s="127" t="s">
        <v>1703</v>
      </c>
      <c r="C533" s="127" t="s">
        <v>1102</v>
      </c>
      <c r="D533" s="127" t="s">
        <v>1700</v>
      </c>
      <c r="E533" s="127" t="s">
        <v>1703</v>
      </c>
      <c r="M533" s="127" t="s">
        <v>1253</v>
      </c>
      <c r="N533" s="127" t="s">
        <v>1406</v>
      </c>
      <c r="O533" s="123">
        <v>44473</v>
      </c>
      <c r="P533" s="123">
        <v>44561</v>
      </c>
      <c r="Q533" s="123">
        <v>44494</v>
      </c>
      <c r="R533" s="123">
        <v>44500</v>
      </c>
      <c r="S533" s="124">
        <v>43</v>
      </c>
      <c r="T533" s="124">
        <v>43</v>
      </c>
      <c r="U533" s="124">
        <v>5</v>
      </c>
      <c r="V533" s="125">
        <v>0</v>
      </c>
      <c r="W533" s="124">
        <v>0</v>
      </c>
      <c r="X533" s="126">
        <v>1</v>
      </c>
      <c r="Y533" s="126">
        <v>0</v>
      </c>
      <c r="Z533" s="126">
        <v>0</v>
      </c>
      <c r="AC533" s="125">
        <v>0</v>
      </c>
      <c r="AD533" s="124">
        <v>0</v>
      </c>
    </row>
    <row r="534" spans="1:30">
      <c r="A534" s="127" t="s">
        <v>1102</v>
      </c>
      <c r="B534" s="127" t="s">
        <v>1703</v>
      </c>
      <c r="C534" s="127" t="s">
        <v>1102</v>
      </c>
      <c r="D534" s="127" t="s">
        <v>1700</v>
      </c>
      <c r="E534" s="127" t="s">
        <v>1703</v>
      </c>
      <c r="M534" s="127" t="s">
        <v>1253</v>
      </c>
      <c r="N534" s="127" t="s">
        <v>1406</v>
      </c>
      <c r="O534" s="123">
        <v>44473</v>
      </c>
      <c r="P534" s="123">
        <v>44561</v>
      </c>
      <c r="Q534" s="123">
        <v>44501</v>
      </c>
      <c r="R534" s="123">
        <v>44507</v>
      </c>
      <c r="S534" s="124">
        <v>44</v>
      </c>
      <c r="T534" s="124">
        <v>44</v>
      </c>
      <c r="U534" s="124">
        <v>5</v>
      </c>
      <c r="V534" s="125">
        <v>0</v>
      </c>
      <c r="W534" s="124">
        <v>0</v>
      </c>
      <c r="X534" s="126">
        <v>1</v>
      </c>
      <c r="Y534" s="126">
        <v>0</v>
      </c>
      <c r="Z534" s="126">
        <v>0</v>
      </c>
      <c r="AC534" s="125">
        <v>0</v>
      </c>
      <c r="AD534" s="124">
        <v>0</v>
      </c>
    </row>
    <row r="535" spans="1:30">
      <c r="A535" s="127" t="s">
        <v>1102</v>
      </c>
      <c r="B535" s="127" t="s">
        <v>1703</v>
      </c>
      <c r="C535" s="127" t="s">
        <v>1102</v>
      </c>
      <c r="D535" s="127" t="s">
        <v>1700</v>
      </c>
      <c r="E535" s="127" t="s">
        <v>1703</v>
      </c>
      <c r="M535" s="127" t="s">
        <v>1253</v>
      </c>
      <c r="N535" s="127" t="s">
        <v>1406</v>
      </c>
      <c r="O535" s="123">
        <v>44473</v>
      </c>
      <c r="P535" s="123">
        <v>44561</v>
      </c>
      <c r="Q535" s="123">
        <v>44508</v>
      </c>
      <c r="R535" s="123">
        <v>44514</v>
      </c>
      <c r="S535" s="124">
        <v>45</v>
      </c>
      <c r="T535" s="124">
        <v>45</v>
      </c>
      <c r="U535" s="124">
        <v>5</v>
      </c>
      <c r="V535" s="125">
        <v>0</v>
      </c>
      <c r="W535" s="124">
        <v>0</v>
      </c>
      <c r="X535" s="126">
        <v>1</v>
      </c>
      <c r="Y535" s="126">
        <v>0</v>
      </c>
      <c r="Z535" s="126">
        <v>0</v>
      </c>
      <c r="AC535" s="125">
        <v>0</v>
      </c>
      <c r="AD535" s="124">
        <v>0</v>
      </c>
    </row>
    <row r="536" spans="1:30">
      <c r="A536" s="127" t="s">
        <v>1102</v>
      </c>
      <c r="B536" s="127" t="s">
        <v>1703</v>
      </c>
      <c r="C536" s="127" t="s">
        <v>1102</v>
      </c>
      <c r="D536" s="127" t="s">
        <v>1700</v>
      </c>
      <c r="E536" s="127" t="s">
        <v>1703</v>
      </c>
      <c r="M536" s="127" t="s">
        <v>1253</v>
      </c>
      <c r="N536" s="127" t="s">
        <v>1406</v>
      </c>
      <c r="O536" s="123">
        <v>44473</v>
      </c>
      <c r="P536" s="123">
        <v>44561</v>
      </c>
      <c r="Q536" s="123">
        <v>44515</v>
      </c>
      <c r="R536" s="123">
        <v>44521</v>
      </c>
      <c r="S536" s="124">
        <v>46</v>
      </c>
      <c r="T536" s="124">
        <v>46</v>
      </c>
      <c r="U536" s="124">
        <v>5</v>
      </c>
      <c r="V536" s="125">
        <v>0</v>
      </c>
      <c r="W536" s="124">
        <v>0</v>
      </c>
      <c r="X536" s="126">
        <v>1</v>
      </c>
      <c r="Y536" s="126">
        <v>0</v>
      </c>
      <c r="Z536" s="126">
        <v>0</v>
      </c>
      <c r="AC536" s="125">
        <v>0</v>
      </c>
      <c r="AD536" s="124">
        <v>0</v>
      </c>
    </row>
    <row r="537" spans="1:30">
      <c r="A537" s="127" t="s">
        <v>1102</v>
      </c>
      <c r="B537" s="127" t="s">
        <v>1703</v>
      </c>
      <c r="C537" s="127" t="s">
        <v>1102</v>
      </c>
      <c r="D537" s="127" t="s">
        <v>1700</v>
      </c>
      <c r="E537" s="127" t="s">
        <v>1703</v>
      </c>
      <c r="M537" s="127" t="s">
        <v>1253</v>
      </c>
      <c r="N537" s="127" t="s">
        <v>1406</v>
      </c>
      <c r="O537" s="123">
        <v>44473</v>
      </c>
      <c r="P537" s="123">
        <v>44561</v>
      </c>
      <c r="Q537" s="123">
        <v>44522</v>
      </c>
      <c r="R537" s="123">
        <v>44528</v>
      </c>
      <c r="S537" s="124">
        <v>47</v>
      </c>
      <c r="T537" s="124">
        <v>47</v>
      </c>
      <c r="U537" s="124">
        <v>5</v>
      </c>
      <c r="V537" s="125">
        <v>0</v>
      </c>
      <c r="W537" s="124">
        <v>0</v>
      </c>
      <c r="X537" s="126">
        <v>1</v>
      </c>
      <c r="Y537" s="126">
        <v>0</v>
      </c>
      <c r="Z537" s="126">
        <v>0</v>
      </c>
      <c r="AC537" s="125">
        <v>0</v>
      </c>
      <c r="AD537" s="124">
        <v>0</v>
      </c>
    </row>
    <row r="538" spans="1:30">
      <c r="A538" s="127" t="s">
        <v>1102</v>
      </c>
      <c r="B538" s="127" t="s">
        <v>1703</v>
      </c>
      <c r="C538" s="127" t="s">
        <v>1102</v>
      </c>
      <c r="D538" s="127" t="s">
        <v>1700</v>
      </c>
      <c r="E538" s="127" t="s">
        <v>1703</v>
      </c>
      <c r="M538" s="127" t="s">
        <v>1253</v>
      </c>
      <c r="N538" s="127" t="s">
        <v>1406</v>
      </c>
      <c r="O538" s="123">
        <v>44473</v>
      </c>
      <c r="P538" s="123">
        <v>44561</v>
      </c>
      <c r="Q538" s="123">
        <v>44529</v>
      </c>
      <c r="R538" s="123">
        <v>44535</v>
      </c>
      <c r="S538" s="124">
        <v>48</v>
      </c>
      <c r="T538" s="124">
        <v>48</v>
      </c>
      <c r="U538" s="124">
        <v>5</v>
      </c>
      <c r="V538" s="125">
        <v>0</v>
      </c>
      <c r="W538" s="124">
        <v>0</v>
      </c>
      <c r="X538" s="126">
        <v>1</v>
      </c>
      <c r="Y538" s="126">
        <v>0</v>
      </c>
      <c r="Z538" s="126">
        <v>0</v>
      </c>
      <c r="AC538" s="125">
        <v>0</v>
      </c>
      <c r="AD538" s="124">
        <v>0</v>
      </c>
    </row>
    <row r="539" spans="1:30">
      <c r="A539" s="127" t="s">
        <v>1102</v>
      </c>
      <c r="B539" s="127" t="s">
        <v>1703</v>
      </c>
      <c r="C539" s="127" t="s">
        <v>1102</v>
      </c>
      <c r="D539" s="127" t="s">
        <v>1700</v>
      </c>
      <c r="E539" s="127" t="s">
        <v>1703</v>
      </c>
      <c r="M539" s="127" t="s">
        <v>1253</v>
      </c>
      <c r="N539" s="127" t="s">
        <v>1406</v>
      </c>
      <c r="O539" s="123">
        <v>44473</v>
      </c>
      <c r="P539" s="123">
        <v>44561</v>
      </c>
      <c r="Q539" s="123">
        <v>44536</v>
      </c>
      <c r="R539" s="123">
        <v>44542</v>
      </c>
      <c r="S539" s="124">
        <v>49</v>
      </c>
      <c r="T539" s="124">
        <v>49</v>
      </c>
      <c r="U539" s="124">
        <v>5</v>
      </c>
      <c r="V539" s="125">
        <v>0</v>
      </c>
      <c r="W539" s="124">
        <v>0</v>
      </c>
      <c r="X539" s="126">
        <v>1</v>
      </c>
      <c r="Y539" s="126">
        <v>0</v>
      </c>
      <c r="Z539" s="126">
        <v>0</v>
      </c>
      <c r="AC539" s="125">
        <v>0</v>
      </c>
      <c r="AD539" s="124">
        <v>0</v>
      </c>
    </row>
    <row r="540" spans="1:30">
      <c r="A540" s="127" t="s">
        <v>1102</v>
      </c>
      <c r="B540" s="127" t="s">
        <v>1703</v>
      </c>
      <c r="C540" s="127" t="s">
        <v>1102</v>
      </c>
      <c r="D540" s="127" t="s">
        <v>1700</v>
      </c>
      <c r="E540" s="127" t="s">
        <v>1703</v>
      </c>
      <c r="M540" s="127" t="s">
        <v>1253</v>
      </c>
      <c r="N540" s="127" t="s">
        <v>1406</v>
      </c>
      <c r="O540" s="123">
        <v>44473</v>
      </c>
      <c r="P540" s="123">
        <v>44561</v>
      </c>
      <c r="Q540" s="123">
        <v>44543</v>
      </c>
      <c r="R540" s="123">
        <v>44549</v>
      </c>
      <c r="S540" s="124">
        <v>50</v>
      </c>
      <c r="T540" s="124">
        <v>50</v>
      </c>
      <c r="U540" s="124">
        <v>5</v>
      </c>
      <c r="V540" s="125">
        <v>0</v>
      </c>
      <c r="W540" s="124">
        <v>0</v>
      </c>
      <c r="X540" s="126">
        <v>1</v>
      </c>
      <c r="Y540" s="126">
        <v>0</v>
      </c>
      <c r="Z540" s="126">
        <v>0</v>
      </c>
      <c r="AC540" s="125">
        <v>0</v>
      </c>
      <c r="AD540" s="124">
        <v>0</v>
      </c>
    </row>
    <row r="541" spans="1:30">
      <c r="A541" s="127" t="s">
        <v>1102</v>
      </c>
      <c r="B541" s="127" t="s">
        <v>1703</v>
      </c>
      <c r="C541" s="127" t="s">
        <v>1102</v>
      </c>
      <c r="D541" s="127" t="s">
        <v>1700</v>
      </c>
      <c r="E541" s="127" t="s">
        <v>1703</v>
      </c>
      <c r="M541" s="127" t="s">
        <v>1253</v>
      </c>
      <c r="N541" s="127" t="s">
        <v>1406</v>
      </c>
      <c r="O541" s="123">
        <v>44473</v>
      </c>
      <c r="P541" s="123">
        <v>44561</v>
      </c>
      <c r="Q541" s="123">
        <v>44550</v>
      </c>
      <c r="R541" s="123">
        <v>44556</v>
      </c>
      <c r="S541" s="124">
        <v>51</v>
      </c>
      <c r="T541" s="124">
        <v>51</v>
      </c>
      <c r="U541" s="124">
        <v>5</v>
      </c>
      <c r="V541" s="125">
        <v>0</v>
      </c>
      <c r="W541" s="124">
        <v>0</v>
      </c>
      <c r="X541" s="126">
        <v>1</v>
      </c>
      <c r="Y541" s="126">
        <v>0</v>
      </c>
      <c r="Z541" s="126">
        <v>0</v>
      </c>
      <c r="AC541" s="125">
        <v>0</v>
      </c>
      <c r="AD541" s="124">
        <v>0</v>
      </c>
    </row>
    <row r="542" spans="1:30">
      <c r="A542" s="127" t="s">
        <v>1102</v>
      </c>
      <c r="B542" s="127" t="s">
        <v>1703</v>
      </c>
      <c r="C542" s="127" t="s">
        <v>1102</v>
      </c>
      <c r="D542" s="127" t="s">
        <v>1700</v>
      </c>
      <c r="E542" s="127" t="s">
        <v>1703</v>
      </c>
      <c r="M542" s="127" t="s">
        <v>1253</v>
      </c>
      <c r="N542" s="127" t="s">
        <v>1406</v>
      </c>
      <c r="O542" s="123">
        <v>44473</v>
      </c>
      <c r="P542" s="123">
        <v>44561</v>
      </c>
      <c r="Q542" s="123">
        <v>44557</v>
      </c>
      <c r="R542" s="123">
        <v>44563</v>
      </c>
      <c r="S542" s="124">
        <v>52</v>
      </c>
      <c r="T542" s="124">
        <v>52</v>
      </c>
      <c r="U542" s="124">
        <v>5</v>
      </c>
      <c r="V542" s="125">
        <v>0</v>
      </c>
      <c r="W542" s="124">
        <v>0</v>
      </c>
      <c r="X542" s="126">
        <v>1</v>
      </c>
      <c r="Y542" s="126">
        <v>0</v>
      </c>
      <c r="Z542" s="126">
        <v>0</v>
      </c>
      <c r="AC542" s="125">
        <v>0</v>
      </c>
      <c r="AD542" s="124">
        <v>0</v>
      </c>
    </row>
    <row r="543" spans="1:30">
      <c r="A543" s="127" t="s">
        <v>1102</v>
      </c>
      <c r="B543" s="127" t="s">
        <v>1705</v>
      </c>
      <c r="C543" s="127" t="s">
        <v>1102</v>
      </c>
      <c r="D543" s="127" t="s">
        <v>1704</v>
      </c>
      <c r="E543" s="127" t="s">
        <v>1705</v>
      </c>
      <c r="M543" s="127" t="s">
        <v>1683</v>
      </c>
      <c r="N543" s="127" t="s">
        <v>1406</v>
      </c>
      <c r="O543" s="123">
        <v>44531</v>
      </c>
      <c r="P543" s="123">
        <v>44620</v>
      </c>
      <c r="Q543" s="123">
        <v>44529</v>
      </c>
      <c r="R543" s="123">
        <v>44535</v>
      </c>
      <c r="S543" s="124">
        <v>48</v>
      </c>
      <c r="T543" s="124">
        <v>48</v>
      </c>
      <c r="U543" s="124">
        <v>3</v>
      </c>
      <c r="V543" s="125">
        <v>0</v>
      </c>
      <c r="W543" s="124">
        <v>0</v>
      </c>
      <c r="X543" s="126">
        <v>1</v>
      </c>
      <c r="Y543" s="126">
        <v>0</v>
      </c>
      <c r="Z543" s="126">
        <v>0</v>
      </c>
      <c r="AC543" s="125">
        <v>0</v>
      </c>
      <c r="AD543" s="124">
        <v>0</v>
      </c>
    </row>
    <row r="544" spans="1:30">
      <c r="A544" s="127" t="s">
        <v>1102</v>
      </c>
      <c r="B544" s="127" t="s">
        <v>1705</v>
      </c>
      <c r="C544" s="127" t="s">
        <v>1102</v>
      </c>
      <c r="D544" s="127" t="s">
        <v>1704</v>
      </c>
      <c r="E544" s="127" t="s">
        <v>1705</v>
      </c>
      <c r="M544" s="127" t="s">
        <v>1683</v>
      </c>
      <c r="N544" s="127" t="s">
        <v>1406</v>
      </c>
      <c r="O544" s="123">
        <v>44531</v>
      </c>
      <c r="P544" s="123">
        <v>44620</v>
      </c>
      <c r="Q544" s="123">
        <v>44536</v>
      </c>
      <c r="R544" s="123">
        <v>44542</v>
      </c>
      <c r="S544" s="124">
        <v>49</v>
      </c>
      <c r="T544" s="124">
        <v>49</v>
      </c>
      <c r="U544" s="124">
        <v>5</v>
      </c>
      <c r="V544" s="125">
        <v>0</v>
      </c>
      <c r="W544" s="124">
        <v>0</v>
      </c>
      <c r="X544" s="126">
        <v>1</v>
      </c>
      <c r="Y544" s="126">
        <v>0</v>
      </c>
      <c r="Z544" s="126">
        <v>0</v>
      </c>
      <c r="AC544" s="125">
        <v>0</v>
      </c>
      <c r="AD544" s="124">
        <v>0</v>
      </c>
    </row>
    <row r="545" spans="1:30">
      <c r="A545" s="127" t="s">
        <v>1102</v>
      </c>
      <c r="B545" s="127" t="s">
        <v>1705</v>
      </c>
      <c r="C545" s="127" t="s">
        <v>1102</v>
      </c>
      <c r="D545" s="127" t="s">
        <v>1704</v>
      </c>
      <c r="E545" s="127" t="s">
        <v>1705</v>
      </c>
      <c r="M545" s="127" t="s">
        <v>1683</v>
      </c>
      <c r="N545" s="127" t="s">
        <v>1406</v>
      </c>
      <c r="O545" s="123">
        <v>44531</v>
      </c>
      <c r="P545" s="123">
        <v>44620</v>
      </c>
      <c r="Q545" s="123">
        <v>44543</v>
      </c>
      <c r="R545" s="123">
        <v>44549</v>
      </c>
      <c r="S545" s="124">
        <v>50</v>
      </c>
      <c r="T545" s="124">
        <v>50</v>
      </c>
      <c r="U545" s="124">
        <v>5</v>
      </c>
      <c r="V545" s="125">
        <v>0</v>
      </c>
      <c r="W545" s="124">
        <v>0</v>
      </c>
      <c r="X545" s="126">
        <v>1</v>
      </c>
      <c r="Y545" s="126">
        <v>0</v>
      </c>
      <c r="Z545" s="126">
        <v>0</v>
      </c>
      <c r="AC545" s="125">
        <v>0</v>
      </c>
      <c r="AD545" s="124">
        <v>0</v>
      </c>
    </row>
    <row r="546" spans="1:30">
      <c r="A546" s="127" t="s">
        <v>1102</v>
      </c>
      <c r="B546" s="127" t="s">
        <v>1705</v>
      </c>
      <c r="C546" s="127" t="s">
        <v>1102</v>
      </c>
      <c r="D546" s="127" t="s">
        <v>1704</v>
      </c>
      <c r="E546" s="127" t="s">
        <v>1705</v>
      </c>
      <c r="M546" s="127" t="s">
        <v>1683</v>
      </c>
      <c r="N546" s="127" t="s">
        <v>1406</v>
      </c>
      <c r="O546" s="123">
        <v>44531</v>
      </c>
      <c r="P546" s="123">
        <v>44620</v>
      </c>
      <c r="Q546" s="123">
        <v>44550</v>
      </c>
      <c r="R546" s="123">
        <v>44556</v>
      </c>
      <c r="S546" s="124">
        <v>51</v>
      </c>
      <c r="T546" s="124">
        <v>51</v>
      </c>
      <c r="U546" s="124">
        <v>5</v>
      </c>
      <c r="V546" s="125">
        <v>0</v>
      </c>
      <c r="W546" s="124">
        <v>0</v>
      </c>
      <c r="X546" s="126">
        <v>1</v>
      </c>
      <c r="Y546" s="126">
        <v>0</v>
      </c>
      <c r="Z546" s="126">
        <v>0</v>
      </c>
      <c r="AC546" s="125">
        <v>0</v>
      </c>
      <c r="AD546" s="124">
        <v>0</v>
      </c>
    </row>
    <row r="547" spans="1:30">
      <c r="A547" s="127" t="s">
        <v>1102</v>
      </c>
      <c r="B547" s="127" t="s">
        <v>1705</v>
      </c>
      <c r="C547" s="127" t="s">
        <v>1102</v>
      </c>
      <c r="D547" s="127" t="s">
        <v>1704</v>
      </c>
      <c r="E547" s="127" t="s">
        <v>1705</v>
      </c>
      <c r="M547" s="127" t="s">
        <v>1683</v>
      </c>
      <c r="N547" s="127" t="s">
        <v>1406</v>
      </c>
      <c r="O547" s="123">
        <v>44531</v>
      </c>
      <c r="P547" s="123">
        <v>44620</v>
      </c>
      <c r="Q547" s="123">
        <v>44557</v>
      </c>
      <c r="R547" s="123">
        <v>44563</v>
      </c>
      <c r="S547" s="124">
        <v>52</v>
      </c>
      <c r="T547" s="124">
        <v>52</v>
      </c>
      <c r="U547" s="124">
        <v>5</v>
      </c>
      <c r="V547" s="125">
        <v>0</v>
      </c>
      <c r="W547" s="124">
        <v>0</v>
      </c>
      <c r="X547" s="126">
        <v>1</v>
      </c>
      <c r="Y547" s="126">
        <v>0</v>
      </c>
      <c r="Z547" s="126">
        <v>0</v>
      </c>
      <c r="AC547" s="125">
        <v>0</v>
      </c>
      <c r="AD547" s="124">
        <v>0</v>
      </c>
    </row>
    <row r="548" spans="1:30">
      <c r="A548" s="127" t="s">
        <v>1102</v>
      </c>
      <c r="B548" s="127" t="s">
        <v>1705</v>
      </c>
      <c r="C548" s="127" t="s">
        <v>1102</v>
      </c>
      <c r="D548" s="127" t="s">
        <v>1704</v>
      </c>
      <c r="E548" s="127" t="s">
        <v>1705</v>
      </c>
      <c r="M548" s="127" t="s">
        <v>1683</v>
      </c>
      <c r="N548" s="127" t="s">
        <v>1406</v>
      </c>
      <c r="O548" s="123">
        <v>44531</v>
      </c>
      <c r="P548" s="123">
        <v>44620</v>
      </c>
      <c r="Q548" s="123">
        <v>44564</v>
      </c>
      <c r="R548" s="123">
        <v>44570</v>
      </c>
      <c r="S548" s="124">
        <v>1</v>
      </c>
      <c r="T548" s="124">
        <v>53</v>
      </c>
      <c r="U548" s="124">
        <v>5</v>
      </c>
      <c r="V548" s="125">
        <v>0</v>
      </c>
      <c r="W548" s="124">
        <v>0</v>
      </c>
      <c r="X548" s="126">
        <v>1</v>
      </c>
      <c r="Y548" s="126">
        <v>0</v>
      </c>
      <c r="Z548" s="126">
        <v>0</v>
      </c>
      <c r="AC548" s="125">
        <v>0</v>
      </c>
      <c r="AD548" s="124">
        <v>0</v>
      </c>
    </row>
    <row r="549" spans="1:30">
      <c r="A549" s="127" t="s">
        <v>1102</v>
      </c>
      <c r="B549" s="127" t="s">
        <v>1705</v>
      </c>
      <c r="C549" s="127" t="s">
        <v>1102</v>
      </c>
      <c r="D549" s="127" t="s">
        <v>1704</v>
      </c>
      <c r="E549" s="127" t="s">
        <v>1705</v>
      </c>
      <c r="M549" s="127" t="s">
        <v>1683</v>
      </c>
      <c r="N549" s="127" t="s">
        <v>1406</v>
      </c>
      <c r="O549" s="123">
        <v>44531</v>
      </c>
      <c r="P549" s="123">
        <v>44620</v>
      </c>
      <c r="Q549" s="123">
        <v>44571</v>
      </c>
      <c r="R549" s="123">
        <v>44577</v>
      </c>
      <c r="S549" s="124">
        <v>2</v>
      </c>
      <c r="T549" s="124">
        <v>54</v>
      </c>
      <c r="U549" s="124">
        <v>5</v>
      </c>
      <c r="V549" s="125">
        <v>0</v>
      </c>
      <c r="W549" s="124">
        <v>0</v>
      </c>
      <c r="X549" s="126">
        <v>1</v>
      </c>
      <c r="Y549" s="126">
        <v>0</v>
      </c>
      <c r="Z549" s="126">
        <v>0</v>
      </c>
      <c r="AC549" s="125">
        <v>0</v>
      </c>
      <c r="AD549" s="124">
        <v>0</v>
      </c>
    </row>
    <row r="550" spans="1:30">
      <c r="A550" s="127" t="s">
        <v>1102</v>
      </c>
      <c r="B550" s="127" t="s">
        <v>1705</v>
      </c>
      <c r="C550" s="127" t="s">
        <v>1102</v>
      </c>
      <c r="D550" s="127" t="s">
        <v>1704</v>
      </c>
      <c r="E550" s="127" t="s">
        <v>1705</v>
      </c>
      <c r="M550" s="127" t="s">
        <v>1683</v>
      </c>
      <c r="N550" s="127" t="s">
        <v>1406</v>
      </c>
      <c r="O550" s="123">
        <v>44531</v>
      </c>
      <c r="P550" s="123">
        <v>44620</v>
      </c>
      <c r="Q550" s="123">
        <v>44578</v>
      </c>
      <c r="R550" s="123">
        <v>44584</v>
      </c>
      <c r="S550" s="124">
        <v>3</v>
      </c>
      <c r="T550" s="124">
        <v>55</v>
      </c>
      <c r="U550" s="124">
        <v>5</v>
      </c>
      <c r="V550" s="125">
        <v>0</v>
      </c>
      <c r="W550" s="124">
        <v>0</v>
      </c>
      <c r="X550" s="126">
        <v>1</v>
      </c>
      <c r="Y550" s="126">
        <v>0</v>
      </c>
      <c r="Z550" s="126">
        <v>0</v>
      </c>
      <c r="AC550" s="125">
        <v>0</v>
      </c>
      <c r="AD550" s="124">
        <v>0</v>
      </c>
    </row>
    <row r="551" spans="1:30">
      <c r="A551" s="127" t="s">
        <v>1102</v>
      </c>
      <c r="B551" s="127" t="s">
        <v>1705</v>
      </c>
      <c r="C551" s="127" t="s">
        <v>1102</v>
      </c>
      <c r="D551" s="127" t="s">
        <v>1704</v>
      </c>
      <c r="E551" s="127" t="s">
        <v>1705</v>
      </c>
      <c r="M551" s="127" t="s">
        <v>1683</v>
      </c>
      <c r="N551" s="127" t="s">
        <v>1406</v>
      </c>
      <c r="O551" s="123">
        <v>44531</v>
      </c>
      <c r="P551" s="123">
        <v>44620</v>
      </c>
      <c r="Q551" s="123">
        <v>44585</v>
      </c>
      <c r="R551" s="123">
        <v>44591</v>
      </c>
      <c r="S551" s="124">
        <v>4</v>
      </c>
      <c r="T551" s="124">
        <v>56</v>
      </c>
      <c r="U551" s="124">
        <v>5</v>
      </c>
      <c r="V551" s="125">
        <v>0</v>
      </c>
      <c r="W551" s="124">
        <v>0</v>
      </c>
      <c r="X551" s="126">
        <v>1</v>
      </c>
      <c r="Y551" s="126">
        <v>0</v>
      </c>
      <c r="Z551" s="126">
        <v>0</v>
      </c>
      <c r="AC551" s="125">
        <v>0</v>
      </c>
      <c r="AD551" s="124">
        <v>0</v>
      </c>
    </row>
    <row r="552" spans="1:30">
      <c r="A552" s="127" t="s">
        <v>1102</v>
      </c>
      <c r="B552" s="127" t="s">
        <v>1705</v>
      </c>
      <c r="C552" s="127" t="s">
        <v>1102</v>
      </c>
      <c r="D552" s="127" t="s">
        <v>1704</v>
      </c>
      <c r="E552" s="127" t="s">
        <v>1705</v>
      </c>
      <c r="M552" s="127" t="s">
        <v>1683</v>
      </c>
      <c r="N552" s="127" t="s">
        <v>1406</v>
      </c>
      <c r="O552" s="123">
        <v>44531</v>
      </c>
      <c r="P552" s="123">
        <v>44620</v>
      </c>
      <c r="Q552" s="123">
        <v>44592</v>
      </c>
      <c r="R552" s="123">
        <v>44598</v>
      </c>
      <c r="S552" s="124">
        <v>5</v>
      </c>
      <c r="T552" s="124">
        <v>57</v>
      </c>
      <c r="U552" s="124">
        <v>2</v>
      </c>
      <c r="V552" s="125">
        <v>0</v>
      </c>
      <c r="W552" s="124">
        <v>0</v>
      </c>
      <c r="X552" s="126">
        <v>1</v>
      </c>
      <c r="Y552" s="126">
        <v>0</v>
      </c>
      <c r="Z552" s="126">
        <v>0</v>
      </c>
      <c r="AC552" s="125">
        <v>0</v>
      </c>
      <c r="AD552" s="124">
        <v>0</v>
      </c>
    </row>
    <row r="553" spans="1:30">
      <c r="A553" s="127" t="s">
        <v>1102</v>
      </c>
      <c r="B553" s="127" t="s">
        <v>1705</v>
      </c>
      <c r="C553" s="127" t="s">
        <v>1102</v>
      </c>
      <c r="D553" s="127" t="s">
        <v>1704</v>
      </c>
      <c r="E553" s="127" t="s">
        <v>1705</v>
      </c>
      <c r="M553" s="127" t="s">
        <v>1683</v>
      </c>
      <c r="N553" s="127" t="s">
        <v>1406</v>
      </c>
      <c r="O553" s="123">
        <v>44531</v>
      </c>
      <c r="P553" s="123">
        <v>44620</v>
      </c>
      <c r="Q553" s="123">
        <v>44599</v>
      </c>
      <c r="R553" s="123">
        <v>44605</v>
      </c>
      <c r="S553" s="124">
        <v>6</v>
      </c>
      <c r="T553" s="124">
        <v>58</v>
      </c>
      <c r="U553" s="124">
        <v>5</v>
      </c>
      <c r="V553" s="125">
        <v>0</v>
      </c>
      <c r="W553" s="124">
        <v>0</v>
      </c>
      <c r="X553" s="126">
        <v>1</v>
      </c>
      <c r="Y553" s="126">
        <v>0</v>
      </c>
      <c r="Z553" s="126">
        <v>0</v>
      </c>
      <c r="AC553" s="125">
        <v>0</v>
      </c>
      <c r="AD553" s="124">
        <v>0</v>
      </c>
    </row>
    <row r="554" spans="1:30">
      <c r="A554" s="127" t="s">
        <v>1102</v>
      </c>
      <c r="B554" s="127" t="s">
        <v>1705</v>
      </c>
      <c r="C554" s="127" t="s">
        <v>1102</v>
      </c>
      <c r="D554" s="127" t="s">
        <v>1704</v>
      </c>
      <c r="E554" s="127" t="s">
        <v>1705</v>
      </c>
      <c r="M554" s="127" t="s">
        <v>1683</v>
      </c>
      <c r="N554" s="127" t="s">
        <v>1406</v>
      </c>
      <c r="O554" s="123">
        <v>44531</v>
      </c>
      <c r="P554" s="123">
        <v>44620</v>
      </c>
      <c r="Q554" s="123">
        <v>44606</v>
      </c>
      <c r="R554" s="123">
        <v>44612</v>
      </c>
      <c r="S554" s="124">
        <v>7</v>
      </c>
      <c r="T554" s="124">
        <v>59</v>
      </c>
      <c r="U554" s="124">
        <v>5</v>
      </c>
      <c r="V554" s="125">
        <v>0</v>
      </c>
      <c r="W554" s="124">
        <v>0</v>
      </c>
      <c r="X554" s="126">
        <v>1</v>
      </c>
      <c r="Y554" s="126">
        <v>0</v>
      </c>
      <c r="Z554" s="126">
        <v>0</v>
      </c>
      <c r="AC554" s="125">
        <v>0</v>
      </c>
      <c r="AD554" s="124">
        <v>0</v>
      </c>
    </row>
    <row r="555" spans="1:30">
      <c r="A555" s="127" t="s">
        <v>1102</v>
      </c>
      <c r="B555" s="127" t="s">
        <v>1705</v>
      </c>
      <c r="C555" s="127" t="s">
        <v>1102</v>
      </c>
      <c r="D555" s="127" t="s">
        <v>1704</v>
      </c>
      <c r="E555" s="127" t="s">
        <v>1705</v>
      </c>
      <c r="M555" s="127" t="s">
        <v>1683</v>
      </c>
      <c r="N555" s="127" t="s">
        <v>1406</v>
      </c>
      <c r="O555" s="123">
        <v>44531</v>
      </c>
      <c r="P555" s="123">
        <v>44620</v>
      </c>
      <c r="Q555" s="123">
        <v>44613</v>
      </c>
      <c r="R555" s="123">
        <v>44619</v>
      </c>
      <c r="S555" s="124">
        <v>8</v>
      </c>
      <c r="T555" s="124">
        <v>60</v>
      </c>
      <c r="U555" s="124">
        <v>5</v>
      </c>
      <c r="V555" s="125">
        <v>0</v>
      </c>
      <c r="W555" s="124">
        <v>0</v>
      </c>
      <c r="X555" s="126">
        <v>1</v>
      </c>
      <c r="Y555" s="126">
        <v>0</v>
      </c>
      <c r="Z555" s="126">
        <v>0</v>
      </c>
      <c r="AC555" s="125">
        <v>0</v>
      </c>
      <c r="AD555" s="124">
        <v>0</v>
      </c>
    </row>
    <row r="556" spans="1:30">
      <c r="A556" s="127" t="s">
        <v>1102</v>
      </c>
      <c r="B556" s="127" t="s">
        <v>1705</v>
      </c>
      <c r="C556" s="127" t="s">
        <v>1102</v>
      </c>
      <c r="D556" s="127" t="s">
        <v>1704</v>
      </c>
      <c r="E556" s="127" t="s">
        <v>1705</v>
      </c>
      <c r="M556" s="127" t="s">
        <v>1683</v>
      </c>
      <c r="N556" s="127" t="s">
        <v>1406</v>
      </c>
      <c r="O556" s="123">
        <v>44531</v>
      </c>
      <c r="P556" s="123">
        <v>44620</v>
      </c>
      <c r="Q556" s="123">
        <v>44620</v>
      </c>
      <c r="R556" s="123">
        <v>44626</v>
      </c>
      <c r="S556" s="124">
        <v>9</v>
      </c>
      <c r="T556" s="124">
        <v>61</v>
      </c>
      <c r="U556" s="124">
        <v>1</v>
      </c>
      <c r="V556" s="125">
        <v>0</v>
      </c>
      <c r="W556" s="124">
        <v>0</v>
      </c>
      <c r="X556" s="126">
        <v>1</v>
      </c>
      <c r="Y556" s="126">
        <v>0</v>
      </c>
      <c r="Z556" s="126">
        <v>0</v>
      </c>
      <c r="AC556" s="125">
        <v>0</v>
      </c>
      <c r="AD556" s="124">
        <v>0</v>
      </c>
    </row>
    <row r="557" spans="1:30">
      <c r="A557" s="127" t="s">
        <v>1102</v>
      </c>
      <c r="B557" s="127" t="s">
        <v>1706</v>
      </c>
      <c r="C557" s="127" t="s">
        <v>1102</v>
      </c>
      <c r="D557" s="127" t="s">
        <v>1704</v>
      </c>
      <c r="E557" s="127" t="s">
        <v>1706</v>
      </c>
      <c r="M557" s="127" t="s">
        <v>1253</v>
      </c>
      <c r="N557" s="127" t="s">
        <v>1406</v>
      </c>
      <c r="O557" s="123">
        <v>44531</v>
      </c>
      <c r="P557" s="123">
        <v>44620</v>
      </c>
      <c r="Q557" s="123">
        <v>44529</v>
      </c>
      <c r="R557" s="123">
        <v>44535</v>
      </c>
      <c r="S557" s="124">
        <v>48</v>
      </c>
      <c r="T557" s="124">
        <v>48</v>
      </c>
      <c r="U557" s="124">
        <v>3</v>
      </c>
      <c r="V557" s="125">
        <v>0</v>
      </c>
      <c r="W557" s="124">
        <v>0</v>
      </c>
      <c r="X557" s="126">
        <v>1</v>
      </c>
      <c r="Y557" s="126">
        <v>0</v>
      </c>
      <c r="Z557" s="126">
        <v>0</v>
      </c>
      <c r="AC557" s="125">
        <v>0</v>
      </c>
      <c r="AD557" s="124">
        <v>0</v>
      </c>
    </row>
    <row r="558" spans="1:30">
      <c r="A558" s="127" t="s">
        <v>1102</v>
      </c>
      <c r="B558" s="127" t="s">
        <v>1706</v>
      </c>
      <c r="C558" s="127" t="s">
        <v>1102</v>
      </c>
      <c r="D558" s="127" t="s">
        <v>1704</v>
      </c>
      <c r="E558" s="127" t="s">
        <v>1706</v>
      </c>
      <c r="M558" s="127" t="s">
        <v>1253</v>
      </c>
      <c r="N558" s="127" t="s">
        <v>1406</v>
      </c>
      <c r="O558" s="123">
        <v>44531</v>
      </c>
      <c r="P558" s="123">
        <v>44620</v>
      </c>
      <c r="Q558" s="123">
        <v>44536</v>
      </c>
      <c r="R558" s="123">
        <v>44542</v>
      </c>
      <c r="S558" s="124">
        <v>49</v>
      </c>
      <c r="T558" s="124">
        <v>49</v>
      </c>
      <c r="U558" s="124">
        <v>5</v>
      </c>
      <c r="V558" s="125">
        <v>0</v>
      </c>
      <c r="W558" s="124">
        <v>0</v>
      </c>
      <c r="X558" s="126">
        <v>1</v>
      </c>
      <c r="Y558" s="126">
        <v>0</v>
      </c>
      <c r="Z558" s="126">
        <v>0</v>
      </c>
      <c r="AC558" s="125">
        <v>0</v>
      </c>
      <c r="AD558" s="124">
        <v>0</v>
      </c>
    </row>
    <row r="559" spans="1:30">
      <c r="A559" s="127" t="s">
        <v>1102</v>
      </c>
      <c r="B559" s="127" t="s">
        <v>1706</v>
      </c>
      <c r="C559" s="127" t="s">
        <v>1102</v>
      </c>
      <c r="D559" s="127" t="s">
        <v>1704</v>
      </c>
      <c r="E559" s="127" t="s">
        <v>1706</v>
      </c>
      <c r="M559" s="127" t="s">
        <v>1253</v>
      </c>
      <c r="N559" s="127" t="s">
        <v>1406</v>
      </c>
      <c r="O559" s="123">
        <v>44531</v>
      </c>
      <c r="P559" s="123">
        <v>44620</v>
      </c>
      <c r="Q559" s="123">
        <v>44543</v>
      </c>
      <c r="R559" s="123">
        <v>44549</v>
      </c>
      <c r="S559" s="124">
        <v>50</v>
      </c>
      <c r="T559" s="124">
        <v>50</v>
      </c>
      <c r="U559" s="124">
        <v>5</v>
      </c>
      <c r="V559" s="125">
        <v>0</v>
      </c>
      <c r="W559" s="124">
        <v>0</v>
      </c>
      <c r="X559" s="126">
        <v>1</v>
      </c>
      <c r="Y559" s="126">
        <v>0</v>
      </c>
      <c r="Z559" s="126">
        <v>0</v>
      </c>
      <c r="AC559" s="125">
        <v>0</v>
      </c>
      <c r="AD559" s="124">
        <v>0</v>
      </c>
    </row>
    <row r="560" spans="1:30">
      <c r="A560" s="127" t="s">
        <v>1102</v>
      </c>
      <c r="B560" s="127" t="s">
        <v>1706</v>
      </c>
      <c r="C560" s="127" t="s">
        <v>1102</v>
      </c>
      <c r="D560" s="127" t="s">
        <v>1704</v>
      </c>
      <c r="E560" s="127" t="s">
        <v>1706</v>
      </c>
      <c r="M560" s="127" t="s">
        <v>1253</v>
      </c>
      <c r="N560" s="127" t="s">
        <v>1406</v>
      </c>
      <c r="O560" s="123">
        <v>44531</v>
      </c>
      <c r="P560" s="123">
        <v>44620</v>
      </c>
      <c r="Q560" s="123">
        <v>44550</v>
      </c>
      <c r="R560" s="123">
        <v>44556</v>
      </c>
      <c r="S560" s="124">
        <v>51</v>
      </c>
      <c r="T560" s="124">
        <v>51</v>
      </c>
      <c r="U560" s="124">
        <v>5</v>
      </c>
      <c r="V560" s="125">
        <v>0</v>
      </c>
      <c r="W560" s="124">
        <v>0</v>
      </c>
      <c r="X560" s="126">
        <v>1</v>
      </c>
      <c r="Y560" s="126">
        <v>0</v>
      </c>
      <c r="Z560" s="126">
        <v>0</v>
      </c>
      <c r="AC560" s="125">
        <v>0</v>
      </c>
      <c r="AD560" s="124">
        <v>0</v>
      </c>
    </row>
    <row r="561" spans="1:30">
      <c r="A561" s="127" t="s">
        <v>1102</v>
      </c>
      <c r="B561" s="127" t="s">
        <v>1706</v>
      </c>
      <c r="C561" s="127" t="s">
        <v>1102</v>
      </c>
      <c r="D561" s="127" t="s">
        <v>1704</v>
      </c>
      <c r="E561" s="127" t="s">
        <v>1706</v>
      </c>
      <c r="M561" s="127" t="s">
        <v>1253</v>
      </c>
      <c r="N561" s="127" t="s">
        <v>1406</v>
      </c>
      <c r="O561" s="123">
        <v>44531</v>
      </c>
      <c r="P561" s="123">
        <v>44620</v>
      </c>
      <c r="Q561" s="123">
        <v>44557</v>
      </c>
      <c r="R561" s="123">
        <v>44563</v>
      </c>
      <c r="S561" s="124">
        <v>52</v>
      </c>
      <c r="T561" s="124">
        <v>52</v>
      </c>
      <c r="U561" s="124">
        <v>5</v>
      </c>
      <c r="V561" s="125">
        <v>0</v>
      </c>
      <c r="W561" s="124">
        <v>0</v>
      </c>
      <c r="X561" s="126">
        <v>1</v>
      </c>
      <c r="Y561" s="126">
        <v>0</v>
      </c>
      <c r="Z561" s="126">
        <v>0</v>
      </c>
      <c r="AC561" s="125">
        <v>0</v>
      </c>
      <c r="AD561" s="124">
        <v>0</v>
      </c>
    </row>
    <row r="562" spans="1:30">
      <c r="A562" s="127" t="s">
        <v>1102</v>
      </c>
      <c r="B562" s="127" t="s">
        <v>1706</v>
      </c>
      <c r="C562" s="127" t="s">
        <v>1102</v>
      </c>
      <c r="D562" s="127" t="s">
        <v>1704</v>
      </c>
      <c r="E562" s="127" t="s">
        <v>1706</v>
      </c>
      <c r="M562" s="127" t="s">
        <v>1253</v>
      </c>
      <c r="N562" s="127" t="s">
        <v>1406</v>
      </c>
      <c r="O562" s="123">
        <v>44531</v>
      </c>
      <c r="P562" s="123">
        <v>44620</v>
      </c>
      <c r="Q562" s="123">
        <v>44564</v>
      </c>
      <c r="R562" s="123">
        <v>44570</v>
      </c>
      <c r="S562" s="124">
        <v>1</v>
      </c>
      <c r="T562" s="124">
        <v>53</v>
      </c>
      <c r="U562" s="124">
        <v>5</v>
      </c>
      <c r="V562" s="125">
        <v>0</v>
      </c>
      <c r="W562" s="124">
        <v>0</v>
      </c>
      <c r="X562" s="126">
        <v>1</v>
      </c>
      <c r="Y562" s="126">
        <v>0</v>
      </c>
      <c r="Z562" s="126">
        <v>0</v>
      </c>
      <c r="AC562" s="125">
        <v>0</v>
      </c>
      <c r="AD562" s="124">
        <v>0</v>
      </c>
    </row>
    <row r="563" spans="1:30">
      <c r="A563" s="127" t="s">
        <v>1102</v>
      </c>
      <c r="B563" s="127" t="s">
        <v>1706</v>
      </c>
      <c r="C563" s="127" t="s">
        <v>1102</v>
      </c>
      <c r="D563" s="127" t="s">
        <v>1704</v>
      </c>
      <c r="E563" s="127" t="s">
        <v>1706</v>
      </c>
      <c r="M563" s="127" t="s">
        <v>1253</v>
      </c>
      <c r="N563" s="127" t="s">
        <v>1406</v>
      </c>
      <c r="O563" s="123">
        <v>44531</v>
      </c>
      <c r="P563" s="123">
        <v>44620</v>
      </c>
      <c r="Q563" s="123">
        <v>44571</v>
      </c>
      <c r="R563" s="123">
        <v>44577</v>
      </c>
      <c r="S563" s="124">
        <v>2</v>
      </c>
      <c r="T563" s="124">
        <v>54</v>
      </c>
      <c r="U563" s="124">
        <v>5</v>
      </c>
      <c r="V563" s="125">
        <v>0</v>
      </c>
      <c r="W563" s="124">
        <v>0</v>
      </c>
      <c r="X563" s="126">
        <v>1</v>
      </c>
      <c r="Y563" s="126">
        <v>0</v>
      </c>
      <c r="Z563" s="126">
        <v>0</v>
      </c>
      <c r="AC563" s="125">
        <v>0</v>
      </c>
      <c r="AD563" s="124">
        <v>0</v>
      </c>
    </row>
    <row r="564" spans="1:30">
      <c r="A564" s="127" t="s">
        <v>1102</v>
      </c>
      <c r="B564" s="127" t="s">
        <v>1706</v>
      </c>
      <c r="C564" s="127" t="s">
        <v>1102</v>
      </c>
      <c r="D564" s="127" t="s">
        <v>1704</v>
      </c>
      <c r="E564" s="127" t="s">
        <v>1706</v>
      </c>
      <c r="M564" s="127" t="s">
        <v>1253</v>
      </c>
      <c r="N564" s="127" t="s">
        <v>1406</v>
      </c>
      <c r="O564" s="123">
        <v>44531</v>
      </c>
      <c r="P564" s="123">
        <v>44620</v>
      </c>
      <c r="Q564" s="123">
        <v>44578</v>
      </c>
      <c r="R564" s="123">
        <v>44584</v>
      </c>
      <c r="S564" s="124">
        <v>3</v>
      </c>
      <c r="T564" s="124">
        <v>55</v>
      </c>
      <c r="U564" s="124">
        <v>5</v>
      </c>
      <c r="V564" s="125">
        <v>0</v>
      </c>
      <c r="W564" s="124">
        <v>0</v>
      </c>
      <c r="X564" s="126">
        <v>1</v>
      </c>
      <c r="Y564" s="126">
        <v>0</v>
      </c>
      <c r="Z564" s="126">
        <v>0</v>
      </c>
      <c r="AC564" s="125">
        <v>0</v>
      </c>
      <c r="AD564" s="124">
        <v>0</v>
      </c>
    </row>
    <row r="565" spans="1:30">
      <c r="A565" s="127" t="s">
        <v>1102</v>
      </c>
      <c r="B565" s="127" t="s">
        <v>1706</v>
      </c>
      <c r="C565" s="127" t="s">
        <v>1102</v>
      </c>
      <c r="D565" s="127" t="s">
        <v>1704</v>
      </c>
      <c r="E565" s="127" t="s">
        <v>1706</v>
      </c>
      <c r="M565" s="127" t="s">
        <v>1253</v>
      </c>
      <c r="N565" s="127" t="s">
        <v>1406</v>
      </c>
      <c r="O565" s="123">
        <v>44531</v>
      </c>
      <c r="P565" s="123">
        <v>44620</v>
      </c>
      <c r="Q565" s="123">
        <v>44585</v>
      </c>
      <c r="R565" s="123">
        <v>44591</v>
      </c>
      <c r="S565" s="124">
        <v>4</v>
      </c>
      <c r="T565" s="124">
        <v>56</v>
      </c>
      <c r="U565" s="124">
        <v>5</v>
      </c>
      <c r="V565" s="125">
        <v>0</v>
      </c>
      <c r="W565" s="124">
        <v>0</v>
      </c>
      <c r="X565" s="126">
        <v>1</v>
      </c>
      <c r="Y565" s="126">
        <v>0</v>
      </c>
      <c r="Z565" s="126">
        <v>0</v>
      </c>
      <c r="AC565" s="125">
        <v>0</v>
      </c>
      <c r="AD565" s="124">
        <v>0</v>
      </c>
    </row>
    <row r="566" spans="1:30">
      <c r="A566" s="127" t="s">
        <v>1102</v>
      </c>
      <c r="B566" s="127" t="s">
        <v>1706</v>
      </c>
      <c r="C566" s="127" t="s">
        <v>1102</v>
      </c>
      <c r="D566" s="127" t="s">
        <v>1704</v>
      </c>
      <c r="E566" s="127" t="s">
        <v>1706</v>
      </c>
      <c r="M566" s="127" t="s">
        <v>1253</v>
      </c>
      <c r="N566" s="127" t="s">
        <v>1406</v>
      </c>
      <c r="O566" s="123">
        <v>44531</v>
      </c>
      <c r="P566" s="123">
        <v>44620</v>
      </c>
      <c r="Q566" s="123">
        <v>44592</v>
      </c>
      <c r="R566" s="123">
        <v>44598</v>
      </c>
      <c r="S566" s="124">
        <v>5</v>
      </c>
      <c r="T566" s="124">
        <v>57</v>
      </c>
      <c r="U566" s="124">
        <v>2</v>
      </c>
      <c r="V566" s="125">
        <v>0</v>
      </c>
      <c r="W566" s="124">
        <v>0</v>
      </c>
      <c r="X566" s="126">
        <v>1</v>
      </c>
      <c r="Y566" s="126">
        <v>0</v>
      </c>
      <c r="Z566" s="126">
        <v>0</v>
      </c>
      <c r="AC566" s="125">
        <v>0</v>
      </c>
      <c r="AD566" s="124">
        <v>0</v>
      </c>
    </row>
    <row r="567" spans="1:30">
      <c r="A567" s="127" t="s">
        <v>1102</v>
      </c>
      <c r="B567" s="127" t="s">
        <v>1706</v>
      </c>
      <c r="C567" s="127" t="s">
        <v>1102</v>
      </c>
      <c r="D567" s="127" t="s">
        <v>1704</v>
      </c>
      <c r="E567" s="127" t="s">
        <v>1706</v>
      </c>
      <c r="M567" s="127" t="s">
        <v>1253</v>
      </c>
      <c r="N567" s="127" t="s">
        <v>1406</v>
      </c>
      <c r="O567" s="123">
        <v>44531</v>
      </c>
      <c r="P567" s="123">
        <v>44620</v>
      </c>
      <c r="Q567" s="123">
        <v>44599</v>
      </c>
      <c r="R567" s="123">
        <v>44605</v>
      </c>
      <c r="S567" s="124">
        <v>6</v>
      </c>
      <c r="T567" s="124">
        <v>58</v>
      </c>
      <c r="U567" s="124">
        <v>5</v>
      </c>
      <c r="V567" s="125">
        <v>0</v>
      </c>
      <c r="W567" s="124">
        <v>0</v>
      </c>
      <c r="X567" s="126">
        <v>1</v>
      </c>
      <c r="Y567" s="126">
        <v>0</v>
      </c>
      <c r="Z567" s="126">
        <v>0</v>
      </c>
      <c r="AC567" s="125">
        <v>0</v>
      </c>
      <c r="AD567" s="124">
        <v>0</v>
      </c>
    </row>
    <row r="568" spans="1:30">
      <c r="A568" s="127" t="s">
        <v>1102</v>
      </c>
      <c r="B568" s="127" t="s">
        <v>1706</v>
      </c>
      <c r="C568" s="127" t="s">
        <v>1102</v>
      </c>
      <c r="D568" s="127" t="s">
        <v>1704</v>
      </c>
      <c r="E568" s="127" t="s">
        <v>1706</v>
      </c>
      <c r="M568" s="127" t="s">
        <v>1253</v>
      </c>
      <c r="N568" s="127" t="s">
        <v>1406</v>
      </c>
      <c r="O568" s="123">
        <v>44531</v>
      </c>
      <c r="P568" s="123">
        <v>44620</v>
      </c>
      <c r="Q568" s="123">
        <v>44606</v>
      </c>
      <c r="R568" s="123">
        <v>44612</v>
      </c>
      <c r="S568" s="124">
        <v>7</v>
      </c>
      <c r="T568" s="124">
        <v>59</v>
      </c>
      <c r="U568" s="124">
        <v>5</v>
      </c>
      <c r="V568" s="125">
        <v>0</v>
      </c>
      <c r="W568" s="124">
        <v>0</v>
      </c>
      <c r="X568" s="126">
        <v>1</v>
      </c>
      <c r="Y568" s="126">
        <v>0</v>
      </c>
      <c r="Z568" s="126">
        <v>0</v>
      </c>
      <c r="AC568" s="125">
        <v>0</v>
      </c>
      <c r="AD568" s="124">
        <v>0</v>
      </c>
    </row>
    <row r="569" spans="1:30">
      <c r="A569" s="127" t="s">
        <v>1102</v>
      </c>
      <c r="B569" s="127" t="s">
        <v>1706</v>
      </c>
      <c r="C569" s="127" t="s">
        <v>1102</v>
      </c>
      <c r="D569" s="127" t="s">
        <v>1704</v>
      </c>
      <c r="E569" s="127" t="s">
        <v>1706</v>
      </c>
      <c r="M569" s="127" t="s">
        <v>1253</v>
      </c>
      <c r="N569" s="127" t="s">
        <v>1406</v>
      </c>
      <c r="O569" s="123">
        <v>44531</v>
      </c>
      <c r="P569" s="123">
        <v>44620</v>
      </c>
      <c r="Q569" s="123">
        <v>44613</v>
      </c>
      <c r="R569" s="123">
        <v>44619</v>
      </c>
      <c r="S569" s="124">
        <v>8</v>
      </c>
      <c r="T569" s="124">
        <v>60</v>
      </c>
      <c r="U569" s="124">
        <v>5</v>
      </c>
      <c r="V569" s="125">
        <v>0</v>
      </c>
      <c r="W569" s="124">
        <v>0</v>
      </c>
      <c r="X569" s="126">
        <v>1</v>
      </c>
      <c r="Y569" s="126">
        <v>0</v>
      </c>
      <c r="Z569" s="126">
        <v>0</v>
      </c>
      <c r="AC569" s="125">
        <v>0</v>
      </c>
      <c r="AD569" s="124">
        <v>0</v>
      </c>
    </row>
    <row r="570" spans="1:30">
      <c r="A570" s="127" t="s">
        <v>1102</v>
      </c>
      <c r="B570" s="127" t="s">
        <v>1706</v>
      </c>
      <c r="C570" s="127" t="s">
        <v>1102</v>
      </c>
      <c r="D570" s="127" t="s">
        <v>1704</v>
      </c>
      <c r="E570" s="127" t="s">
        <v>1706</v>
      </c>
      <c r="M570" s="127" t="s">
        <v>1253</v>
      </c>
      <c r="N570" s="127" t="s">
        <v>1406</v>
      </c>
      <c r="O570" s="123">
        <v>44531</v>
      </c>
      <c r="P570" s="123">
        <v>44620</v>
      </c>
      <c r="Q570" s="123">
        <v>44620</v>
      </c>
      <c r="R570" s="123">
        <v>44626</v>
      </c>
      <c r="S570" s="124">
        <v>9</v>
      </c>
      <c r="T570" s="124">
        <v>61</v>
      </c>
      <c r="U570" s="124">
        <v>1</v>
      </c>
      <c r="V570" s="125">
        <v>0</v>
      </c>
      <c r="W570" s="124">
        <v>0</v>
      </c>
      <c r="X570" s="126">
        <v>1</v>
      </c>
      <c r="Y570" s="126">
        <v>0</v>
      </c>
      <c r="Z570" s="126">
        <v>0</v>
      </c>
      <c r="AC570" s="125">
        <v>0</v>
      </c>
      <c r="AD570" s="124">
        <v>0</v>
      </c>
    </row>
    <row r="571" spans="1:30">
      <c r="A571" s="127" t="s">
        <v>1085</v>
      </c>
      <c r="B571" s="127" t="s">
        <v>1707</v>
      </c>
      <c r="C571" s="127" t="s">
        <v>1103</v>
      </c>
      <c r="D571" s="127" t="s">
        <v>1707</v>
      </c>
      <c r="M571" s="127" t="s">
        <v>1682</v>
      </c>
      <c r="N571" s="127" t="s">
        <v>1406</v>
      </c>
      <c r="O571" s="123">
        <v>44230</v>
      </c>
      <c r="P571" s="123">
        <v>44230</v>
      </c>
      <c r="Q571" s="123">
        <v>44228</v>
      </c>
      <c r="R571" s="123">
        <v>44234</v>
      </c>
      <c r="S571" s="124">
        <v>5</v>
      </c>
      <c r="T571" s="124">
        <v>5</v>
      </c>
      <c r="U571" s="124">
        <v>1</v>
      </c>
      <c r="V571" s="125">
        <v>0</v>
      </c>
      <c r="W571" s="124">
        <v>0</v>
      </c>
      <c r="X571" s="126">
        <v>1</v>
      </c>
      <c r="Y571" s="126">
        <v>0</v>
      </c>
      <c r="Z571" s="126">
        <v>0</v>
      </c>
      <c r="AC571" s="125">
        <v>0</v>
      </c>
      <c r="AD571" s="124">
        <v>0</v>
      </c>
    </row>
    <row r="572" spans="1:30">
      <c r="A572" s="127" t="s">
        <v>1085</v>
      </c>
      <c r="B572" s="127" t="s">
        <v>1708</v>
      </c>
      <c r="C572" s="127" t="s">
        <v>1103</v>
      </c>
      <c r="D572" s="127" t="s">
        <v>1708</v>
      </c>
      <c r="M572" s="127" t="s">
        <v>1688</v>
      </c>
      <c r="N572" s="127" t="s">
        <v>1406</v>
      </c>
      <c r="O572" s="123">
        <v>44501</v>
      </c>
      <c r="P572" s="123">
        <v>44561</v>
      </c>
      <c r="Q572" s="123">
        <v>44501</v>
      </c>
      <c r="R572" s="123">
        <v>44507</v>
      </c>
      <c r="S572" s="124">
        <v>44</v>
      </c>
      <c r="T572" s="124">
        <v>44</v>
      </c>
      <c r="U572" s="124">
        <v>5</v>
      </c>
      <c r="V572" s="125">
        <v>0</v>
      </c>
      <c r="W572" s="124">
        <v>0</v>
      </c>
      <c r="X572" s="126">
        <v>1</v>
      </c>
      <c r="Y572" s="126">
        <v>0</v>
      </c>
      <c r="Z572" s="126">
        <v>0</v>
      </c>
      <c r="AC572" s="125">
        <v>0</v>
      </c>
      <c r="AD572" s="124">
        <v>0</v>
      </c>
    </row>
    <row r="573" spans="1:30">
      <c r="A573" s="127" t="s">
        <v>1085</v>
      </c>
      <c r="B573" s="127" t="s">
        <v>1708</v>
      </c>
      <c r="C573" s="127" t="s">
        <v>1103</v>
      </c>
      <c r="D573" s="127" t="s">
        <v>1708</v>
      </c>
      <c r="M573" s="127" t="s">
        <v>1688</v>
      </c>
      <c r="N573" s="127" t="s">
        <v>1406</v>
      </c>
      <c r="O573" s="123">
        <v>44501</v>
      </c>
      <c r="P573" s="123">
        <v>44561</v>
      </c>
      <c r="Q573" s="123">
        <v>44508</v>
      </c>
      <c r="R573" s="123">
        <v>44514</v>
      </c>
      <c r="S573" s="124">
        <v>45</v>
      </c>
      <c r="T573" s="124">
        <v>45</v>
      </c>
      <c r="U573" s="124">
        <v>5</v>
      </c>
      <c r="V573" s="125">
        <v>0</v>
      </c>
      <c r="W573" s="124">
        <v>0</v>
      </c>
      <c r="X573" s="126">
        <v>1</v>
      </c>
      <c r="Y573" s="126">
        <v>0</v>
      </c>
      <c r="Z573" s="126">
        <v>0</v>
      </c>
      <c r="AC573" s="125">
        <v>0</v>
      </c>
      <c r="AD573" s="124">
        <v>0</v>
      </c>
    </row>
    <row r="574" spans="1:30">
      <c r="A574" s="127" t="s">
        <v>1085</v>
      </c>
      <c r="B574" s="127" t="s">
        <v>1708</v>
      </c>
      <c r="C574" s="127" t="s">
        <v>1103</v>
      </c>
      <c r="D574" s="127" t="s">
        <v>1708</v>
      </c>
      <c r="M574" s="127" t="s">
        <v>1688</v>
      </c>
      <c r="N574" s="127" t="s">
        <v>1406</v>
      </c>
      <c r="O574" s="123">
        <v>44501</v>
      </c>
      <c r="P574" s="123">
        <v>44561</v>
      </c>
      <c r="Q574" s="123">
        <v>44515</v>
      </c>
      <c r="R574" s="123">
        <v>44521</v>
      </c>
      <c r="S574" s="124">
        <v>46</v>
      </c>
      <c r="T574" s="124">
        <v>46</v>
      </c>
      <c r="U574" s="124">
        <v>5</v>
      </c>
      <c r="V574" s="125">
        <v>0</v>
      </c>
      <c r="W574" s="124">
        <v>0</v>
      </c>
      <c r="X574" s="126">
        <v>1</v>
      </c>
      <c r="Y574" s="126">
        <v>0</v>
      </c>
      <c r="Z574" s="126">
        <v>0</v>
      </c>
      <c r="AC574" s="125">
        <v>0</v>
      </c>
      <c r="AD574" s="124">
        <v>0</v>
      </c>
    </row>
    <row r="575" spans="1:30">
      <c r="A575" s="127" t="s">
        <v>1085</v>
      </c>
      <c r="B575" s="127" t="s">
        <v>1708</v>
      </c>
      <c r="C575" s="127" t="s">
        <v>1103</v>
      </c>
      <c r="D575" s="127" t="s">
        <v>1708</v>
      </c>
      <c r="M575" s="127" t="s">
        <v>1688</v>
      </c>
      <c r="N575" s="127" t="s">
        <v>1406</v>
      </c>
      <c r="O575" s="123">
        <v>44501</v>
      </c>
      <c r="P575" s="123">
        <v>44561</v>
      </c>
      <c r="Q575" s="123">
        <v>44522</v>
      </c>
      <c r="R575" s="123">
        <v>44528</v>
      </c>
      <c r="S575" s="124">
        <v>47</v>
      </c>
      <c r="T575" s="124">
        <v>47</v>
      </c>
      <c r="U575" s="124">
        <v>5</v>
      </c>
      <c r="V575" s="125">
        <v>0</v>
      </c>
      <c r="W575" s="124">
        <v>0</v>
      </c>
      <c r="X575" s="126">
        <v>1</v>
      </c>
      <c r="Y575" s="126">
        <v>0</v>
      </c>
      <c r="Z575" s="126">
        <v>0</v>
      </c>
      <c r="AC575" s="125">
        <v>0</v>
      </c>
      <c r="AD575" s="124">
        <v>0</v>
      </c>
    </row>
    <row r="576" spans="1:30">
      <c r="A576" s="127" t="s">
        <v>1085</v>
      </c>
      <c r="B576" s="127" t="s">
        <v>1708</v>
      </c>
      <c r="C576" s="127" t="s">
        <v>1103</v>
      </c>
      <c r="D576" s="127" t="s">
        <v>1708</v>
      </c>
      <c r="M576" s="127" t="s">
        <v>1688</v>
      </c>
      <c r="N576" s="127" t="s">
        <v>1406</v>
      </c>
      <c r="O576" s="123">
        <v>44501</v>
      </c>
      <c r="P576" s="123">
        <v>44561</v>
      </c>
      <c r="Q576" s="123">
        <v>44529</v>
      </c>
      <c r="R576" s="123">
        <v>44535</v>
      </c>
      <c r="S576" s="124">
        <v>48</v>
      </c>
      <c r="T576" s="124">
        <v>48</v>
      </c>
      <c r="U576" s="124">
        <v>5</v>
      </c>
      <c r="V576" s="125">
        <v>0</v>
      </c>
      <c r="W576" s="124">
        <v>0</v>
      </c>
      <c r="X576" s="126">
        <v>1</v>
      </c>
      <c r="Y576" s="126">
        <v>0</v>
      </c>
      <c r="Z576" s="126">
        <v>0</v>
      </c>
      <c r="AC576" s="125">
        <v>0</v>
      </c>
      <c r="AD576" s="124">
        <v>0</v>
      </c>
    </row>
    <row r="577" spans="1:30">
      <c r="A577" s="127" t="s">
        <v>1085</v>
      </c>
      <c r="B577" s="127" t="s">
        <v>1708</v>
      </c>
      <c r="C577" s="127" t="s">
        <v>1103</v>
      </c>
      <c r="D577" s="127" t="s">
        <v>1708</v>
      </c>
      <c r="M577" s="127" t="s">
        <v>1688</v>
      </c>
      <c r="N577" s="127" t="s">
        <v>1406</v>
      </c>
      <c r="O577" s="123">
        <v>44501</v>
      </c>
      <c r="P577" s="123">
        <v>44561</v>
      </c>
      <c r="Q577" s="123">
        <v>44536</v>
      </c>
      <c r="R577" s="123">
        <v>44542</v>
      </c>
      <c r="S577" s="124">
        <v>49</v>
      </c>
      <c r="T577" s="124">
        <v>49</v>
      </c>
      <c r="U577" s="124">
        <v>5</v>
      </c>
      <c r="V577" s="125">
        <v>0</v>
      </c>
      <c r="W577" s="124">
        <v>0</v>
      </c>
      <c r="X577" s="126">
        <v>1</v>
      </c>
      <c r="Y577" s="126">
        <v>0</v>
      </c>
      <c r="Z577" s="126">
        <v>0</v>
      </c>
      <c r="AC577" s="125">
        <v>0</v>
      </c>
      <c r="AD577" s="124">
        <v>0</v>
      </c>
    </row>
    <row r="578" spans="1:30">
      <c r="A578" s="127" t="s">
        <v>1085</v>
      </c>
      <c r="B578" s="127" t="s">
        <v>1708</v>
      </c>
      <c r="C578" s="127" t="s">
        <v>1103</v>
      </c>
      <c r="D578" s="127" t="s">
        <v>1708</v>
      </c>
      <c r="M578" s="127" t="s">
        <v>1688</v>
      </c>
      <c r="N578" s="127" t="s">
        <v>1406</v>
      </c>
      <c r="O578" s="123">
        <v>44501</v>
      </c>
      <c r="P578" s="123">
        <v>44561</v>
      </c>
      <c r="Q578" s="123">
        <v>44543</v>
      </c>
      <c r="R578" s="123">
        <v>44549</v>
      </c>
      <c r="S578" s="124">
        <v>50</v>
      </c>
      <c r="T578" s="124">
        <v>50</v>
      </c>
      <c r="U578" s="124">
        <v>5</v>
      </c>
      <c r="V578" s="125">
        <v>0</v>
      </c>
      <c r="W578" s="124">
        <v>0</v>
      </c>
      <c r="X578" s="126">
        <v>1</v>
      </c>
      <c r="Y578" s="126">
        <v>0</v>
      </c>
      <c r="Z578" s="126">
        <v>0</v>
      </c>
      <c r="AC578" s="125">
        <v>0</v>
      </c>
      <c r="AD578" s="124">
        <v>0</v>
      </c>
    </row>
    <row r="579" spans="1:30">
      <c r="A579" s="127" t="s">
        <v>1085</v>
      </c>
      <c r="B579" s="127" t="s">
        <v>1708</v>
      </c>
      <c r="C579" s="127" t="s">
        <v>1103</v>
      </c>
      <c r="D579" s="127" t="s">
        <v>1708</v>
      </c>
      <c r="M579" s="127" t="s">
        <v>1688</v>
      </c>
      <c r="N579" s="127" t="s">
        <v>1406</v>
      </c>
      <c r="O579" s="123">
        <v>44501</v>
      </c>
      <c r="P579" s="123">
        <v>44561</v>
      </c>
      <c r="Q579" s="123">
        <v>44550</v>
      </c>
      <c r="R579" s="123">
        <v>44556</v>
      </c>
      <c r="S579" s="124">
        <v>51</v>
      </c>
      <c r="T579" s="124">
        <v>51</v>
      </c>
      <c r="U579" s="124">
        <v>5</v>
      </c>
      <c r="V579" s="125">
        <v>0</v>
      </c>
      <c r="W579" s="124">
        <v>0</v>
      </c>
      <c r="X579" s="126">
        <v>1</v>
      </c>
      <c r="Y579" s="126">
        <v>0</v>
      </c>
      <c r="Z579" s="126">
        <v>0</v>
      </c>
      <c r="AC579" s="125">
        <v>0</v>
      </c>
      <c r="AD579" s="124">
        <v>0</v>
      </c>
    </row>
    <row r="580" spans="1:30">
      <c r="A580" s="127" t="s">
        <v>1085</v>
      </c>
      <c r="B580" s="127" t="s">
        <v>1708</v>
      </c>
      <c r="C580" s="127" t="s">
        <v>1103</v>
      </c>
      <c r="D580" s="127" t="s">
        <v>1708</v>
      </c>
      <c r="M580" s="127" t="s">
        <v>1688</v>
      </c>
      <c r="N580" s="127" t="s">
        <v>1406</v>
      </c>
      <c r="O580" s="123">
        <v>44501</v>
      </c>
      <c r="P580" s="123">
        <v>44561</v>
      </c>
      <c r="Q580" s="123">
        <v>44557</v>
      </c>
      <c r="R580" s="123">
        <v>44563</v>
      </c>
      <c r="S580" s="124">
        <v>52</v>
      </c>
      <c r="T580" s="124">
        <v>52</v>
      </c>
      <c r="U580" s="124">
        <v>5</v>
      </c>
      <c r="V580" s="125">
        <v>0</v>
      </c>
      <c r="W580" s="124">
        <v>0</v>
      </c>
      <c r="X580" s="126">
        <v>1</v>
      </c>
      <c r="Y580" s="126">
        <v>0</v>
      </c>
      <c r="Z580" s="126">
        <v>0</v>
      </c>
      <c r="AC580" s="125">
        <v>0</v>
      </c>
      <c r="AD580" s="124">
        <v>0</v>
      </c>
    </row>
    <row r="581" spans="1:30">
      <c r="A581" s="127" t="s">
        <v>1102</v>
      </c>
      <c r="B581" s="127" t="s">
        <v>1560</v>
      </c>
      <c r="C581" s="127" t="s">
        <v>1104</v>
      </c>
      <c r="D581" s="127" t="s">
        <v>1559</v>
      </c>
      <c r="E581" s="127" t="s">
        <v>1560</v>
      </c>
      <c r="M581" s="127" t="s">
        <v>1548</v>
      </c>
      <c r="N581" s="127" t="s">
        <v>1406</v>
      </c>
      <c r="O581" s="123">
        <v>44431</v>
      </c>
      <c r="P581" s="123">
        <v>44449</v>
      </c>
      <c r="Q581" s="123">
        <v>44431</v>
      </c>
      <c r="R581" s="123">
        <v>44437</v>
      </c>
      <c r="S581" s="124">
        <v>34</v>
      </c>
      <c r="T581" s="124">
        <v>34</v>
      </c>
      <c r="U581" s="124">
        <v>5</v>
      </c>
      <c r="V581" s="125">
        <v>0</v>
      </c>
      <c r="W581" s="124">
        <v>0</v>
      </c>
      <c r="X581" s="126">
        <v>1</v>
      </c>
      <c r="Y581" s="126">
        <v>0</v>
      </c>
      <c r="Z581" s="126">
        <v>0</v>
      </c>
      <c r="AC581" s="125">
        <v>0</v>
      </c>
      <c r="AD581" s="124">
        <v>0</v>
      </c>
    </row>
    <row r="582" spans="1:30">
      <c r="A582" s="127" t="s">
        <v>1102</v>
      </c>
      <c r="B582" s="127" t="s">
        <v>1560</v>
      </c>
      <c r="C582" s="127" t="s">
        <v>1104</v>
      </c>
      <c r="D582" s="127" t="s">
        <v>1559</v>
      </c>
      <c r="E582" s="127" t="s">
        <v>1560</v>
      </c>
      <c r="M582" s="127" t="s">
        <v>1548</v>
      </c>
      <c r="N582" s="127" t="s">
        <v>1406</v>
      </c>
      <c r="O582" s="123">
        <v>44431</v>
      </c>
      <c r="P582" s="123">
        <v>44449</v>
      </c>
      <c r="Q582" s="123">
        <v>44438</v>
      </c>
      <c r="R582" s="123">
        <v>44444</v>
      </c>
      <c r="S582" s="124">
        <v>35</v>
      </c>
      <c r="T582" s="124">
        <v>35</v>
      </c>
      <c r="U582" s="124">
        <v>5</v>
      </c>
      <c r="V582" s="125">
        <v>0</v>
      </c>
      <c r="W582" s="124">
        <v>0</v>
      </c>
      <c r="X582" s="126">
        <v>1</v>
      </c>
      <c r="Y582" s="126">
        <v>0</v>
      </c>
      <c r="Z582" s="126">
        <v>0</v>
      </c>
      <c r="AC582" s="125">
        <v>0</v>
      </c>
      <c r="AD582" s="124">
        <v>0</v>
      </c>
    </row>
    <row r="583" spans="1:30">
      <c r="A583" s="127" t="s">
        <v>1102</v>
      </c>
      <c r="B583" s="127" t="s">
        <v>1560</v>
      </c>
      <c r="C583" s="127" t="s">
        <v>1104</v>
      </c>
      <c r="D583" s="127" t="s">
        <v>1559</v>
      </c>
      <c r="E583" s="127" t="s">
        <v>1560</v>
      </c>
      <c r="M583" s="127" t="s">
        <v>1548</v>
      </c>
      <c r="N583" s="127" t="s">
        <v>1406</v>
      </c>
      <c r="O583" s="123">
        <v>44431</v>
      </c>
      <c r="P583" s="123">
        <v>44449</v>
      </c>
      <c r="Q583" s="123">
        <v>44445</v>
      </c>
      <c r="R583" s="123">
        <v>44451</v>
      </c>
      <c r="S583" s="124">
        <v>36</v>
      </c>
      <c r="T583" s="124">
        <v>36</v>
      </c>
      <c r="U583" s="124">
        <v>5</v>
      </c>
      <c r="V583" s="125">
        <v>0</v>
      </c>
      <c r="W583" s="124">
        <v>0</v>
      </c>
      <c r="X583" s="126">
        <v>1</v>
      </c>
      <c r="Y583" s="126">
        <v>0</v>
      </c>
      <c r="Z583" s="126">
        <v>0</v>
      </c>
      <c r="AC583" s="125">
        <v>0</v>
      </c>
      <c r="AD583" s="124">
        <v>0</v>
      </c>
    </row>
    <row r="584" spans="1:30">
      <c r="A584" s="127" t="s">
        <v>1102</v>
      </c>
      <c r="B584" s="127" t="s">
        <v>1561</v>
      </c>
      <c r="C584" s="127" t="s">
        <v>1104</v>
      </c>
      <c r="D584" s="127" t="s">
        <v>1559</v>
      </c>
      <c r="E584" s="127" t="s">
        <v>1561</v>
      </c>
      <c r="M584" s="127" t="s">
        <v>1549</v>
      </c>
      <c r="N584" s="127" t="s">
        <v>1406</v>
      </c>
      <c r="O584" s="123">
        <v>44452</v>
      </c>
      <c r="P584" s="123">
        <v>44456</v>
      </c>
      <c r="Q584" s="123">
        <v>44452</v>
      </c>
      <c r="R584" s="123">
        <v>44458</v>
      </c>
      <c r="S584" s="124">
        <v>37</v>
      </c>
      <c r="T584" s="124">
        <v>37</v>
      </c>
      <c r="U584" s="124">
        <v>5</v>
      </c>
      <c r="V584" s="125">
        <v>0</v>
      </c>
      <c r="W584" s="124">
        <v>0</v>
      </c>
      <c r="X584" s="126">
        <v>1</v>
      </c>
      <c r="Y584" s="126">
        <v>0</v>
      </c>
      <c r="Z584" s="126">
        <v>0</v>
      </c>
      <c r="AC584" s="125">
        <v>0</v>
      </c>
      <c r="AD584" s="124">
        <v>0</v>
      </c>
    </row>
    <row r="585" spans="1:30">
      <c r="A585" s="127" t="s">
        <v>1102</v>
      </c>
      <c r="B585" s="127" t="s">
        <v>1562</v>
      </c>
      <c r="C585" s="127" t="s">
        <v>1104</v>
      </c>
      <c r="D585" s="127" t="s">
        <v>1559</v>
      </c>
      <c r="E585" s="127" t="s">
        <v>1562</v>
      </c>
      <c r="M585" s="127" t="s">
        <v>1654</v>
      </c>
      <c r="N585" s="127" t="s">
        <v>1712</v>
      </c>
      <c r="O585" s="123">
        <v>44410</v>
      </c>
      <c r="P585" s="123">
        <v>44414</v>
      </c>
      <c r="Q585" s="123">
        <v>44410</v>
      </c>
      <c r="R585" s="123">
        <v>44416</v>
      </c>
      <c r="S585" s="124">
        <v>31</v>
      </c>
      <c r="T585" s="124">
        <v>31</v>
      </c>
      <c r="U585" s="124">
        <v>5</v>
      </c>
      <c r="V585" s="125">
        <v>0</v>
      </c>
      <c r="W585" s="124">
        <v>0</v>
      </c>
      <c r="X585" s="126">
        <v>1</v>
      </c>
      <c r="Y585" s="126">
        <v>0</v>
      </c>
      <c r="Z585" s="126">
        <v>0</v>
      </c>
      <c r="AC585" s="125">
        <v>0</v>
      </c>
      <c r="AD585" s="124">
        <v>0</v>
      </c>
    </row>
    <row r="586" spans="1:30">
      <c r="A586" s="127" t="s">
        <v>1102</v>
      </c>
      <c r="B586" s="127" t="s">
        <v>1563</v>
      </c>
      <c r="C586" s="127" t="s">
        <v>1104</v>
      </c>
      <c r="D586" s="127" t="s">
        <v>1559</v>
      </c>
      <c r="E586" s="127" t="s">
        <v>1563</v>
      </c>
      <c r="M586" s="127" t="s">
        <v>1550</v>
      </c>
      <c r="N586" s="127" t="s">
        <v>1406</v>
      </c>
      <c r="O586" s="123">
        <v>44449</v>
      </c>
      <c r="P586" s="123">
        <v>44449</v>
      </c>
      <c r="Q586" s="123">
        <v>44445</v>
      </c>
      <c r="R586" s="123">
        <v>44451</v>
      </c>
      <c r="S586" s="124">
        <v>36</v>
      </c>
      <c r="T586" s="124">
        <v>36</v>
      </c>
      <c r="U586" s="124">
        <v>0</v>
      </c>
      <c r="V586" s="125">
        <v>0</v>
      </c>
      <c r="W586" s="124">
        <v>0</v>
      </c>
      <c r="X586" s="126">
        <v>0</v>
      </c>
      <c r="Y586" s="126">
        <v>0</v>
      </c>
      <c r="Z586" s="126">
        <v>0</v>
      </c>
      <c r="AC586" s="125">
        <v>0</v>
      </c>
      <c r="AD586" s="124">
        <v>0</v>
      </c>
    </row>
    <row r="587" spans="1:30">
      <c r="A587" s="127" t="s">
        <v>1102</v>
      </c>
      <c r="B587" s="127" t="s">
        <v>1564</v>
      </c>
      <c r="C587" s="127" t="s">
        <v>1104</v>
      </c>
      <c r="D587" s="127" t="s">
        <v>1559</v>
      </c>
      <c r="E587" s="127" t="s">
        <v>1564</v>
      </c>
      <c r="M587" s="127" t="s">
        <v>1551</v>
      </c>
      <c r="N587" s="127" t="s">
        <v>1406</v>
      </c>
      <c r="O587" s="123">
        <v>44466</v>
      </c>
      <c r="P587" s="123">
        <v>44470</v>
      </c>
      <c r="Q587" s="123">
        <v>44466</v>
      </c>
      <c r="R587" s="123">
        <v>44472</v>
      </c>
      <c r="S587" s="124">
        <v>39</v>
      </c>
      <c r="T587" s="124">
        <v>39</v>
      </c>
      <c r="U587" s="124">
        <v>5</v>
      </c>
      <c r="V587" s="125">
        <v>0</v>
      </c>
      <c r="W587" s="124">
        <v>0</v>
      </c>
      <c r="X587" s="126">
        <v>1</v>
      </c>
      <c r="Y587" s="126">
        <v>0</v>
      </c>
      <c r="Z587" s="126">
        <v>0</v>
      </c>
      <c r="AC587" s="125">
        <v>0</v>
      </c>
      <c r="AD587" s="124">
        <v>0</v>
      </c>
    </row>
    <row r="588" spans="1:30">
      <c r="A588" s="127" t="s">
        <v>1102</v>
      </c>
      <c r="B588" s="127" t="s">
        <v>1565</v>
      </c>
      <c r="C588" s="127" t="s">
        <v>1104</v>
      </c>
      <c r="D588" s="127" t="s">
        <v>1559</v>
      </c>
      <c r="E588" s="127" t="s">
        <v>1565</v>
      </c>
      <c r="M588" s="127" t="s">
        <v>1552</v>
      </c>
      <c r="N588" s="127" t="s">
        <v>1406</v>
      </c>
      <c r="O588" s="123">
        <v>44466</v>
      </c>
      <c r="P588" s="123">
        <v>44470</v>
      </c>
      <c r="Q588" s="123">
        <v>44466</v>
      </c>
      <c r="R588" s="123">
        <v>44472</v>
      </c>
      <c r="S588" s="124">
        <v>39</v>
      </c>
      <c r="T588" s="124">
        <v>39</v>
      </c>
      <c r="U588" s="124">
        <v>5</v>
      </c>
      <c r="V588" s="125">
        <v>0</v>
      </c>
      <c r="W588" s="124">
        <v>0</v>
      </c>
      <c r="X588" s="126">
        <v>1</v>
      </c>
      <c r="Y588" s="126">
        <v>0</v>
      </c>
      <c r="Z588" s="126">
        <v>0</v>
      </c>
      <c r="AC588" s="125">
        <v>0</v>
      </c>
      <c r="AD588" s="124">
        <v>0</v>
      </c>
    </row>
    <row r="589" spans="1:30">
      <c r="A589" s="127" t="s">
        <v>1102</v>
      </c>
      <c r="B589" s="127" t="s">
        <v>1566</v>
      </c>
      <c r="C589" s="127" t="s">
        <v>1104</v>
      </c>
      <c r="D589" s="127" t="s">
        <v>1559</v>
      </c>
      <c r="E589" s="127" t="s">
        <v>1566</v>
      </c>
      <c r="M589" s="127" t="s">
        <v>1553</v>
      </c>
      <c r="N589" s="127" t="s">
        <v>1406</v>
      </c>
      <c r="O589" s="123">
        <v>44473</v>
      </c>
      <c r="P589" s="123">
        <v>44477</v>
      </c>
      <c r="Q589" s="123">
        <v>44473</v>
      </c>
      <c r="R589" s="123">
        <v>44479</v>
      </c>
      <c r="S589" s="124">
        <v>40</v>
      </c>
      <c r="T589" s="124">
        <v>40</v>
      </c>
      <c r="U589" s="124">
        <v>5</v>
      </c>
      <c r="V589" s="125">
        <v>0</v>
      </c>
      <c r="W589" s="124">
        <v>0</v>
      </c>
      <c r="X589" s="126">
        <v>1</v>
      </c>
      <c r="Y589" s="126">
        <v>0</v>
      </c>
      <c r="Z589" s="126">
        <v>0</v>
      </c>
      <c r="AC589" s="125">
        <v>0</v>
      </c>
      <c r="AD589" s="124">
        <v>0</v>
      </c>
    </row>
    <row r="590" spans="1:30">
      <c r="A590" s="127" t="s">
        <v>1102</v>
      </c>
      <c r="B590" s="127" t="s">
        <v>1567</v>
      </c>
      <c r="C590" s="127" t="s">
        <v>1104</v>
      </c>
      <c r="D590" s="127" t="s">
        <v>1559</v>
      </c>
      <c r="E590" s="127" t="s">
        <v>1567</v>
      </c>
      <c r="M590" s="127" t="s">
        <v>1554</v>
      </c>
      <c r="N590" s="127" t="s">
        <v>1406</v>
      </c>
      <c r="O590" s="123">
        <v>44473</v>
      </c>
      <c r="P590" s="123">
        <v>44477</v>
      </c>
      <c r="Q590" s="123">
        <v>44473</v>
      </c>
      <c r="R590" s="123">
        <v>44479</v>
      </c>
      <c r="S590" s="124">
        <v>40</v>
      </c>
      <c r="T590" s="124">
        <v>40</v>
      </c>
      <c r="U590" s="124">
        <v>5</v>
      </c>
      <c r="V590" s="125">
        <v>0</v>
      </c>
      <c r="W590" s="124">
        <v>0</v>
      </c>
      <c r="X590" s="126">
        <v>1</v>
      </c>
      <c r="Y590" s="126">
        <v>0</v>
      </c>
      <c r="Z590" s="126">
        <v>0</v>
      </c>
      <c r="AC590" s="125">
        <v>0</v>
      </c>
      <c r="AD590" s="124">
        <v>0</v>
      </c>
    </row>
    <row r="591" spans="1:30">
      <c r="A591" s="127" t="s">
        <v>1102</v>
      </c>
      <c r="B591" s="127" t="s">
        <v>1568</v>
      </c>
      <c r="C591" s="127" t="s">
        <v>1104</v>
      </c>
      <c r="D591" s="127" t="s">
        <v>1559</v>
      </c>
      <c r="E591" s="127" t="s">
        <v>1568</v>
      </c>
      <c r="M591" s="127" t="s">
        <v>1555</v>
      </c>
      <c r="N591" s="127" t="s">
        <v>1406</v>
      </c>
      <c r="O591" s="123">
        <v>44480</v>
      </c>
      <c r="P591" s="123">
        <v>44484</v>
      </c>
      <c r="Q591" s="123">
        <v>44480</v>
      </c>
      <c r="R591" s="123">
        <v>44486</v>
      </c>
      <c r="S591" s="124">
        <v>41</v>
      </c>
      <c r="T591" s="124">
        <v>41</v>
      </c>
      <c r="U591" s="124">
        <v>5</v>
      </c>
      <c r="V591" s="125">
        <v>0</v>
      </c>
      <c r="W591" s="124">
        <v>0</v>
      </c>
      <c r="X591" s="126">
        <v>1</v>
      </c>
      <c r="Y591" s="126">
        <v>0</v>
      </c>
      <c r="Z591" s="126">
        <v>0</v>
      </c>
      <c r="AC591" s="125">
        <v>0</v>
      </c>
      <c r="AD591" s="124">
        <v>0</v>
      </c>
    </row>
    <row r="592" spans="1:30">
      <c r="A592" s="127" t="s">
        <v>1102</v>
      </c>
      <c r="B592" s="127" t="s">
        <v>1569</v>
      </c>
      <c r="C592" s="127" t="s">
        <v>1104</v>
      </c>
      <c r="D592" s="127" t="s">
        <v>1559</v>
      </c>
      <c r="E592" s="127" t="s">
        <v>1569</v>
      </c>
      <c r="M592" s="127" t="s">
        <v>1556</v>
      </c>
      <c r="N592" s="127" t="s">
        <v>1406</v>
      </c>
      <c r="O592" s="123">
        <v>44480</v>
      </c>
      <c r="P592" s="123">
        <v>44498</v>
      </c>
      <c r="Q592" s="123">
        <v>44480</v>
      </c>
      <c r="R592" s="123">
        <v>44486</v>
      </c>
      <c r="S592" s="124">
        <v>41</v>
      </c>
      <c r="T592" s="124">
        <v>41</v>
      </c>
      <c r="U592" s="124">
        <v>5</v>
      </c>
      <c r="V592" s="125">
        <v>0</v>
      </c>
      <c r="W592" s="124">
        <v>0</v>
      </c>
      <c r="X592" s="126">
        <v>1</v>
      </c>
      <c r="Y592" s="126">
        <v>0</v>
      </c>
      <c r="Z592" s="126">
        <v>0</v>
      </c>
      <c r="AC592" s="125">
        <v>0</v>
      </c>
      <c r="AD592" s="124">
        <v>0</v>
      </c>
    </row>
    <row r="593" spans="1:30">
      <c r="A593" s="127" t="s">
        <v>1102</v>
      </c>
      <c r="B593" s="127" t="s">
        <v>1569</v>
      </c>
      <c r="C593" s="127" t="s">
        <v>1104</v>
      </c>
      <c r="D593" s="127" t="s">
        <v>1559</v>
      </c>
      <c r="E593" s="127" t="s">
        <v>1569</v>
      </c>
      <c r="M593" s="127" t="s">
        <v>1556</v>
      </c>
      <c r="N593" s="127" t="s">
        <v>1406</v>
      </c>
      <c r="O593" s="123">
        <v>44480</v>
      </c>
      <c r="P593" s="123">
        <v>44498</v>
      </c>
      <c r="Q593" s="123">
        <v>44487</v>
      </c>
      <c r="R593" s="123">
        <v>44493</v>
      </c>
      <c r="S593" s="124">
        <v>42</v>
      </c>
      <c r="T593" s="124">
        <v>42</v>
      </c>
      <c r="U593" s="124">
        <v>5</v>
      </c>
      <c r="V593" s="125">
        <v>0</v>
      </c>
      <c r="W593" s="124">
        <v>0</v>
      </c>
      <c r="X593" s="126">
        <v>1</v>
      </c>
      <c r="Y593" s="126">
        <v>0</v>
      </c>
      <c r="Z593" s="126">
        <v>0</v>
      </c>
      <c r="AC593" s="125">
        <v>0</v>
      </c>
      <c r="AD593" s="124">
        <v>0</v>
      </c>
    </row>
    <row r="594" spans="1:30">
      <c r="A594" s="127" t="s">
        <v>1102</v>
      </c>
      <c r="B594" s="127" t="s">
        <v>1569</v>
      </c>
      <c r="C594" s="127" t="s">
        <v>1104</v>
      </c>
      <c r="D594" s="127" t="s">
        <v>1559</v>
      </c>
      <c r="E594" s="127" t="s">
        <v>1569</v>
      </c>
      <c r="M594" s="127" t="s">
        <v>1556</v>
      </c>
      <c r="N594" s="127" t="s">
        <v>1406</v>
      </c>
      <c r="O594" s="123">
        <v>44480</v>
      </c>
      <c r="P594" s="123">
        <v>44498</v>
      </c>
      <c r="Q594" s="123">
        <v>44494</v>
      </c>
      <c r="R594" s="123">
        <v>44500</v>
      </c>
      <c r="S594" s="124">
        <v>43</v>
      </c>
      <c r="T594" s="124">
        <v>43</v>
      </c>
      <c r="U594" s="124">
        <v>5</v>
      </c>
      <c r="V594" s="125">
        <v>0</v>
      </c>
      <c r="W594" s="124">
        <v>0</v>
      </c>
      <c r="X594" s="126">
        <v>1</v>
      </c>
      <c r="Y594" s="126">
        <v>0</v>
      </c>
      <c r="Z594" s="126">
        <v>0</v>
      </c>
      <c r="AC594" s="125">
        <v>0</v>
      </c>
      <c r="AD594" s="124">
        <v>0</v>
      </c>
    </row>
    <row r="595" spans="1:30">
      <c r="A595" s="127" t="s">
        <v>1102</v>
      </c>
      <c r="B595" s="127" t="s">
        <v>1570</v>
      </c>
      <c r="C595" s="127" t="s">
        <v>1104</v>
      </c>
      <c r="D595" s="127" t="s">
        <v>1559</v>
      </c>
      <c r="E595" s="127" t="s">
        <v>1570</v>
      </c>
      <c r="M595" s="127" t="s">
        <v>1557</v>
      </c>
      <c r="N595" s="127" t="s">
        <v>1406</v>
      </c>
      <c r="O595" s="123">
        <v>44501</v>
      </c>
      <c r="P595" s="123">
        <v>44540</v>
      </c>
      <c r="Q595" s="123">
        <v>44501</v>
      </c>
      <c r="R595" s="123">
        <v>44507</v>
      </c>
      <c r="S595" s="124">
        <v>44</v>
      </c>
      <c r="T595" s="124">
        <v>44</v>
      </c>
      <c r="U595" s="124">
        <v>5</v>
      </c>
      <c r="V595" s="125">
        <v>0</v>
      </c>
      <c r="W595" s="124">
        <v>0</v>
      </c>
      <c r="X595" s="126">
        <v>1</v>
      </c>
      <c r="Y595" s="126">
        <v>0</v>
      </c>
      <c r="Z595" s="126">
        <v>0</v>
      </c>
      <c r="AC595" s="125">
        <v>0</v>
      </c>
      <c r="AD595" s="124">
        <v>0</v>
      </c>
    </row>
    <row r="596" spans="1:30">
      <c r="A596" s="127" t="s">
        <v>1102</v>
      </c>
      <c r="B596" s="127" t="s">
        <v>1570</v>
      </c>
      <c r="C596" s="127" t="s">
        <v>1104</v>
      </c>
      <c r="D596" s="127" t="s">
        <v>1559</v>
      </c>
      <c r="E596" s="127" t="s">
        <v>1570</v>
      </c>
      <c r="M596" s="127" t="s">
        <v>1557</v>
      </c>
      <c r="N596" s="127" t="s">
        <v>1406</v>
      </c>
      <c r="O596" s="123">
        <v>44501</v>
      </c>
      <c r="P596" s="123">
        <v>44540</v>
      </c>
      <c r="Q596" s="123">
        <v>44508</v>
      </c>
      <c r="R596" s="123">
        <v>44514</v>
      </c>
      <c r="S596" s="124">
        <v>45</v>
      </c>
      <c r="T596" s="124">
        <v>45</v>
      </c>
      <c r="U596" s="124">
        <v>5</v>
      </c>
      <c r="V596" s="125">
        <v>0</v>
      </c>
      <c r="W596" s="124">
        <v>0</v>
      </c>
      <c r="X596" s="126">
        <v>1</v>
      </c>
      <c r="Y596" s="126">
        <v>0</v>
      </c>
      <c r="Z596" s="126">
        <v>0</v>
      </c>
      <c r="AC596" s="125">
        <v>0</v>
      </c>
      <c r="AD596" s="124">
        <v>0</v>
      </c>
    </row>
    <row r="597" spans="1:30">
      <c r="A597" s="127" t="s">
        <v>1102</v>
      </c>
      <c r="B597" s="127" t="s">
        <v>1570</v>
      </c>
      <c r="C597" s="127" t="s">
        <v>1104</v>
      </c>
      <c r="D597" s="127" t="s">
        <v>1559</v>
      </c>
      <c r="E597" s="127" t="s">
        <v>1570</v>
      </c>
      <c r="M597" s="127" t="s">
        <v>1557</v>
      </c>
      <c r="N597" s="127" t="s">
        <v>1406</v>
      </c>
      <c r="O597" s="123">
        <v>44501</v>
      </c>
      <c r="P597" s="123">
        <v>44540</v>
      </c>
      <c r="Q597" s="123">
        <v>44515</v>
      </c>
      <c r="R597" s="123">
        <v>44521</v>
      </c>
      <c r="S597" s="124">
        <v>46</v>
      </c>
      <c r="T597" s="124">
        <v>46</v>
      </c>
      <c r="U597" s="124">
        <v>5</v>
      </c>
      <c r="V597" s="125">
        <v>0</v>
      </c>
      <c r="W597" s="124">
        <v>0</v>
      </c>
      <c r="X597" s="126">
        <v>1</v>
      </c>
      <c r="Y597" s="126">
        <v>0</v>
      </c>
      <c r="Z597" s="126">
        <v>0</v>
      </c>
      <c r="AC597" s="125">
        <v>0</v>
      </c>
      <c r="AD597" s="124">
        <v>0</v>
      </c>
    </row>
    <row r="598" spans="1:30">
      <c r="A598" s="127" t="s">
        <v>1102</v>
      </c>
      <c r="B598" s="127" t="s">
        <v>1570</v>
      </c>
      <c r="C598" s="127" t="s">
        <v>1104</v>
      </c>
      <c r="D598" s="127" t="s">
        <v>1559</v>
      </c>
      <c r="E598" s="127" t="s">
        <v>1570</v>
      </c>
      <c r="M598" s="127" t="s">
        <v>1557</v>
      </c>
      <c r="N598" s="127" t="s">
        <v>1406</v>
      </c>
      <c r="O598" s="123">
        <v>44501</v>
      </c>
      <c r="P598" s="123">
        <v>44540</v>
      </c>
      <c r="Q598" s="123">
        <v>44522</v>
      </c>
      <c r="R598" s="123">
        <v>44528</v>
      </c>
      <c r="S598" s="124">
        <v>47</v>
      </c>
      <c r="T598" s="124">
        <v>47</v>
      </c>
      <c r="U598" s="124">
        <v>5</v>
      </c>
      <c r="V598" s="125">
        <v>0</v>
      </c>
      <c r="W598" s="124">
        <v>0</v>
      </c>
      <c r="X598" s="126">
        <v>1</v>
      </c>
      <c r="Y598" s="126">
        <v>0</v>
      </c>
      <c r="Z598" s="126">
        <v>0</v>
      </c>
      <c r="AC598" s="125">
        <v>0</v>
      </c>
      <c r="AD598" s="124">
        <v>0</v>
      </c>
    </row>
    <row r="599" spans="1:30">
      <c r="A599" s="127" t="s">
        <v>1102</v>
      </c>
      <c r="B599" s="127" t="s">
        <v>1570</v>
      </c>
      <c r="C599" s="127" t="s">
        <v>1104</v>
      </c>
      <c r="D599" s="127" t="s">
        <v>1559</v>
      </c>
      <c r="E599" s="127" t="s">
        <v>1570</v>
      </c>
      <c r="M599" s="127" t="s">
        <v>1557</v>
      </c>
      <c r="N599" s="127" t="s">
        <v>1406</v>
      </c>
      <c r="O599" s="123">
        <v>44501</v>
      </c>
      <c r="P599" s="123">
        <v>44540</v>
      </c>
      <c r="Q599" s="123">
        <v>44529</v>
      </c>
      <c r="R599" s="123">
        <v>44535</v>
      </c>
      <c r="S599" s="124">
        <v>48</v>
      </c>
      <c r="T599" s="124">
        <v>48</v>
      </c>
      <c r="U599" s="124">
        <v>5</v>
      </c>
      <c r="V599" s="125">
        <v>0</v>
      </c>
      <c r="W599" s="124">
        <v>0</v>
      </c>
      <c r="X599" s="126">
        <v>1</v>
      </c>
      <c r="Y599" s="126">
        <v>0</v>
      </c>
      <c r="Z599" s="126">
        <v>0</v>
      </c>
      <c r="AC599" s="125">
        <v>0</v>
      </c>
      <c r="AD599" s="124">
        <v>0</v>
      </c>
    </row>
    <row r="600" spans="1:30">
      <c r="A600" s="127" t="s">
        <v>1102</v>
      </c>
      <c r="B600" s="127" t="s">
        <v>1570</v>
      </c>
      <c r="C600" s="127" t="s">
        <v>1104</v>
      </c>
      <c r="D600" s="127" t="s">
        <v>1559</v>
      </c>
      <c r="E600" s="127" t="s">
        <v>1570</v>
      </c>
      <c r="M600" s="127" t="s">
        <v>1557</v>
      </c>
      <c r="N600" s="127" t="s">
        <v>1406</v>
      </c>
      <c r="O600" s="123">
        <v>44501</v>
      </c>
      <c r="P600" s="123">
        <v>44540</v>
      </c>
      <c r="Q600" s="123">
        <v>44536</v>
      </c>
      <c r="R600" s="123">
        <v>44542</v>
      </c>
      <c r="S600" s="124">
        <v>49</v>
      </c>
      <c r="T600" s="124">
        <v>49</v>
      </c>
      <c r="U600" s="124">
        <v>5</v>
      </c>
      <c r="V600" s="125">
        <v>0</v>
      </c>
      <c r="W600" s="124">
        <v>0</v>
      </c>
      <c r="X600" s="126">
        <v>1</v>
      </c>
      <c r="Y600" s="126">
        <v>0</v>
      </c>
      <c r="Z600" s="126">
        <v>0</v>
      </c>
      <c r="AC600" s="125">
        <v>0</v>
      </c>
      <c r="AD600" s="124">
        <v>0</v>
      </c>
    </row>
    <row r="601" spans="1:30">
      <c r="A601" s="127" t="s">
        <v>1102</v>
      </c>
      <c r="B601" s="127" t="s">
        <v>1664</v>
      </c>
      <c r="C601" s="127" t="s">
        <v>1104</v>
      </c>
      <c r="D601" s="127" t="s">
        <v>1559</v>
      </c>
      <c r="E601" s="127" t="s">
        <v>1664</v>
      </c>
      <c r="M601" s="127" t="s">
        <v>1558</v>
      </c>
      <c r="N601" s="127" t="s">
        <v>1406</v>
      </c>
      <c r="O601" s="123">
        <v>44627</v>
      </c>
      <c r="P601" s="123">
        <v>44631</v>
      </c>
      <c r="Q601" s="123">
        <v>44627</v>
      </c>
      <c r="R601" s="123">
        <v>44633</v>
      </c>
      <c r="S601" s="124">
        <v>10</v>
      </c>
      <c r="T601" s="124">
        <v>62</v>
      </c>
      <c r="U601" s="124">
        <v>5</v>
      </c>
      <c r="V601" s="125">
        <v>0</v>
      </c>
      <c r="W601" s="124">
        <v>0</v>
      </c>
      <c r="X601" s="126">
        <v>1</v>
      </c>
      <c r="Y601" s="126">
        <v>0</v>
      </c>
      <c r="Z601" s="126">
        <v>0</v>
      </c>
      <c r="AC601" s="125">
        <v>0</v>
      </c>
      <c r="AD601" s="124">
        <v>0</v>
      </c>
    </row>
    <row r="602" spans="1:30">
      <c r="A602" s="127" t="s">
        <v>1102</v>
      </c>
      <c r="B602" s="127" t="s">
        <v>1644</v>
      </c>
      <c r="C602" s="127" t="s">
        <v>1104</v>
      </c>
      <c r="D602" s="127" t="s">
        <v>1571</v>
      </c>
      <c r="E602" s="127" t="s">
        <v>1644</v>
      </c>
      <c r="M602" s="127" t="s">
        <v>1710</v>
      </c>
      <c r="N602" s="127" t="s">
        <v>1406</v>
      </c>
      <c r="O602" s="123">
        <v>44228</v>
      </c>
      <c r="P602" s="123">
        <v>44228</v>
      </c>
      <c r="Q602" s="123">
        <v>44228</v>
      </c>
      <c r="R602" s="123">
        <v>44234</v>
      </c>
      <c r="S602" s="124">
        <v>5</v>
      </c>
      <c r="T602" s="124">
        <v>5</v>
      </c>
      <c r="U602" s="124">
        <v>1</v>
      </c>
      <c r="V602" s="125">
        <v>0</v>
      </c>
      <c r="W602" s="124">
        <v>0</v>
      </c>
      <c r="X602" s="126">
        <v>1</v>
      </c>
      <c r="Y602" s="126">
        <v>0</v>
      </c>
      <c r="Z602" s="126">
        <v>0</v>
      </c>
      <c r="AC602" s="125">
        <v>0</v>
      </c>
      <c r="AD602" s="124">
        <v>0</v>
      </c>
    </row>
    <row r="603" spans="1:30">
      <c r="A603" s="127" t="s">
        <v>1102</v>
      </c>
      <c r="B603" s="127" t="s">
        <v>1645</v>
      </c>
      <c r="C603" s="127" t="s">
        <v>1104</v>
      </c>
      <c r="D603" s="127" t="s">
        <v>1571</v>
      </c>
      <c r="E603" s="127" t="s">
        <v>1645</v>
      </c>
      <c r="M603" s="127" t="s">
        <v>1635</v>
      </c>
      <c r="N603" s="127" t="s">
        <v>1406</v>
      </c>
      <c r="O603" s="123">
        <v>44424</v>
      </c>
      <c r="P603" s="123">
        <v>44435</v>
      </c>
      <c r="Q603" s="123">
        <v>44424</v>
      </c>
      <c r="R603" s="123">
        <v>44430</v>
      </c>
      <c r="S603" s="124">
        <v>33</v>
      </c>
      <c r="T603" s="124">
        <v>33</v>
      </c>
      <c r="U603" s="124">
        <v>5</v>
      </c>
      <c r="V603" s="125">
        <v>0</v>
      </c>
      <c r="W603" s="124">
        <v>0</v>
      </c>
      <c r="X603" s="126">
        <v>1</v>
      </c>
      <c r="Y603" s="126">
        <v>0</v>
      </c>
      <c r="Z603" s="126">
        <v>0</v>
      </c>
      <c r="AC603" s="125">
        <v>0</v>
      </c>
      <c r="AD603" s="124">
        <v>0</v>
      </c>
    </row>
    <row r="604" spans="1:30">
      <c r="A604" s="127" t="s">
        <v>1102</v>
      </c>
      <c r="B604" s="127" t="s">
        <v>1645</v>
      </c>
      <c r="C604" s="127" t="s">
        <v>1104</v>
      </c>
      <c r="D604" s="127" t="s">
        <v>1571</v>
      </c>
      <c r="E604" s="127" t="s">
        <v>1645</v>
      </c>
      <c r="M604" s="127" t="s">
        <v>1635</v>
      </c>
      <c r="N604" s="127" t="s">
        <v>1406</v>
      </c>
      <c r="O604" s="123">
        <v>44424</v>
      </c>
      <c r="P604" s="123">
        <v>44435</v>
      </c>
      <c r="Q604" s="123">
        <v>44431</v>
      </c>
      <c r="R604" s="123">
        <v>44437</v>
      </c>
      <c r="S604" s="124">
        <v>34</v>
      </c>
      <c r="T604" s="124">
        <v>34</v>
      </c>
      <c r="U604" s="124">
        <v>5</v>
      </c>
      <c r="V604" s="125">
        <v>0</v>
      </c>
      <c r="W604" s="124">
        <v>0</v>
      </c>
      <c r="X604" s="126">
        <v>1</v>
      </c>
      <c r="Y604" s="126">
        <v>0</v>
      </c>
      <c r="Z604" s="126">
        <v>0</v>
      </c>
      <c r="AC604" s="125">
        <v>0</v>
      </c>
      <c r="AD604" s="124">
        <v>0</v>
      </c>
    </row>
    <row r="605" spans="1:30">
      <c r="A605" s="127" t="s">
        <v>1102</v>
      </c>
      <c r="B605" s="127" t="s">
        <v>1646</v>
      </c>
      <c r="C605" s="127" t="s">
        <v>1104</v>
      </c>
      <c r="D605" s="127" t="s">
        <v>1571</v>
      </c>
      <c r="E605" s="127" t="s">
        <v>1646</v>
      </c>
      <c r="M605" s="127" t="s">
        <v>1636</v>
      </c>
      <c r="N605" s="127" t="s">
        <v>1406</v>
      </c>
      <c r="O605" s="123">
        <v>44438</v>
      </c>
      <c r="P605" s="123">
        <v>44442</v>
      </c>
      <c r="Q605" s="123">
        <v>44438</v>
      </c>
      <c r="R605" s="123">
        <v>44444</v>
      </c>
      <c r="S605" s="124">
        <v>35</v>
      </c>
      <c r="T605" s="124">
        <v>35</v>
      </c>
      <c r="U605" s="124">
        <v>5</v>
      </c>
      <c r="V605" s="125">
        <v>0</v>
      </c>
      <c r="W605" s="124">
        <v>0</v>
      </c>
      <c r="X605" s="126">
        <v>1</v>
      </c>
      <c r="Y605" s="126">
        <v>0</v>
      </c>
      <c r="Z605" s="126">
        <v>0</v>
      </c>
      <c r="AC605" s="125">
        <v>0</v>
      </c>
      <c r="AD605" s="124">
        <v>0</v>
      </c>
    </row>
    <row r="606" spans="1:30">
      <c r="A606" s="127" t="s">
        <v>1102</v>
      </c>
      <c r="B606" s="127" t="s">
        <v>1647</v>
      </c>
      <c r="C606" s="127" t="s">
        <v>1104</v>
      </c>
      <c r="D606" s="127" t="s">
        <v>1571</v>
      </c>
      <c r="E606" s="127" t="s">
        <v>1647</v>
      </c>
      <c r="M606" s="127" t="s">
        <v>1637</v>
      </c>
      <c r="N606" s="127" t="s">
        <v>1406</v>
      </c>
      <c r="O606" s="123">
        <v>44445</v>
      </c>
      <c r="P606" s="123">
        <v>44456</v>
      </c>
      <c r="Q606" s="123">
        <v>44445</v>
      </c>
      <c r="R606" s="123">
        <v>44451</v>
      </c>
      <c r="S606" s="124">
        <v>36</v>
      </c>
      <c r="T606" s="124">
        <v>36</v>
      </c>
      <c r="U606" s="124">
        <v>5</v>
      </c>
      <c r="V606" s="125">
        <v>0</v>
      </c>
      <c r="W606" s="124">
        <v>0</v>
      </c>
      <c r="X606" s="126">
        <v>1</v>
      </c>
      <c r="Y606" s="126">
        <v>0</v>
      </c>
      <c r="Z606" s="126">
        <v>0</v>
      </c>
      <c r="AC606" s="125">
        <v>0</v>
      </c>
      <c r="AD606" s="124">
        <v>0</v>
      </c>
    </row>
    <row r="607" spans="1:30">
      <c r="A607" s="127" t="s">
        <v>1102</v>
      </c>
      <c r="B607" s="127" t="s">
        <v>1647</v>
      </c>
      <c r="C607" s="127" t="s">
        <v>1104</v>
      </c>
      <c r="D607" s="127" t="s">
        <v>1571</v>
      </c>
      <c r="E607" s="127" t="s">
        <v>1647</v>
      </c>
      <c r="M607" s="127" t="s">
        <v>1637</v>
      </c>
      <c r="N607" s="127" t="s">
        <v>1406</v>
      </c>
      <c r="O607" s="123">
        <v>44445</v>
      </c>
      <c r="P607" s="123">
        <v>44456</v>
      </c>
      <c r="Q607" s="123">
        <v>44452</v>
      </c>
      <c r="R607" s="123">
        <v>44458</v>
      </c>
      <c r="S607" s="124">
        <v>37</v>
      </c>
      <c r="T607" s="124">
        <v>37</v>
      </c>
      <c r="U607" s="124">
        <v>5</v>
      </c>
      <c r="V607" s="125">
        <v>0</v>
      </c>
      <c r="W607" s="124">
        <v>0</v>
      </c>
      <c r="X607" s="126">
        <v>1</v>
      </c>
      <c r="Y607" s="126">
        <v>0</v>
      </c>
      <c r="Z607" s="126">
        <v>0</v>
      </c>
      <c r="AC607" s="125">
        <v>0</v>
      </c>
      <c r="AD607" s="124">
        <v>0</v>
      </c>
    </row>
    <row r="608" spans="1:30">
      <c r="A608" s="127" t="s">
        <v>1102</v>
      </c>
      <c r="B608" s="127" t="s">
        <v>1648</v>
      </c>
      <c r="C608" s="127" t="s">
        <v>1104</v>
      </c>
      <c r="D608" s="127" t="s">
        <v>1571</v>
      </c>
      <c r="E608" s="127" t="s">
        <v>1648</v>
      </c>
      <c r="M608" s="127" t="s">
        <v>1642</v>
      </c>
      <c r="N608" s="127" t="s">
        <v>1406</v>
      </c>
      <c r="O608" s="123">
        <v>44462</v>
      </c>
      <c r="P608" s="123">
        <v>44470</v>
      </c>
      <c r="Q608" s="123">
        <v>44459</v>
      </c>
      <c r="R608" s="123">
        <v>44465</v>
      </c>
      <c r="S608" s="124">
        <v>38</v>
      </c>
      <c r="T608" s="124">
        <v>38</v>
      </c>
      <c r="U608" s="124">
        <v>2</v>
      </c>
      <c r="V608" s="125">
        <v>0</v>
      </c>
      <c r="W608" s="124">
        <v>0</v>
      </c>
      <c r="X608" s="126">
        <v>1</v>
      </c>
      <c r="Y608" s="126">
        <v>0</v>
      </c>
      <c r="Z608" s="126">
        <v>0</v>
      </c>
      <c r="AC608" s="125">
        <v>0</v>
      </c>
      <c r="AD608" s="124">
        <v>0</v>
      </c>
    </row>
    <row r="609" spans="1:30">
      <c r="A609" s="127" t="s">
        <v>1102</v>
      </c>
      <c r="B609" s="127" t="s">
        <v>1648</v>
      </c>
      <c r="C609" s="127" t="s">
        <v>1104</v>
      </c>
      <c r="D609" s="127" t="s">
        <v>1571</v>
      </c>
      <c r="E609" s="127" t="s">
        <v>1648</v>
      </c>
      <c r="M609" s="127" t="s">
        <v>1642</v>
      </c>
      <c r="N609" s="127" t="s">
        <v>1406</v>
      </c>
      <c r="O609" s="123">
        <v>44462</v>
      </c>
      <c r="P609" s="123">
        <v>44470</v>
      </c>
      <c r="Q609" s="123">
        <v>44466</v>
      </c>
      <c r="R609" s="123">
        <v>44472</v>
      </c>
      <c r="S609" s="124">
        <v>39</v>
      </c>
      <c r="T609" s="124">
        <v>39</v>
      </c>
      <c r="U609" s="124">
        <v>5</v>
      </c>
      <c r="V609" s="125">
        <v>0</v>
      </c>
      <c r="W609" s="124">
        <v>0</v>
      </c>
      <c r="X609" s="126">
        <v>1</v>
      </c>
      <c r="Y609" s="126">
        <v>0</v>
      </c>
      <c r="Z609" s="126">
        <v>0</v>
      </c>
      <c r="AC609" s="125">
        <v>0</v>
      </c>
      <c r="AD609" s="124">
        <v>0</v>
      </c>
    </row>
    <row r="610" spans="1:30">
      <c r="A610" s="127" t="s">
        <v>1102</v>
      </c>
      <c r="B610" s="127" t="s">
        <v>1649</v>
      </c>
      <c r="C610" s="127" t="s">
        <v>1104</v>
      </c>
      <c r="D610" s="127" t="s">
        <v>1571</v>
      </c>
      <c r="E610" s="127" t="s">
        <v>1649</v>
      </c>
      <c r="M610" s="127" t="s">
        <v>1643</v>
      </c>
      <c r="N610" s="127" t="s">
        <v>1406</v>
      </c>
      <c r="O610" s="123">
        <v>44468</v>
      </c>
      <c r="P610" s="123">
        <v>44477</v>
      </c>
      <c r="Q610" s="123">
        <v>44466</v>
      </c>
      <c r="R610" s="123">
        <v>44472</v>
      </c>
      <c r="S610" s="124">
        <v>39</v>
      </c>
      <c r="T610" s="124">
        <v>39</v>
      </c>
      <c r="U610" s="124">
        <v>3</v>
      </c>
      <c r="V610" s="125">
        <v>0</v>
      </c>
      <c r="W610" s="124">
        <v>0</v>
      </c>
      <c r="X610" s="126">
        <v>1</v>
      </c>
      <c r="Y610" s="126">
        <v>0</v>
      </c>
      <c r="Z610" s="126">
        <v>0</v>
      </c>
      <c r="AC610" s="125">
        <v>0</v>
      </c>
      <c r="AD610" s="124">
        <v>0</v>
      </c>
    </row>
    <row r="611" spans="1:30">
      <c r="A611" s="127" t="s">
        <v>1102</v>
      </c>
      <c r="B611" s="127" t="s">
        <v>1649</v>
      </c>
      <c r="C611" s="127" t="s">
        <v>1104</v>
      </c>
      <c r="D611" s="127" t="s">
        <v>1571</v>
      </c>
      <c r="E611" s="127" t="s">
        <v>1649</v>
      </c>
      <c r="M611" s="127" t="s">
        <v>1643</v>
      </c>
      <c r="N611" s="127" t="s">
        <v>1406</v>
      </c>
      <c r="O611" s="123">
        <v>44468</v>
      </c>
      <c r="P611" s="123">
        <v>44477</v>
      </c>
      <c r="Q611" s="123">
        <v>44473</v>
      </c>
      <c r="R611" s="123">
        <v>44479</v>
      </c>
      <c r="S611" s="124">
        <v>40</v>
      </c>
      <c r="T611" s="124">
        <v>40</v>
      </c>
      <c r="U611" s="124">
        <v>5</v>
      </c>
      <c r="V611" s="125">
        <v>0</v>
      </c>
      <c r="W611" s="124">
        <v>0</v>
      </c>
      <c r="X611" s="126">
        <v>1</v>
      </c>
      <c r="Y611" s="126">
        <v>0</v>
      </c>
      <c r="Z611" s="126">
        <v>0</v>
      </c>
      <c r="AC611" s="125">
        <v>0</v>
      </c>
      <c r="AD611" s="124">
        <v>0</v>
      </c>
    </row>
    <row r="612" spans="1:30">
      <c r="A612" s="127" t="s">
        <v>1102</v>
      </c>
      <c r="B612" s="127" t="s">
        <v>1650</v>
      </c>
      <c r="C612" s="127" t="s">
        <v>1104</v>
      </c>
      <c r="D612" s="127" t="s">
        <v>1571</v>
      </c>
      <c r="E612" s="127" t="s">
        <v>1650</v>
      </c>
      <c r="M612" s="127" t="s">
        <v>1640</v>
      </c>
      <c r="N612" s="127" t="s">
        <v>1406</v>
      </c>
      <c r="O612" s="123">
        <v>44462</v>
      </c>
      <c r="P612" s="123">
        <v>44470</v>
      </c>
      <c r="Q612" s="123">
        <v>44459</v>
      </c>
      <c r="R612" s="123">
        <v>44465</v>
      </c>
      <c r="S612" s="124">
        <v>38</v>
      </c>
      <c r="T612" s="124">
        <v>38</v>
      </c>
      <c r="U612" s="124">
        <v>2</v>
      </c>
      <c r="V612" s="125">
        <v>0</v>
      </c>
      <c r="W612" s="124">
        <v>0</v>
      </c>
      <c r="X612" s="126">
        <v>1</v>
      </c>
      <c r="Y612" s="126">
        <v>0</v>
      </c>
      <c r="Z612" s="126">
        <v>0</v>
      </c>
      <c r="AC612" s="125">
        <v>0</v>
      </c>
      <c r="AD612" s="124">
        <v>0</v>
      </c>
    </row>
    <row r="613" spans="1:30">
      <c r="A613" s="127" t="s">
        <v>1102</v>
      </c>
      <c r="B613" s="127" t="s">
        <v>1650</v>
      </c>
      <c r="C613" s="127" t="s">
        <v>1104</v>
      </c>
      <c r="D613" s="127" t="s">
        <v>1571</v>
      </c>
      <c r="E613" s="127" t="s">
        <v>1650</v>
      </c>
      <c r="M613" s="127" t="s">
        <v>1640</v>
      </c>
      <c r="N613" s="127" t="s">
        <v>1406</v>
      </c>
      <c r="O613" s="123">
        <v>44462</v>
      </c>
      <c r="P613" s="123">
        <v>44470</v>
      </c>
      <c r="Q613" s="123">
        <v>44466</v>
      </c>
      <c r="R613" s="123">
        <v>44472</v>
      </c>
      <c r="S613" s="124">
        <v>39</v>
      </c>
      <c r="T613" s="124">
        <v>39</v>
      </c>
      <c r="U613" s="124">
        <v>5</v>
      </c>
      <c r="V613" s="125">
        <v>0</v>
      </c>
      <c r="W613" s="124">
        <v>0</v>
      </c>
      <c r="X613" s="126">
        <v>1</v>
      </c>
      <c r="Y613" s="126">
        <v>0</v>
      </c>
      <c r="Z613" s="126">
        <v>0</v>
      </c>
      <c r="AC613" s="125">
        <v>0</v>
      </c>
      <c r="AD613" s="124">
        <v>0</v>
      </c>
    </row>
    <row r="614" spans="1:30">
      <c r="A614" s="127" t="s">
        <v>1102</v>
      </c>
      <c r="B614" s="127" t="s">
        <v>1651</v>
      </c>
      <c r="C614" s="127" t="s">
        <v>1104</v>
      </c>
      <c r="D614" s="127" t="s">
        <v>1571</v>
      </c>
      <c r="E614" s="127" t="s">
        <v>1651</v>
      </c>
      <c r="M614" s="127" t="s">
        <v>1641</v>
      </c>
      <c r="N614" s="127" t="s">
        <v>1406</v>
      </c>
      <c r="O614" s="123">
        <v>44468</v>
      </c>
      <c r="P614" s="123">
        <v>44477</v>
      </c>
      <c r="Q614" s="123">
        <v>44466</v>
      </c>
      <c r="R614" s="123">
        <v>44472</v>
      </c>
      <c r="S614" s="124">
        <v>39</v>
      </c>
      <c r="T614" s="124">
        <v>39</v>
      </c>
      <c r="U614" s="124">
        <v>3</v>
      </c>
      <c r="V614" s="125">
        <v>0</v>
      </c>
      <c r="W614" s="124">
        <v>0</v>
      </c>
      <c r="X614" s="126">
        <v>1</v>
      </c>
      <c r="Y614" s="126">
        <v>0</v>
      </c>
      <c r="Z614" s="126">
        <v>0</v>
      </c>
      <c r="AC614" s="125">
        <v>0</v>
      </c>
      <c r="AD614" s="124">
        <v>0</v>
      </c>
    </row>
    <row r="615" spans="1:30">
      <c r="A615" s="127" t="s">
        <v>1102</v>
      </c>
      <c r="B615" s="127" t="s">
        <v>1651</v>
      </c>
      <c r="C615" s="127" t="s">
        <v>1104</v>
      </c>
      <c r="D615" s="127" t="s">
        <v>1571</v>
      </c>
      <c r="E615" s="127" t="s">
        <v>1651</v>
      </c>
      <c r="M615" s="127" t="s">
        <v>1641</v>
      </c>
      <c r="N615" s="127" t="s">
        <v>1406</v>
      </c>
      <c r="O615" s="123">
        <v>44468</v>
      </c>
      <c r="P615" s="123">
        <v>44477</v>
      </c>
      <c r="Q615" s="123">
        <v>44473</v>
      </c>
      <c r="R615" s="123">
        <v>44479</v>
      </c>
      <c r="S615" s="124">
        <v>40</v>
      </c>
      <c r="T615" s="124">
        <v>40</v>
      </c>
      <c r="U615" s="124">
        <v>5</v>
      </c>
      <c r="V615" s="125">
        <v>0</v>
      </c>
      <c r="W615" s="124">
        <v>0</v>
      </c>
      <c r="X615" s="126">
        <v>1</v>
      </c>
      <c r="Y615" s="126">
        <v>0</v>
      </c>
      <c r="Z615" s="126">
        <v>0</v>
      </c>
      <c r="AC615" s="125">
        <v>0</v>
      </c>
      <c r="AD615" s="124">
        <v>0</v>
      </c>
    </row>
    <row r="616" spans="1:30">
      <c r="A616" s="127" t="s">
        <v>1102</v>
      </c>
      <c r="B616" s="127" t="s">
        <v>1652</v>
      </c>
      <c r="C616" s="127" t="s">
        <v>1104</v>
      </c>
      <c r="D616" s="127" t="s">
        <v>1571</v>
      </c>
      <c r="E616" s="127" t="s">
        <v>1652</v>
      </c>
      <c r="M616" s="127" t="s">
        <v>1638</v>
      </c>
      <c r="N616" s="127" t="s">
        <v>1406</v>
      </c>
      <c r="O616" s="123">
        <v>44480</v>
      </c>
      <c r="P616" s="123">
        <v>44491</v>
      </c>
      <c r="Q616" s="123">
        <v>44480</v>
      </c>
      <c r="R616" s="123">
        <v>44486</v>
      </c>
      <c r="S616" s="124">
        <v>41</v>
      </c>
      <c r="T616" s="124">
        <v>41</v>
      </c>
      <c r="U616" s="124">
        <v>5</v>
      </c>
      <c r="V616" s="125">
        <v>0</v>
      </c>
      <c r="W616" s="124">
        <v>0</v>
      </c>
      <c r="X616" s="126">
        <v>1</v>
      </c>
      <c r="Y616" s="126">
        <v>0</v>
      </c>
      <c r="Z616" s="126">
        <v>0</v>
      </c>
      <c r="AC616" s="125">
        <v>0</v>
      </c>
      <c r="AD616" s="124">
        <v>0</v>
      </c>
    </row>
    <row r="617" spans="1:30">
      <c r="A617" s="127" t="s">
        <v>1102</v>
      </c>
      <c r="B617" s="127" t="s">
        <v>1652</v>
      </c>
      <c r="C617" s="127" t="s">
        <v>1104</v>
      </c>
      <c r="D617" s="127" t="s">
        <v>1571</v>
      </c>
      <c r="E617" s="127" t="s">
        <v>1652</v>
      </c>
      <c r="M617" s="127" t="s">
        <v>1638</v>
      </c>
      <c r="N617" s="127" t="s">
        <v>1406</v>
      </c>
      <c r="O617" s="123">
        <v>44480</v>
      </c>
      <c r="P617" s="123">
        <v>44491</v>
      </c>
      <c r="Q617" s="123">
        <v>44487</v>
      </c>
      <c r="R617" s="123">
        <v>44493</v>
      </c>
      <c r="S617" s="124">
        <v>42</v>
      </c>
      <c r="T617" s="124">
        <v>42</v>
      </c>
      <c r="U617" s="124">
        <v>5</v>
      </c>
      <c r="V617" s="125">
        <v>0</v>
      </c>
      <c r="W617" s="124">
        <v>0</v>
      </c>
      <c r="X617" s="126">
        <v>1</v>
      </c>
      <c r="Y617" s="126">
        <v>0</v>
      </c>
      <c r="Z617" s="126">
        <v>0</v>
      </c>
      <c r="AC617" s="125">
        <v>0</v>
      </c>
      <c r="AD617" s="124">
        <v>0</v>
      </c>
    </row>
    <row r="618" spans="1:30">
      <c r="A618" s="127" t="s">
        <v>1102</v>
      </c>
      <c r="B618" s="127" t="s">
        <v>1653</v>
      </c>
      <c r="C618" s="127" t="s">
        <v>1104</v>
      </c>
      <c r="D618" s="127" t="s">
        <v>1571</v>
      </c>
      <c r="E618" s="127" t="s">
        <v>1653</v>
      </c>
      <c r="M618" s="127" t="s">
        <v>1639</v>
      </c>
      <c r="N618" s="127" t="s">
        <v>1406</v>
      </c>
      <c r="O618" s="123">
        <v>44480</v>
      </c>
      <c r="P618" s="123">
        <v>44498</v>
      </c>
      <c r="Q618" s="123">
        <v>44480</v>
      </c>
      <c r="R618" s="123">
        <v>44486</v>
      </c>
      <c r="S618" s="124">
        <v>41</v>
      </c>
      <c r="T618" s="124">
        <v>41</v>
      </c>
      <c r="U618" s="124">
        <v>5</v>
      </c>
      <c r="V618" s="125">
        <v>0</v>
      </c>
      <c r="W618" s="124">
        <v>0</v>
      </c>
      <c r="X618" s="126">
        <v>1</v>
      </c>
      <c r="Y618" s="126">
        <v>0</v>
      </c>
      <c r="Z618" s="126">
        <v>0</v>
      </c>
      <c r="AC618" s="125">
        <v>0</v>
      </c>
      <c r="AD618" s="124">
        <v>0</v>
      </c>
    </row>
    <row r="619" spans="1:30">
      <c r="A619" s="127" t="s">
        <v>1102</v>
      </c>
      <c r="B619" s="127" t="s">
        <v>1653</v>
      </c>
      <c r="C619" s="127" t="s">
        <v>1104</v>
      </c>
      <c r="D619" s="127" t="s">
        <v>1571</v>
      </c>
      <c r="E619" s="127" t="s">
        <v>1653</v>
      </c>
      <c r="M619" s="127" t="s">
        <v>1639</v>
      </c>
      <c r="N619" s="127" t="s">
        <v>1406</v>
      </c>
      <c r="O619" s="123">
        <v>44480</v>
      </c>
      <c r="P619" s="123">
        <v>44498</v>
      </c>
      <c r="Q619" s="123">
        <v>44487</v>
      </c>
      <c r="R619" s="123">
        <v>44493</v>
      </c>
      <c r="S619" s="124">
        <v>42</v>
      </c>
      <c r="T619" s="124">
        <v>42</v>
      </c>
      <c r="U619" s="124">
        <v>5</v>
      </c>
      <c r="V619" s="125">
        <v>0</v>
      </c>
      <c r="W619" s="124">
        <v>0</v>
      </c>
      <c r="X619" s="126">
        <v>1</v>
      </c>
      <c r="Y619" s="126">
        <v>0</v>
      </c>
      <c r="Z619" s="126">
        <v>0</v>
      </c>
      <c r="AC619" s="125">
        <v>0</v>
      </c>
      <c r="AD619" s="124">
        <v>0</v>
      </c>
    </row>
    <row r="620" spans="1:30">
      <c r="A620" s="127" t="s">
        <v>1102</v>
      </c>
      <c r="B620" s="127" t="s">
        <v>1653</v>
      </c>
      <c r="C620" s="127" t="s">
        <v>1104</v>
      </c>
      <c r="D620" s="127" t="s">
        <v>1571</v>
      </c>
      <c r="E620" s="127" t="s">
        <v>1653</v>
      </c>
      <c r="M620" s="127" t="s">
        <v>1639</v>
      </c>
      <c r="N620" s="127" t="s">
        <v>1406</v>
      </c>
      <c r="O620" s="123">
        <v>44480</v>
      </c>
      <c r="P620" s="123">
        <v>44498</v>
      </c>
      <c r="Q620" s="123">
        <v>44494</v>
      </c>
      <c r="R620" s="123">
        <v>44500</v>
      </c>
      <c r="S620" s="124">
        <v>43</v>
      </c>
      <c r="T620" s="124">
        <v>43</v>
      </c>
      <c r="U620" s="124">
        <v>5</v>
      </c>
      <c r="V620" s="125">
        <v>0</v>
      </c>
      <c r="W620" s="124">
        <v>0</v>
      </c>
      <c r="X620" s="126">
        <v>1</v>
      </c>
      <c r="Y620" s="126">
        <v>0</v>
      </c>
      <c r="Z620" s="126">
        <v>0</v>
      </c>
      <c r="AC620" s="125">
        <v>0</v>
      </c>
      <c r="AD620" s="124">
        <v>0</v>
      </c>
    </row>
    <row r="621" spans="1:30">
      <c r="A621" s="127" t="s">
        <v>1102</v>
      </c>
      <c r="B621" s="127" t="s">
        <v>1711</v>
      </c>
      <c r="C621" s="127" t="s">
        <v>1104</v>
      </c>
      <c r="D621" s="127" t="s">
        <v>1571</v>
      </c>
      <c r="E621" s="127" t="s">
        <v>1711</v>
      </c>
      <c r="M621" s="127" t="s">
        <v>1557</v>
      </c>
      <c r="N621" s="127" t="s">
        <v>1406</v>
      </c>
      <c r="O621" s="123">
        <v>44501</v>
      </c>
      <c r="P621" s="123">
        <v>44561</v>
      </c>
      <c r="Q621" s="123">
        <v>44501</v>
      </c>
      <c r="R621" s="123">
        <v>44507</v>
      </c>
      <c r="S621" s="124">
        <v>44</v>
      </c>
      <c r="T621" s="124">
        <v>44</v>
      </c>
      <c r="U621" s="124">
        <v>5</v>
      </c>
      <c r="V621" s="125">
        <v>0</v>
      </c>
      <c r="W621" s="124">
        <v>0</v>
      </c>
      <c r="X621" s="126">
        <v>1</v>
      </c>
      <c r="Y621" s="126">
        <v>0</v>
      </c>
      <c r="Z621" s="126">
        <v>0</v>
      </c>
      <c r="AC621" s="125">
        <v>0</v>
      </c>
      <c r="AD621" s="124">
        <v>0</v>
      </c>
    </row>
    <row r="622" spans="1:30">
      <c r="A622" s="127" t="s">
        <v>1102</v>
      </c>
      <c r="B622" s="127" t="s">
        <v>1711</v>
      </c>
      <c r="C622" s="127" t="s">
        <v>1104</v>
      </c>
      <c r="D622" s="127" t="s">
        <v>1571</v>
      </c>
      <c r="E622" s="127" t="s">
        <v>1711</v>
      </c>
      <c r="M622" s="127" t="s">
        <v>1557</v>
      </c>
      <c r="N622" s="127" t="s">
        <v>1406</v>
      </c>
      <c r="O622" s="123">
        <v>44501</v>
      </c>
      <c r="P622" s="123">
        <v>44561</v>
      </c>
      <c r="Q622" s="123">
        <v>44508</v>
      </c>
      <c r="R622" s="123">
        <v>44514</v>
      </c>
      <c r="S622" s="124">
        <v>45</v>
      </c>
      <c r="T622" s="124">
        <v>45</v>
      </c>
      <c r="U622" s="124">
        <v>5</v>
      </c>
      <c r="V622" s="125">
        <v>0</v>
      </c>
      <c r="W622" s="124">
        <v>0</v>
      </c>
      <c r="X622" s="126">
        <v>1</v>
      </c>
      <c r="Y622" s="126">
        <v>0</v>
      </c>
      <c r="Z622" s="126">
        <v>0</v>
      </c>
      <c r="AC622" s="125">
        <v>0</v>
      </c>
      <c r="AD622" s="124">
        <v>0</v>
      </c>
    </row>
    <row r="623" spans="1:30">
      <c r="A623" s="127" t="s">
        <v>1102</v>
      </c>
      <c r="B623" s="127" t="s">
        <v>1711</v>
      </c>
      <c r="C623" s="127" t="s">
        <v>1104</v>
      </c>
      <c r="D623" s="127" t="s">
        <v>1571</v>
      </c>
      <c r="E623" s="127" t="s">
        <v>1711</v>
      </c>
      <c r="M623" s="127" t="s">
        <v>1557</v>
      </c>
      <c r="N623" s="127" t="s">
        <v>1406</v>
      </c>
      <c r="O623" s="123">
        <v>44501</v>
      </c>
      <c r="P623" s="123">
        <v>44561</v>
      </c>
      <c r="Q623" s="123">
        <v>44515</v>
      </c>
      <c r="R623" s="123">
        <v>44521</v>
      </c>
      <c r="S623" s="124">
        <v>46</v>
      </c>
      <c r="T623" s="124">
        <v>46</v>
      </c>
      <c r="U623" s="124">
        <v>5</v>
      </c>
      <c r="V623" s="125">
        <v>0</v>
      </c>
      <c r="W623" s="124">
        <v>0</v>
      </c>
      <c r="X623" s="126">
        <v>1</v>
      </c>
      <c r="Y623" s="126">
        <v>0</v>
      </c>
      <c r="Z623" s="126">
        <v>0</v>
      </c>
      <c r="AC623" s="125">
        <v>0</v>
      </c>
      <c r="AD623" s="124">
        <v>0</v>
      </c>
    </row>
    <row r="624" spans="1:30">
      <c r="A624" s="127" t="s">
        <v>1102</v>
      </c>
      <c r="B624" s="127" t="s">
        <v>1711</v>
      </c>
      <c r="C624" s="127" t="s">
        <v>1104</v>
      </c>
      <c r="D624" s="127" t="s">
        <v>1571</v>
      </c>
      <c r="E624" s="127" t="s">
        <v>1711</v>
      </c>
      <c r="M624" s="127" t="s">
        <v>1557</v>
      </c>
      <c r="N624" s="127" t="s">
        <v>1406</v>
      </c>
      <c r="O624" s="123">
        <v>44501</v>
      </c>
      <c r="P624" s="123">
        <v>44561</v>
      </c>
      <c r="Q624" s="123">
        <v>44522</v>
      </c>
      <c r="R624" s="123">
        <v>44528</v>
      </c>
      <c r="S624" s="124">
        <v>47</v>
      </c>
      <c r="T624" s="124">
        <v>47</v>
      </c>
      <c r="U624" s="124">
        <v>5</v>
      </c>
      <c r="V624" s="125">
        <v>0</v>
      </c>
      <c r="W624" s="124">
        <v>0</v>
      </c>
      <c r="X624" s="126">
        <v>1</v>
      </c>
      <c r="Y624" s="126">
        <v>0</v>
      </c>
      <c r="Z624" s="126">
        <v>0</v>
      </c>
      <c r="AC624" s="125">
        <v>0</v>
      </c>
      <c r="AD624" s="124">
        <v>0</v>
      </c>
    </row>
    <row r="625" spans="1:30">
      <c r="A625" s="127" t="s">
        <v>1102</v>
      </c>
      <c r="B625" s="127" t="s">
        <v>1711</v>
      </c>
      <c r="C625" s="127" t="s">
        <v>1104</v>
      </c>
      <c r="D625" s="127" t="s">
        <v>1571</v>
      </c>
      <c r="E625" s="127" t="s">
        <v>1711</v>
      </c>
      <c r="M625" s="127" t="s">
        <v>1557</v>
      </c>
      <c r="N625" s="127" t="s">
        <v>1406</v>
      </c>
      <c r="O625" s="123">
        <v>44501</v>
      </c>
      <c r="P625" s="123">
        <v>44561</v>
      </c>
      <c r="Q625" s="123">
        <v>44529</v>
      </c>
      <c r="R625" s="123">
        <v>44535</v>
      </c>
      <c r="S625" s="124">
        <v>48</v>
      </c>
      <c r="T625" s="124">
        <v>48</v>
      </c>
      <c r="U625" s="124">
        <v>5</v>
      </c>
      <c r="V625" s="125">
        <v>0</v>
      </c>
      <c r="W625" s="124">
        <v>0</v>
      </c>
      <c r="X625" s="126">
        <v>1</v>
      </c>
      <c r="Y625" s="126">
        <v>0</v>
      </c>
      <c r="Z625" s="126">
        <v>0</v>
      </c>
      <c r="AC625" s="125">
        <v>0</v>
      </c>
      <c r="AD625" s="124">
        <v>0</v>
      </c>
    </row>
    <row r="626" spans="1:30">
      <c r="A626" s="127" t="s">
        <v>1102</v>
      </c>
      <c r="B626" s="127" t="s">
        <v>1711</v>
      </c>
      <c r="C626" s="127" t="s">
        <v>1104</v>
      </c>
      <c r="D626" s="127" t="s">
        <v>1571</v>
      </c>
      <c r="E626" s="127" t="s">
        <v>1711</v>
      </c>
      <c r="M626" s="127" t="s">
        <v>1557</v>
      </c>
      <c r="N626" s="127" t="s">
        <v>1406</v>
      </c>
      <c r="O626" s="123">
        <v>44501</v>
      </c>
      <c r="P626" s="123">
        <v>44561</v>
      </c>
      <c r="Q626" s="123">
        <v>44536</v>
      </c>
      <c r="R626" s="123">
        <v>44542</v>
      </c>
      <c r="S626" s="124">
        <v>49</v>
      </c>
      <c r="T626" s="124">
        <v>49</v>
      </c>
      <c r="U626" s="124">
        <v>5</v>
      </c>
      <c r="V626" s="125">
        <v>0</v>
      </c>
      <c r="W626" s="124">
        <v>0</v>
      </c>
      <c r="X626" s="126">
        <v>1</v>
      </c>
      <c r="Y626" s="126">
        <v>0</v>
      </c>
      <c r="Z626" s="126">
        <v>0</v>
      </c>
      <c r="AC626" s="125">
        <v>0</v>
      </c>
      <c r="AD626" s="124">
        <v>0</v>
      </c>
    </row>
    <row r="627" spans="1:30">
      <c r="A627" s="127" t="s">
        <v>1102</v>
      </c>
      <c r="B627" s="127" t="s">
        <v>1711</v>
      </c>
      <c r="C627" s="127" t="s">
        <v>1104</v>
      </c>
      <c r="D627" s="127" t="s">
        <v>1571</v>
      </c>
      <c r="E627" s="127" t="s">
        <v>1711</v>
      </c>
      <c r="M627" s="127" t="s">
        <v>1557</v>
      </c>
      <c r="N627" s="127" t="s">
        <v>1406</v>
      </c>
      <c r="O627" s="123">
        <v>44501</v>
      </c>
      <c r="P627" s="123">
        <v>44561</v>
      </c>
      <c r="Q627" s="123">
        <v>44543</v>
      </c>
      <c r="R627" s="123">
        <v>44549</v>
      </c>
      <c r="S627" s="124">
        <v>50</v>
      </c>
      <c r="T627" s="124">
        <v>50</v>
      </c>
      <c r="U627" s="124">
        <v>5</v>
      </c>
      <c r="V627" s="125">
        <v>0</v>
      </c>
      <c r="W627" s="124">
        <v>0</v>
      </c>
      <c r="X627" s="126">
        <v>1</v>
      </c>
      <c r="Y627" s="126">
        <v>0</v>
      </c>
      <c r="Z627" s="126">
        <v>0</v>
      </c>
      <c r="AC627" s="125">
        <v>0</v>
      </c>
      <c r="AD627" s="124">
        <v>0</v>
      </c>
    </row>
    <row r="628" spans="1:30">
      <c r="A628" s="127" t="s">
        <v>1102</v>
      </c>
      <c r="B628" s="127" t="s">
        <v>1711</v>
      </c>
      <c r="C628" s="127" t="s">
        <v>1104</v>
      </c>
      <c r="D628" s="127" t="s">
        <v>1571</v>
      </c>
      <c r="E628" s="127" t="s">
        <v>1711</v>
      </c>
      <c r="M628" s="127" t="s">
        <v>1557</v>
      </c>
      <c r="N628" s="127" t="s">
        <v>1406</v>
      </c>
      <c r="O628" s="123">
        <v>44501</v>
      </c>
      <c r="P628" s="123">
        <v>44561</v>
      </c>
      <c r="Q628" s="123">
        <v>44550</v>
      </c>
      <c r="R628" s="123">
        <v>44556</v>
      </c>
      <c r="S628" s="124">
        <v>51</v>
      </c>
      <c r="T628" s="124">
        <v>51</v>
      </c>
      <c r="U628" s="124">
        <v>5</v>
      </c>
      <c r="V628" s="125">
        <v>0</v>
      </c>
      <c r="W628" s="124">
        <v>0</v>
      </c>
      <c r="X628" s="126">
        <v>1</v>
      </c>
      <c r="Y628" s="126">
        <v>0</v>
      </c>
      <c r="Z628" s="126">
        <v>0</v>
      </c>
      <c r="AC628" s="125">
        <v>0</v>
      </c>
      <c r="AD628" s="124">
        <v>0</v>
      </c>
    </row>
    <row r="629" spans="1:30">
      <c r="A629" s="127" t="s">
        <v>1102</v>
      </c>
      <c r="B629" s="127" t="s">
        <v>1711</v>
      </c>
      <c r="C629" s="127" t="s">
        <v>1104</v>
      </c>
      <c r="D629" s="127" t="s">
        <v>1571</v>
      </c>
      <c r="E629" s="127" t="s">
        <v>1711</v>
      </c>
      <c r="M629" s="127" t="s">
        <v>1557</v>
      </c>
      <c r="N629" s="127" t="s">
        <v>1406</v>
      </c>
      <c r="O629" s="123">
        <v>44501</v>
      </c>
      <c r="P629" s="123">
        <v>44561</v>
      </c>
      <c r="Q629" s="123">
        <v>44557</v>
      </c>
      <c r="R629" s="123">
        <v>44563</v>
      </c>
      <c r="S629" s="124">
        <v>52</v>
      </c>
      <c r="T629" s="124">
        <v>52</v>
      </c>
      <c r="U629" s="124">
        <v>5</v>
      </c>
      <c r="V629" s="125">
        <v>0</v>
      </c>
      <c r="W629" s="124">
        <v>0</v>
      </c>
      <c r="X629" s="126">
        <v>1</v>
      </c>
      <c r="Y629" s="126">
        <v>0</v>
      </c>
      <c r="Z629" s="126">
        <v>0</v>
      </c>
      <c r="AC629" s="125">
        <v>0</v>
      </c>
      <c r="AD629" s="124">
        <v>0</v>
      </c>
    </row>
    <row r="630" spans="1:30">
      <c r="A630" s="127" t="s">
        <v>1102</v>
      </c>
      <c r="B630" s="127" t="s">
        <v>1591</v>
      </c>
      <c r="C630" s="127" t="s">
        <v>1104</v>
      </c>
      <c r="D630" s="127" t="s">
        <v>1572</v>
      </c>
      <c r="E630" s="127" t="s">
        <v>1591</v>
      </c>
      <c r="M630" s="127" t="s">
        <v>1574</v>
      </c>
      <c r="N630" s="127" t="s">
        <v>1406</v>
      </c>
      <c r="O630" s="123">
        <v>44410</v>
      </c>
      <c r="P630" s="123">
        <v>44416</v>
      </c>
      <c r="Q630" s="123">
        <v>44410</v>
      </c>
      <c r="R630" s="123">
        <v>44416</v>
      </c>
      <c r="S630" s="124">
        <v>31</v>
      </c>
      <c r="T630" s="124">
        <v>31</v>
      </c>
      <c r="U630" s="124">
        <v>5</v>
      </c>
      <c r="V630" s="125">
        <v>0</v>
      </c>
      <c r="W630" s="124">
        <v>0</v>
      </c>
      <c r="X630" s="126">
        <v>1</v>
      </c>
      <c r="Y630" s="126">
        <v>0</v>
      </c>
      <c r="Z630" s="126">
        <v>0</v>
      </c>
      <c r="AC630" s="125">
        <v>0</v>
      </c>
      <c r="AD630" s="124">
        <v>0</v>
      </c>
    </row>
    <row r="631" spans="1:30">
      <c r="A631" s="127" t="s">
        <v>1102</v>
      </c>
      <c r="B631" s="127" t="s">
        <v>1592</v>
      </c>
      <c r="C631" s="127" t="s">
        <v>1104</v>
      </c>
      <c r="D631" s="127" t="s">
        <v>1572</v>
      </c>
      <c r="E631" s="127" t="s">
        <v>1592</v>
      </c>
      <c r="M631" s="127" t="s">
        <v>1575</v>
      </c>
      <c r="N631" s="127" t="s">
        <v>1406</v>
      </c>
      <c r="O631" s="123">
        <v>44417</v>
      </c>
      <c r="P631" s="123">
        <v>44422</v>
      </c>
      <c r="Q631" s="123">
        <v>44417</v>
      </c>
      <c r="R631" s="123">
        <v>44423</v>
      </c>
      <c r="S631" s="124">
        <v>32</v>
      </c>
      <c r="T631" s="124">
        <v>32</v>
      </c>
      <c r="U631" s="124">
        <v>5</v>
      </c>
      <c r="V631" s="125">
        <v>0</v>
      </c>
      <c r="W631" s="124">
        <v>0</v>
      </c>
      <c r="X631" s="126">
        <v>1</v>
      </c>
      <c r="Y631" s="126">
        <v>0</v>
      </c>
      <c r="Z631" s="126">
        <v>0</v>
      </c>
      <c r="AC631" s="125">
        <v>0</v>
      </c>
      <c r="AD631" s="124">
        <v>0</v>
      </c>
    </row>
    <row r="632" spans="1:30">
      <c r="A632" s="127" t="s">
        <v>1104</v>
      </c>
      <c r="B632" s="127" t="s">
        <v>1595</v>
      </c>
      <c r="C632" s="127" t="s">
        <v>1104</v>
      </c>
      <c r="D632" s="127" t="s">
        <v>1572</v>
      </c>
      <c r="E632" s="127" t="s">
        <v>1593</v>
      </c>
      <c r="F632" s="127" t="s">
        <v>1594</v>
      </c>
      <c r="G632" s="127" t="s">
        <v>1595</v>
      </c>
      <c r="M632" s="127" t="s">
        <v>1578</v>
      </c>
      <c r="N632" s="127" t="s">
        <v>1406</v>
      </c>
      <c r="O632" s="123">
        <v>44424</v>
      </c>
      <c r="P632" s="123">
        <v>44426</v>
      </c>
      <c r="Q632" s="123">
        <v>44424</v>
      </c>
      <c r="R632" s="123">
        <v>44430</v>
      </c>
      <c r="S632" s="124">
        <v>33</v>
      </c>
      <c r="T632" s="124">
        <v>33</v>
      </c>
      <c r="U632" s="124">
        <v>3</v>
      </c>
      <c r="V632" s="125">
        <v>0</v>
      </c>
      <c r="W632" s="124">
        <v>0</v>
      </c>
      <c r="X632" s="126">
        <v>1</v>
      </c>
      <c r="Y632" s="126">
        <v>0</v>
      </c>
      <c r="Z632" s="126">
        <v>0</v>
      </c>
      <c r="AC632" s="125">
        <v>0</v>
      </c>
      <c r="AD632" s="124">
        <v>0</v>
      </c>
    </row>
    <row r="633" spans="1:30">
      <c r="A633" s="127" t="s">
        <v>1104</v>
      </c>
      <c r="B633" s="127" t="s">
        <v>1596</v>
      </c>
      <c r="C633" s="127" t="s">
        <v>1104</v>
      </c>
      <c r="D633" s="127" t="s">
        <v>1572</v>
      </c>
      <c r="E633" s="127" t="s">
        <v>1593</v>
      </c>
      <c r="F633" s="127" t="s">
        <v>1594</v>
      </c>
      <c r="G633" s="127" t="s">
        <v>1596</v>
      </c>
      <c r="M633" s="127" t="s">
        <v>1579</v>
      </c>
      <c r="N633" s="127" t="s">
        <v>1406</v>
      </c>
      <c r="O633" s="123">
        <v>44425</v>
      </c>
      <c r="P633" s="123">
        <v>44427</v>
      </c>
      <c r="Q633" s="123">
        <v>44424</v>
      </c>
      <c r="R633" s="123">
        <v>44430</v>
      </c>
      <c r="S633" s="124">
        <v>33</v>
      </c>
      <c r="T633" s="124">
        <v>33</v>
      </c>
      <c r="U633" s="124">
        <v>3</v>
      </c>
      <c r="V633" s="125">
        <v>0</v>
      </c>
      <c r="W633" s="124">
        <v>0</v>
      </c>
      <c r="X633" s="126">
        <v>1</v>
      </c>
      <c r="Y633" s="126">
        <v>0</v>
      </c>
      <c r="Z633" s="126">
        <v>0</v>
      </c>
      <c r="AC633" s="125">
        <v>0</v>
      </c>
      <c r="AD633" s="124">
        <v>0</v>
      </c>
    </row>
    <row r="634" spans="1:30">
      <c r="A634" s="127" t="s">
        <v>1104</v>
      </c>
      <c r="B634" s="127" t="s">
        <v>1597</v>
      </c>
      <c r="C634" s="127" t="s">
        <v>1104</v>
      </c>
      <c r="D634" s="127" t="s">
        <v>1572</v>
      </c>
      <c r="E634" s="127" t="s">
        <v>1593</v>
      </c>
      <c r="F634" s="127" t="s">
        <v>1594</v>
      </c>
      <c r="G634" s="127" t="s">
        <v>1597</v>
      </c>
      <c r="M634" s="127" t="s">
        <v>1580</v>
      </c>
      <c r="N634" s="127" t="s">
        <v>1406</v>
      </c>
      <c r="O634" s="123">
        <v>44427</v>
      </c>
      <c r="P634" s="123">
        <v>44428</v>
      </c>
      <c r="Q634" s="123">
        <v>44424</v>
      </c>
      <c r="R634" s="123">
        <v>44430</v>
      </c>
      <c r="S634" s="124">
        <v>33</v>
      </c>
      <c r="T634" s="124">
        <v>33</v>
      </c>
      <c r="U634" s="124">
        <v>2</v>
      </c>
      <c r="V634" s="125">
        <v>0</v>
      </c>
      <c r="W634" s="124">
        <v>0</v>
      </c>
      <c r="X634" s="126">
        <v>1</v>
      </c>
      <c r="Y634" s="126">
        <v>0</v>
      </c>
      <c r="Z634" s="126">
        <v>0</v>
      </c>
      <c r="AC634" s="125">
        <v>0</v>
      </c>
      <c r="AD634" s="124">
        <v>0</v>
      </c>
    </row>
    <row r="635" spans="1:30">
      <c r="A635" s="127" t="s">
        <v>1104</v>
      </c>
      <c r="B635" s="127" t="s">
        <v>1598</v>
      </c>
      <c r="C635" s="127" t="s">
        <v>1104</v>
      </c>
      <c r="D635" s="127" t="s">
        <v>1572</v>
      </c>
      <c r="E635" s="127" t="s">
        <v>1593</v>
      </c>
      <c r="F635" s="127" t="s">
        <v>1594</v>
      </c>
      <c r="G635" s="127" t="s">
        <v>1598</v>
      </c>
      <c r="M635" s="127" t="s">
        <v>1581</v>
      </c>
      <c r="N635" s="127" t="s">
        <v>1406</v>
      </c>
      <c r="O635" s="123">
        <v>44428</v>
      </c>
      <c r="P635" s="123">
        <v>44428</v>
      </c>
      <c r="Q635" s="123">
        <v>44424</v>
      </c>
      <c r="R635" s="123">
        <v>44430</v>
      </c>
      <c r="S635" s="124">
        <v>33</v>
      </c>
      <c r="T635" s="124">
        <v>33</v>
      </c>
      <c r="U635" s="124">
        <v>1</v>
      </c>
      <c r="V635" s="125">
        <v>0</v>
      </c>
      <c r="W635" s="124">
        <v>0</v>
      </c>
      <c r="X635" s="126">
        <v>1</v>
      </c>
      <c r="Y635" s="126">
        <v>0</v>
      </c>
      <c r="Z635" s="126">
        <v>0</v>
      </c>
      <c r="AC635" s="125">
        <v>0</v>
      </c>
      <c r="AD635" s="124">
        <v>0</v>
      </c>
    </row>
    <row r="636" spans="1:30">
      <c r="A636" s="127" t="s">
        <v>1104</v>
      </c>
      <c r="B636" s="127" t="s">
        <v>1599</v>
      </c>
      <c r="C636" s="127" t="s">
        <v>1104</v>
      </c>
      <c r="D636" s="127" t="s">
        <v>1572</v>
      </c>
      <c r="E636" s="127" t="s">
        <v>1593</v>
      </c>
      <c r="F636" s="127" t="s">
        <v>1594</v>
      </c>
      <c r="G636" s="127" t="s">
        <v>1599</v>
      </c>
      <c r="M636" s="127" t="s">
        <v>1582</v>
      </c>
      <c r="N636" s="127" t="s">
        <v>1406</v>
      </c>
      <c r="O636" s="123">
        <v>44426</v>
      </c>
      <c r="P636" s="123">
        <v>44427</v>
      </c>
      <c r="Q636" s="123">
        <v>44424</v>
      </c>
      <c r="R636" s="123">
        <v>44430</v>
      </c>
      <c r="S636" s="124">
        <v>33</v>
      </c>
      <c r="T636" s="124">
        <v>33</v>
      </c>
      <c r="U636" s="124">
        <v>2</v>
      </c>
      <c r="V636" s="125">
        <v>0</v>
      </c>
      <c r="W636" s="124">
        <v>0</v>
      </c>
      <c r="X636" s="126">
        <v>1</v>
      </c>
      <c r="Y636" s="126">
        <v>0</v>
      </c>
      <c r="Z636" s="126">
        <v>0</v>
      </c>
      <c r="AC636" s="125">
        <v>0</v>
      </c>
      <c r="AD636" s="124">
        <v>0</v>
      </c>
    </row>
    <row r="637" spans="1:30">
      <c r="A637" s="127" t="s">
        <v>1103</v>
      </c>
      <c r="B637" s="127" t="s">
        <v>1600</v>
      </c>
      <c r="C637" s="127" t="s">
        <v>1104</v>
      </c>
      <c r="D637" s="127" t="s">
        <v>1572</v>
      </c>
      <c r="E637" s="127" t="s">
        <v>1593</v>
      </c>
      <c r="F637" s="127" t="s">
        <v>1600</v>
      </c>
      <c r="M637" s="127" t="s">
        <v>1583</v>
      </c>
      <c r="N637" s="127" t="s">
        <v>1406</v>
      </c>
      <c r="O637" s="123">
        <v>44429</v>
      </c>
      <c r="P637" s="123">
        <v>44430</v>
      </c>
      <c r="Q637" s="123">
        <v>44424</v>
      </c>
      <c r="R637" s="123">
        <v>44430</v>
      </c>
      <c r="S637" s="124">
        <v>33</v>
      </c>
      <c r="T637" s="124">
        <v>33</v>
      </c>
      <c r="U637" s="124">
        <v>0</v>
      </c>
      <c r="V637" s="125">
        <v>0</v>
      </c>
      <c r="W637" s="124">
        <v>0</v>
      </c>
      <c r="X637" s="126">
        <v>1</v>
      </c>
      <c r="Y637" s="126">
        <v>0</v>
      </c>
      <c r="Z637" s="126">
        <v>0</v>
      </c>
      <c r="AC637" s="125">
        <v>0</v>
      </c>
      <c r="AD637" s="124">
        <v>0</v>
      </c>
    </row>
    <row r="638" spans="1:30">
      <c r="A638" s="127" t="s">
        <v>1103</v>
      </c>
      <c r="B638" s="127" t="s">
        <v>1601</v>
      </c>
      <c r="C638" s="127" t="s">
        <v>1104</v>
      </c>
      <c r="D638" s="127" t="s">
        <v>1572</v>
      </c>
      <c r="E638" s="127" t="s">
        <v>1593</v>
      </c>
      <c r="F638" s="127" t="s">
        <v>1601</v>
      </c>
      <c r="M638" s="127" t="s">
        <v>1584</v>
      </c>
      <c r="N638" s="127" t="s">
        <v>1406</v>
      </c>
      <c r="O638" s="123">
        <v>44429</v>
      </c>
      <c r="P638" s="123">
        <v>44430</v>
      </c>
      <c r="Q638" s="123">
        <v>44424</v>
      </c>
      <c r="R638" s="123">
        <v>44430</v>
      </c>
      <c r="S638" s="124">
        <v>33</v>
      </c>
      <c r="T638" s="124">
        <v>33</v>
      </c>
      <c r="U638" s="124">
        <v>0</v>
      </c>
      <c r="V638" s="125">
        <v>0</v>
      </c>
      <c r="W638" s="124">
        <v>0</v>
      </c>
      <c r="X638" s="126">
        <v>1</v>
      </c>
      <c r="Y638" s="126">
        <v>0</v>
      </c>
      <c r="Z638" s="126">
        <v>0</v>
      </c>
      <c r="AC638" s="125">
        <v>0</v>
      </c>
      <c r="AD638" s="124">
        <v>0</v>
      </c>
    </row>
    <row r="639" spans="1:30">
      <c r="A639" s="127" t="s">
        <v>1104</v>
      </c>
      <c r="B639" s="127" t="s">
        <v>1604</v>
      </c>
      <c r="C639" s="127" t="s">
        <v>1104</v>
      </c>
      <c r="D639" s="127" t="s">
        <v>1572</v>
      </c>
      <c r="E639" s="127" t="s">
        <v>1602</v>
      </c>
      <c r="F639" s="127" t="s">
        <v>1603</v>
      </c>
      <c r="G639" s="127" t="s">
        <v>1604</v>
      </c>
      <c r="M639" s="127" t="s">
        <v>1578</v>
      </c>
      <c r="N639" s="127" t="s">
        <v>1406</v>
      </c>
      <c r="O639" s="123">
        <v>44431</v>
      </c>
      <c r="P639" s="123">
        <v>44431</v>
      </c>
      <c r="Q639" s="123">
        <v>44431</v>
      </c>
      <c r="R639" s="123">
        <v>44437</v>
      </c>
      <c r="S639" s="124">
        <v>34</v>
      </c>
      <c r="T639" s="124">
        <v>34</v>
      </c>
      <c r="U639" s="124">
        <v>1</v>
      </c>
      <c r="V639" s="125">
        <v>0</v>
      </c>
      <c r="W639" s="124">
        <v>0</v>
      </c>
      <c r="X639" s="126">
        <v>1</v>
      </c>
      <c r="Y639" s="126">
        <v>0</v>
      </c>
      <c r="Z639" s="126">
        <v>0</v>
      </c>
      <c r="AC639" s="125">
        <v>0</v>
      </c>
      <c r="AD639" s="124">
        <v>0</v>
      </c>
    </row>
    <row r="640" spans="1:30">
      <c r="A640" s="127" t="s">
        <v>1104</v>
      </c>
      <c r="B640" s="127" t="s">
        <v>1605</v>
      </c>
      <c r="C640" s="127" t="s">
        <v>1104</v>
      </c>
      <c r="D640" s="127" t="s">
        <v>1572</v>
      </c>
      <c r="E640" s="127" t="s">
        <v>1602</v>
      </c>
      <c r="F640" s="127" t="s">
        <v>1603</v>
      </c>
      <c r="G640" s="127" t="s">
        <v>1605</v>
      </c>
      <c r="M640" s="127" t="s">
        <v>1579</v>
      </c>
      <c r="N640" s="127" t="s">
        <v>1406</v>
      </c>
      <c r="O640" s="123">
        <v>44432</v>
      </c>
      <c r="P640" s="123">
        <v>44432</v>
      </c>
      <c r="Q640" s="123">
        <v>44431</v>
      </c>
      <c r="R640" s="123">
        <v>44437</v>
      </c>
      <c r="S640" s="124">
        <v>34</v>
      </c>
      <c r="T640" s="124">
        <v>34</v>
      </c>
      <c r="U640" s="124">
        <v>1</v>
      </c>
      <c r="V640" s="125">
        <v>0</v>
      </c>
      <c r="W640" s="124">
        <v>0</v>
      </c>
      <c r="X640" s="126">
        <v>1</v>
      </c>
      <c r="Y640" s="126">
        <v>0</v>
      </c>
      <c r="Z640" s="126">
        <v>0</v>
      </c>
      <c r="AC640" s="125">
        <v>0</v>
      </c>
      <c r="AD640" s="124">
        <v>0</v>
      </c>
    </row>
    <row r="641" spans="1:30">
      <c r="A641" s="127" t="s">
        <v>1104</v>
      </c>
      <c r="B641" s="127" t="s">
        <v>1606</v>
      </c>
      <c r="C641" s="127" t="s">
        <v>1104</v>
      </c>
      <c r="D641" s="127" t="s">
        <v>1572</v>
      </c>
      <c r="E641" s="127" t="s">
        <v>1602</v>
      </c>
      <c r="F641" s="127" t="s">
        <v>1603</v>
      </c>
      <c r="G641" s="127" t="s">
        <v>1606</v>
      </c>
      <c r="M641" s="127" t="s">
        <v>1580</v>
      </c>
      <c r="N641" s="127" t="s">
        <v>1406</v>
      </c>
      <c r="O641" s="123">
        <v>44432</v>
      </c>
      <c r="P641" s="123">
        <v>44432</v>
      </c>
      <c r="Q641" s="123">
        <v>44431</v>
      </c>
      <c r="R641" s="123">
        <v>44437</v>
      </c>
      <c r="S641" s="124">
        <v>34</v>
      </c>
      <c r="T641" s="124">
        <v>34</v>
      </c>
      <c r="U641" s="124">
        <v>1</v>
      </c>
      <c r="V641" s="125">
        <v>0</v>
      </c>
      <c r="W641" s="124">
        <v>0</v>
      </c>
      <c r="X641" s="126">
        <v>1</v>
      </c>
      <c r="Y641" s="126">
        <v>0</v>
      </c>
      <c r="Z641" s="126">
        <v>0</v>
      </c>
      <c r="AC641" s="125">
        <v>0</v>
      </c>
      <c r="AD641" s="124">
        <v>0</v>
      </c>
    </row>
    <row r="642" spans="1:30">
      <c r="A642" s="127" t="s">
        <v>1104</v>
      </c>
      <c r="B642" s="127" t="s">
        <v>1607</v>
      </c>
      <c r="C642" s="127" t="s">
        <v>1104</v>
      </c>
      <c r="D642" s="127" t="s">
        <v>1572</v>
      </c>
      <c r="E642" s="127" t="s">
        <v>1602</v>
      </c>
      <c r="F642" s="127" t="s">
        <v>1603</v>
      </c>
      <c r="G642" s="127" t="s">
        <v>1607</v>
      </c>
      <c r="M642" s="127" t="s">
        <v>1581</v>
      </c>
      <c r="N642" s="127" t="s">
        <v>1406</v>
      </c>
      <c r="O642" s="123">
        <v>44432</v>
      </c>
      <c r="P642" s="123">
        <v>44432</v>
      </c>
      <c r="Q642" s="123">
        <v>44431</v>
      </c>
      <c r="R642" s="123">
        <v>44437</v>
      </c>
      <c r="S642" s="124">
        <v>34</v>
      </c>
      <c r="T642" s="124">
        <v>34</v>
      </c>
      <c r="U642" s="124">
        <v>1</v>
      </c>
      <c r="V642" s="125">
        <v>0</v>
      </c>
      <c r="W642" s="124">
        <v>0</v>
      </c>
      <c r="X642" s="126">
        <v>1</v>
      </c>
      <c r="Y642" s="126">
        <v>0</v>
      </c>
      <c r="Z642" s="126">
        <v>0</v>
      </c>
      <c r="AC642" s="125">
        <v>0</v>
      </c>
      <c r="AD642" s="124">
        <v>0</v>
      </c>
    </row>
    <row r="643" spans="1:30">
      <c r="A643" s="127" t="s">
        <v>1104</v>
      </c>
      <c r="B643" s="127" t="s">
        <v>1608</v>
      </c>
      <c r="C643" s="127" t="s">
        <v>1104</v>
      </c>
      <c r="D643" s="127" t="s">
        <v>1572</v>
      </c>
      <c r="E643" s="127" t="s">
        <v>1602</v>
      </c>
      <c r="F643" s="127" t="s">
        <v>1603</v>
      </c>
      <c r="G643" s="127" t="s">
        <v>1608</v>
      </c>
      <c r="M643" s="127" t="s">
        <v>1582</v>
      </c>
      <c r="N643" s="127" t="s">
        <v>1406</v>
      </c>
      <c r="O643" s="123">
        <v>44432</v>
      </c>
      <c r="P643" s="123">
        <v>44432</v>
      </c>
      <c r="Q643" s="123">
        <v>44431</v>
      </c>
      <c r="R643" s="123">
        <v>44437</v>
      </c>
      <c r="S643" s="124">
        <v>34</v>
      </c>
      <c r="T643" s="124">
        <v>34</v>
      </c>
      <c r="U643" s="124">
        <v>1</v>
      </c>
      <c r="V643" s="125">
        <v>0</v>
      </c>
      <c r="W643" s="124">
        <v>0</v>
      </c>
      <c r="X643" s="126">
        <v>1</v>
      </c>
      <c r="Y643" s="126">
        <v>0</v>
      </c>
      <c r="Z643" s="126">
        <v>0</v>
      </c>
      <c r="AC643" s="125">
        <v>0</v>
      </c>
      <c r="AD643" s="124">
        <v>0</v>
      </c>
    </row>
    <row r="644" spans="1:30">
      <c r="A644" s="127" t="s">
        <v>1103</v>
      </c>
      <c r="B644" s="127" t="s">
        <v>1609</v>
      </c>
      <c r="C644" s="127" t="s">
        <v>1104</v>
      </c>
      <c r="D644" s="127" t="s">
        <v>1572</v>
      </c>
      <c r="E644" s="127" t="s">
        <v>1602</v>
      </c>
      <c r="F644" s="127" t="s">
        <v>1609</v>
      </c>
      <c r="M644" s="127" t="s">
        <v>1583</v>
      </c>
      <c r="N644" s="127" t="s">
        <v>1406</v>
      </c>
      <c r="O644" s="123">
        <v>44433</v>
      </c>
      <c r="P644" s="123">
        <v>44433</v>
      </c>
      <c r="Q644" s="123">
        <v>44431</v>
      </c>
      <c r="R644" s="123">
        <v>44437</v>
      </c>
      <c r="S644" s="124">
        <v>34</v>
      </c>
      <c r="T644" s="124">
        <v>34</v>
      </c>
      <c r="U644" s="124">
        <v>1</v>
      </c>
      <c r="V644" s="125">
        <v>0</v>
      </c>
      <c r="W644" s="124">
        <v>0</v>
      </c>
      <c r="X644" s="126">
        <v>1</v>
      </c>
      <c r="Y644" s="126">
        <v>0</v>
      </c>
      <c r="Z644" s="126">
        <v>0</v>
      </c>
      <c r="AC644" s="125">
        <v>0</v>
      </c>
      <c r="AD644" s="124">
        <v>0</v>
      </c>
    </row>
    <row r="645" spans="1:30">
      <c r="A645" s="127" t="s">
        <v>1103</v>
      </c>
      <c r="B645" s="127" t="s">
        <v>1610</v>
      </c>
      <c r="C645" s="127" t="s">
        <v>1104</v>
      </c>
      <c r="D645" s="127" t="s">
        <v>1572</v>
      </c>
      <c r="E645" s="127" t="s">
        <v>1602</v>
      </c>
      <c r="F645" s="127" t="s">
        <v>1610</v>
      </c>
      <c r="M645" s="127" t="s">
        <v>1584</v>
      </c>
      <c r="N645" s="127" t="s">
        <v>1406</v>
      </c>
      <c r="O645" s="123">
        <v>44433</v>
      </c>
      <c r="P645" s="123">
        <v>44433</v>
      </c>
      <c r="Q645" s="123">
        <v>44431</v>
      </c>
      <c r="R645" s="123">
        <v>44437</v>
      </c>
      <c r="S645" s="124">
        <v>34</v>
      </c>
      <c r="T645" s="124">
        <v>34</v>
      </c>
      <c r="U645" s="124">
        <v>1</v>
      </c>
      <c r="V645" s="125">
        <v>0</v>
      </c>
      <c r="W645" s="124">
        <v>0</v>
      </c>
      <c r="X645" s="126">
        <v>1</v>
      </c>
      <c r="Y645" s="126">
        <v>0</v>
      </c>
      <c r="Z645" s="126">
        <v>0</v>
      </c>
      <c r="AC645" s="125">
        <v>0</v>
      </c>
      <c r="AD645" s="124">
        <v>0</v>
      </c>
    </row>
    <row r="646" spans="1:30">
      <c r="A646" s="127" t="s">
        <v>1104</v>
      </c>
      <c r="B646" s="127" t="s">
        <v>1613</v>
      </c>
      <c r="C646" s="127" t="s">
        <v>1104</v>
      </c>
      <c r="D646" s="127" t="s">
        <v>1572</v>
      </c>
      <c r="E646" s="127" t="s">
        <v>1611</v>
      </c>
      <c r="F646" s="127" t="s">
        <v>1612</v>
      </c>
      <c r="G646" s="127" t="s">
        <v>1613</v>
      </c>
      <c r="M646" s="127" t="s">
        <v>1588</v>
      </c>
      <c r="N646" s="127" t="s">
        <v>1406</v>
      </c>
      <c r="O646" s="123">
        <v>44435</v>
      </c>
      <c r="P646" s="123">
        <v>44435</v>
      </c>
      <c r="Q646" s="123">
        <v>44431</v>
      </c>
      <c r="R646" s="123">
        <v>44437</v>
      </c>
      <c r="S646" s="124">
        <v>34</v>
      </c>
      <c r="T646" s="124">
        <v>34</v>
      </c>
      <c r="U646" s="124">
        <v>1</v>
      </c>
      <c r="V646" s="125">
        <v>0</v>
      </c>
      <c r="W646" s="124">
        <v>0</v>
      </c>
      <c r="X646" s="126">
        <v>1</v>
      </c>
      <c r="Y646" s="126">
        <v>0</v>
      </c>
      <c r="Z646" s="126">
        <v>0</v>
      </c>
      <c r="AC646" s="125">
        <v>0</v>
      </c>
      <c r="AD646" s="124">
        <v>0</v>
      </c>
    </row>
    <row r="647" spans="1:30">
      <c r="A647" s="127" t="s">
        <v>1104</v>
      </c>
      <c r="B647" s="127" t="s">
        <v>1614</v>
      </c>
      <c r="C647" s="127" t="s">
        <v>1104</v>
      </c>
      <c r="D647" s="127" t="s">
        <v>1572</v>
      </c>
      <c r="E647" s="127" t="s">
        <v>1611</v>
      </c>
      <c r="F647" s="127" t="s">
        <v>1612</v>
      </c>
      <c r="G647" s="127" t="s">
        <v>1614</v>
      </c>
      <c r="M647" s="127" t="s">
        <v>1589</v>
      </c>
      <c r="N647" s="127" t="s">
        <v>1406</v>
      </c>
      <c r="O647" s="123">
        <v>44435</v>
      </c>
      <c r="P647" s="123">
        <v>44435</v>
      </c>
      <c r="Q647" s="123">
        <v>44431</v>
      </c>
      <c r="R647" s="123">
        <v>44437</v>
      </c>
      <c r="S647" s="124">
        <v>34</v>
      </c>
      <c r="T647" s="124">
        <v>34</v>
      </c>
      <c r="U647" s="124">
        <v>1</v>
      </c>
      <c r="V647" s="125">
        <v>0</v>
      </c>
      <c r="W647" s="124">
        <v>0</v>
      </c>
      <c r="X647" s="126">
        <v>1</v>
      </c>
      <c r="Y647" s="126">
        <v>0</v>
      </c>
      <c r="Z647" s="126">
        <v>0</v>
      </c>
      <c r="AC647" s="125">
        <v>0</v>
      </c>
      <c r="AD647" s="124">
        <v>0</v>
      </c>
    </row>
    <row r="648" spans="1:30">
      <c r="A648" s="127" t="s">
        <v>1104</v>
      </c>
      <c r="B648" s="127" t="s">
        <v>1616</v>
      </c>
      <c r="C648" s="127" t="s">
        <v>1104</v>
      </c>
      <c r="D648" s="127" t="s">
        <v>1572</v>
      </c>
      <c r="E648" s="127" t="s">
        <v>1611</v>
      </c>
      <c r="F648" s="127" t="s">
        <v>1615</v>
      </c>
      <c r="G648" s="127" t="s">
        <v>1616</v>
      </c>
      <c r="M648" s="127" t="s">
        <v>1578</v>
      </c>
      <c r="N648" s="127" t="s">
        <v>1406</v>
      </c>
      <c r="O648" s="123">
        <v>44434</v>
      </c>
      <c r="P648" s="123">
        <v>44434</v>
      </c>
      <c r="Q648" s="123">
        <v>44431</v>
      </c>
      <c r="R648" s="123">
        <v>44437</v>
      </c>
      <c r="S648" s="124">
        <v>34</v>
      </c>
      <c r="T648" s="124">
        <v>34</v>
      </c>
      <c r="U648" s="124">
        <v>1</v>
      </c>
      <c r="V648" s="125">
        <v>0</v>
      </c>
      <c r="W648" s="124">
        <v>0</v>
      </c>
      <c r="X648" s="126">
        <v>1</v>
      </c>
      <c r="Y648" s="126">
        <v>0</v>
      </c>
      <c r="Z648" s="126">
        <v>0</v>
      </c>
      <c r="AC648" s="125">
        <v>0</v>
      </c>
      <c r="AD648" s="124">
        <v>0</v>
      </c>
    </row>
    <row r="649" spans="1:30">
      <c r="A649" s="127" t="s">
        <v>1104</v>
      </c>
      <c r="B649" s="127" t="s">
        <v>1617</v>
      </c>
      <c r="C649" s="127" t="s">
        <v>1104</v>
      </c>
      <c r="D649" s="127" t="s">
        <v>1572</v>
      </c>
      <c r="E649" s="127" t="s">
        <v>1611</v>
      </c>
      <c r="F649" s="127" t="s">
        <v>1615</v>
      </c>
      <c r="G649" s="127" t="s">
        <v>1617</v>
      </c>
      <c r="M649" s="127" t="s">
        <v>1579</v>
      </c>
      <c r="N649" s="127" t="s">
        <v>1406</v>
      </c>
      <c r="O649" s="123">
        <v>44434</v>
      </c>
      <c r="P649" s="123">
        <v>44434</v>
      </c>
      <c r="Q649" s="123">
        <v>44431</v>
      </c>
      <c r="R649" s="123">
        <v>44437</v>
      </c>
      <c r="S649" s="124">
        <v>34</v>
      </c>
      <c r="T649" s="124">
        <v>34</v>
      </c>
      <c r="U649" s="124">
        <v>1</v>
      </c>
      <c r="V649" s="125">
        <v>0</v>
      </c>
      <c r="W649" s="124">
        <v>0</v>
      </c>
      <c r="X649" s="126">
        <v>1</v>
      </c>
      <c r="Y649" s="126">
        <v>0</v>
      </c>
      <c r="Z649" s="126">
        <v>0</v>
      </c>
      <c r="AC649" s="125">
        <v>0</v>
      </c>
      <c r="AD649" s="124">
        <v>0</v>
      </c>
    </row>
    <row r="650" spans="1:30">
      <c r="A650" s="127" t="s">
        <v>1104</v>
      </c>
      <c r="B650" s="127" t="s">
        <v>1618</v>
      </c>
      <c r="C650" s="127" t="s">
        <v>1104</v>
      </c>
      <c r="D650" s="127" t="s">
        <v>1572</v>
      </c>
      <c r="E650" s="127" t="s">
        <v>1611</v>
      </c>
      <c r="F650" s="127" t="s">
        <v>1615</v>
      </c>
      <c r="G650" s="127" t="s">
        <v>1618</v>
      </c>
      <c r="M650" s="127" t="s">
        <v>1580</v>
      </c>
      <c r="N650" s="127" t="s">
        <v>1406</v>
      </c>
      <c r="O650" s="123">
        <v>44434</v>
      </c>
      <c r="P650" s="123">
        <v>44434</v>
      </c>
      <c r="Q650" s="123">
        <v>44431</v>
      </c>
      <c r="R650" s="123">
        <v>44437</v>
      </c>
      <c r="S650" s="124">
        <v>34</v>
      </c>
      <c r="T650" s="124">
        <v>34</v>
      </c>
      <c r="U650" s="124">
        <v>1</v>
      </c>
      <c r="V650" s="125">
        <v>0</v>
      </c>
      <c r="W650" s="124">
        <v>0</v>
      </c>
      <c r="X650" s="126">
        <v>1</v>
      </c>
      <c r="Y650" s="126">
        <v>0</v>
      </c>
      <c r="Z650" s="126">
        <v>0</v>
      </c>
      <c r="AC650" s="125">
        <v>0</v>
      </c>
      <c r="AD650" s="124">
        <v>0</v>
      </c>
    </row>
    <row r="651" spans="1:30">
      <c r="A651" s="127" t="s">
        <v>1104</v>
      </c>
      <c r="B651" s="127" t="s">
        <v>1619</v>
      </c>
      <c r="C651" s="127" t="s">
        <v>1104</v>
      </c>
      <c r="D651" s="127" t="s">
        <v>1572</v>
      </c>
      <c r="E651" s="127" t="s">
        <v>1611</v>
      </c>
      <c r="F651" s="127" t="s">
        <v>1615</v>
      </c>
      <c r="G651" s="127" t="s">
        <v>1619</v>
      </c>
      <c r="M651" s="127" t="s">
        <v>1581</v>
      </c>
      <c r="N651" s="127" t="s">
        <v>1406</v>
      </c>
      <c r="O651" s="123">
        <v>44434</v>
      </c>
      <c r="P651" s="123">
        <v>44434</v>
      </c>
      <c r="Q651" s="123">
        <v>44431</v>
      </c>
      <c r="R651" s="123">
        <v>44437</v>
      </c>
      <c r="S651" s="124">
        <v>34</v>
      </c>
      <c r="T651" s="124">
        <v>34</v>
      </c>
      <c r="U651" s="124">
        <v>1</v>
      </c>
      <c r="V651" s="125">
        <v>0</v>
      </c>
      <c r="W651" s="124">
        <v>0</v>
      </c>
      <c r="X651" s="126">
        <v>1</v>
      </c>
      <c r="Y651" s="126">
        <v>0</v>
      </c>
      <c r="Z651" s="126">
        <v>0</v>
      </c>
      <c r="AC651" s="125">
        <v>0</v>
      </c>
      <c r="AD651" s="124">
        <v>0</v>
      </c>
    </row>
    <row r="652" spans="1:30">
      <c r="A652" s="127" t="s">
        <v>1104</v>
      </c>
      <c r="B652" s="127" t="s">
        <v>1620</v>
      </c>
      <c r="C652" s="127" t="s">
        <v>1104</v>
      </c>
      <c r="D652" s="127" t="s">
        <v>1572</v>
      </c>
      <c r="E652" s="127" t="s">
        <v>1611</v>
      </c>
      <c r="F652" s="127" t="s">
        <v>1615</v>
      </c>
      <c r="G652" s="127" t="s">
        <v>1620</v>
      </c>
      <c r="M652" s="127" t="s">
        <v>1582</v>
      </c>
      <c r="N652" s="127" t="s">
        <v>1406</v>
      </c>
      <c r="O652" s="123">
        <v>44434</v>
      </c>
      <c r="P652" s="123">
        <v>44434</v>
      </c>
      <c r="Q652" s="123">
        <v>44431</v>
      </c>
      <c r="R652" s="123">
        <v>44437</v>
      </c>
      <c r="S652" s="124">
        <v>34</v>
      </c>
      <c r="T652" s="124">
        <v>34</v>
      </c>
      <c r="U652" s="124">
        <v>1</v>
      </c>
      <c r="V652" s="125">
        <v>0</v>
      </c>
      <c r="W652" s="124">
        <v>0</v>
      </c>
      <c r="X652" s="126">
        <v>1</v>
      </c>
      <c r="Y652" s="126">
        <v>0</v>
      </c>
      <c r="Z652" s="126">
        <v>0</v>
      </c>
      <c r="AC652" s="125">
        <v>0</v>
      </c>
      <c r="AD652" s="124">
        <v>0</v>
      </c>
    </row>
    <row r="653" spans="1:30">
      <c r="A653" s="127" t="s">
        <v>1103</v>
      </c>
      <c r="B653" s="127" t="s">
        <v>1621</v>
      </c>
      <c r="C653" s="127" t="s">
        <v>1104</v>
      </c>
      <c r="D653" s="127" t="s">
        <v>1572</v>
      </c>
      <c r="E653" s="127" t="s">
        <v>1611</v>
      </c>
      <c r="F653" s="127" t="s">
        <v>1621</v>
      </c>
      <c r="M653" s="127" t="s">
        <v>1583</v>
      </c>
      <c r="N653" s="127" t="s">
        <v>1406</v>
      </c>
      <c r="O653" s="123">
        <v>44434</v>
      </c>
      <c r="P653" s="123">
        <v>44434</v>
      </c>
      <c r="Q653" s="123">
        <v>44431</v>
      </c>
      <c r="R653" s="123">
        <v>44437</v>
      </c>
      <c r="S653" s="124">
        <v>34</v>
      </c>
      <c r="T653" s="124">
        <v>34</v>
      </c>
      <c r="U653" s="124">
        <v>1</v>
      </c>
      <c r="V653" s="125">
        <v>0</v>
      </c>
      <c r="W653" s="124">
        <v>0</v>
      </c>
      <c r="X653" s="126">
        <v>1</v>
      </c>
      <c r="Y653" s="126">
        <v>0</v>
      </c>
      <c r="Z653" s="126">
        <v>0</v>
      </c>
      <c r="AC653" s="125">
        <v>0</v>
      </c>
      <c r="AD653" s="124">
        <v>0</v>
      </c>
    </row>
    <row r="654" spans="1:30">
      <c r="A654" s="127" t="s">
        <v>1103</v>
      </c>
      <c r="B654" s="127" t="s">
        <v>1622</v>
      </c>
      <c r="C654" s="127" t="s">
        <v>1104</v>
      </c>
      <c r="D654" s="127" t="s">
        <v>1572</v>
      </c>
      <c r="E654" s="127" t="s">
        <v>1611</v>
      </c>
      <c r="F654" s="127" t="s">
        <v>1622</v>
      </c>
      <c r="M654" s="127" t="s">
        <v>1584</v>
      </c>
      <c r="N654" s="127" t="s">
        <v>1406</v>
      </c>
      <c r="O654" s="123">
        <v>44436</v>
      </c>
      <c r="P654" s="123">
        <v>44436</v>
      </c>
      <c r="Q654" s="123">
        <v>44431</v>
      </c>
      <c r="R654" s="123">
        <v>44437</v>
      </c>
      <c r="S654" s="124">
        <v>34</v>
      </c>
      <c r="T654" s="124">
        <v>34</v>
      </c>
      <c r="U654" s="124">
        <v>0</v>
      </c>
      <c r="V654" s="125">
        <v>0</v>
      </c>
      <c r="W654" s="124">
        <v>0</v>
      </c>
      <c r="X654" s="126">
        <v>1</v>
      </c>
      <c r="Y654" s="126">
        <v>0</v>
      </c>
      <c r="Z654" s="126">
        <v>0</v>
      </c>
      <c r="AC654" s="125">
        <v>0</v>
      </c>
      <c r="AD654" s="124">
        <v>0</v>
      </c>
    </row>
    <row r="655" spans="1:30">
      <c r="A655" s="127" t="s">
        <v>1104</v>
      </c>
      <c r="B655" s="127" t="s">
        <v>1625</v>
      </c>
      <c r="C655" s="127" t="s">
        <v>1104</v>
      </c>
      <c r="D655" s="127" t="s">
        <v>1572</v>
      </c>
      <c r="E655" s="127" t="s">
        <v>1623</v>
      </c>
      <c r="F655" s="127" t="s">
        <v>1624</v>
      </c>
      <c r="G655" s="127" t="s">
        <v>1625</v>
      </c>
      <c r="M655" s="127" t="s">
        <v>1578</v>
      </c>
      <c r="N655" s="127" t="s">
        <v>1406</v>
      </c>
      <c r="O655" s="123">
        <v>44438</v>
      </c>
      <c r="P655" s="123">
        <v>44439</v>
      </c>
      <c r="Q655" s="123">
        <v>44438</v>
      </c>
      <c r="R655" s="123">
        <v>44444</v>
      </c>
      <c r="S655" s="124">
        <v>35</v>
      </c>
      <c r="T655" s="124">
        <v>35</v>
      </c>
      <c r="U655" s="124">
        <v>2</v>
      </c>
      <c r="V655" s="125">
        <v>0</v>
      </c>
      <c r="W655" s="124">
        <v>0</v>
      </c>
      <c r="X655" s="126">
        <v>1</v>
      </c>
      <c r="Y655" s="126">
        <v>0</v>
      </c>
      <c r="Z655" s="126">
        <v>0</v>
      </c>
      <c r="AC655" s="125">
        <v>0</v>
      </c>
      <c r="AD655" s="124">
        <v>0</v>
      </c>
    </row>
    <row r="656" spans="1:30">
      <c r="A656" s="127" t="s">
        <v>1104</v>
      </c>
      <c r="B656" s="127" t="s">
        <v>1626</v>
      </c>
      <c r="C656" s="127" t="s">
        <v>1104</v>
      </c>
      <c r="D656" s="127" t="s">
        <v>1572</v>
      </c>
      <c r="E656" s="127" t="s">
        <v>1623</v>
      </c>
      <c r="F656" s="127" t="s">
        <v>1624</v>
      </c>
      <c r="G656" s="127" t="s">
        <v>1626</v>
      </c>
      <c r="M656" s="127" t="s">
        <v>1579</v>
      </c>
      <c r="N656" s="127" t="s">
        <v>1406</v>
      </c>
      <c r="O656" s="123">
        <v>44439</v>
      </c>
      <c r="P656" s="123">
        <v>44440</v>
      </c>
      <c r="Q656" s="123">
        <v>44438</v>
      </c>
      <c r="R656" s="123">
        <v>44444</v>
      </c>
      <c r="S656" s="124">
        <v>35</v>
      </c>
      <c r="T656" s="124">
        <v>35</v>
      </c>
      <c r="U656" s="124">
        <v>2</v>
      </c>
      <c r="V656" s="125">
        <v>0</v>
      </c>
      <c r="W656" s="124">
        <v>0</v>
      </c>
      <c r="X656" s="126">
        <v>1</v>
      </c>
      <c r="Y656" s="126">
        <v>0</v>
      </c>
      <c r="Z656" s="126">
        <v>0</v>
      </c>
      <c r="AC656" s="125">
        <v>0</v>
      </c>
      <c r="AD656" s="124">
        <v>0</v>
      </c>
    </row>
    <row r="657" spans="1:30">
      <c r="A657" s="127" t="s">
        <v>1104</v>
      </c>
      <c r="B657" s="127" t="s">
        <v>1627</v>
      </c>
      <c r="C657" s="127" t="s">
        <v>1104</v>
      </c>
      <c r="D657" s="127" t="s">
        <v>1572</v>
      </c>
      <c r="E657" s="127" t="s">
        <v>1623</v>
      </c>
      <c r="F657" s="127" t="s">
        <v>1624</v>
      </c>
      <c r="G657" s="127" t="s">
        <v>1627</v>
      </c>
      <c r="M657" s="127" t="s">
        <v>1580</v>
      </c>
      <c r="N657" s="127" t="s">
        <v>1406</v>
      </c>
      <c r="O657" s="123">
        <v>44439</v>
      </c>
      <c r="P657" s="123">
        <v>44440</v>
      </c>
      <c r="Q657" s="123">
        <v>44438</v>
      </c>
      <c r="R657" s="123">
        <v>44444</v>
      </c>
      <c r="S657" s="124">
        <v>35</v>
      </c>
      <c r="T657" s="124">
        <v>35</v>
      </c>
      <c r="U657" s="124">
        <v>2</v>
      </c>
      <c r="V657" s="125">
        <v>0</v>
      </c>
      <c r="W657" s="124">
        <v>0</v>
      </c>
      <c r="X657" s="126">
        <v>1</v>
      </c>
      <c r="Y657" s="126">
        <v>0</v>
      </c>
      <c r="Z657" s="126">
        <v>0</v>
      </c>
      <c r="AC657" s="125">
        <v>0</v>
      </c>
      <c r="AD657" s="124">
        <v>0</v>
      </c>
    </row>
    <row r="658" spans="1:30">
      <c r="A658" s="127" t="s">
        <v>1104</v>
      </c>
      <c r="B658" s="127" t="s">
        <v>1628</v>
      </c>
      <c r="C658" s="127" t="s">
        <v>1104</v>
      </c>
      <c r="D658" s="127" t="s">
        <v>1572</v>
      </c>
      <c r="E658" s="127" t="s">
        <v>1623</v>
      </c>
      <c r="F658" s="127" t="s">
        <v>1624</v>
      </c>
      <c r="G658" s="127" t="s">
        <v>1628</v>
      </c>
      <c r="M658" s="127" t="s">
        <v>1581</v>
      </c>
      <c r="N658" s="127" t="s">
        <v>1406</v>
      </c>
      <c r="O658" s="123">
        <v>44441</v>
      </c>
      <c r="P658" s="123">
        <v>44441</v>
      </c>
      <c r="Q658" s="123">
        <v>44438</v>
      </c>
      <c r="R658" s="123">
        <v>44444</v>
      </c>
      <c r="S658" s="124">
        <v>35</v>
      </c>
      <c r="T658" s="124">
        <v>35</v>
      </c>
      <c r="U658" s="124">
        <v>1</v>
      </c>
      <c r="V658" s="125">
        <v>0</v>
      </c>
      <c r="W658" s="124">
        <v>0</v>
      </c>
      <c r="X658" s="126">
        <v>1</v>
      </c>
      <c r="Y658" s="126">
        <v>0</v>
      </c>
      <c r="Z658" s="126">
        <v>0</v>
      </c>
      <c r="AC658" s="125">
        <v>0</v>
      </c>
      <c r="AD658" s="124">
        <v>0</v>
      </c>
    </row>
    <row r="659" spans="1:30">
      <c r="A659" s="127" t="s">
        <v>1104</v>
      </c>
      <c r="B659" s="127" t="s">
        <v>1629</v>
      </c>
      <c r="C659" s="127" t="s">
        <v>1104</v>
      </c>
      <c r="D659" s="127" t="s">
        <v>1572</v>
      </c>
      <c r="E659" s="127" t="s">
        <v>1623</v>
      </c>
      <c r="F659" s="127" t="s">
        <v>1624</v>
      </c>
      <c r="G659" s="127" t="s">
        <v>1629</v>
      </c>
      <c r="M659" s="127" t="s">
        <v>1582</v>
      </c>
      <c r="N659" s="127" t="s">
        <v>1406</v>
      </c>
      <c r="O659" s="123">
        <v>44441</v>
      </c>
      <c r="P659" s="123">
        <v>44441</v>
      </c>
      <c r="Q659" s="123">
        <v>44438</v>
      </c>
      <c r="R659" s="123">
        <v>44444</v>
      </c>
      <c r="S659" s="124">
        <v>35</v>
      </c>
      <c r="T659" s="124">
        <v>35</v>
      </c>
      <c r="U659" s="124">
        <v>1</v>
      </c>
      <c r="V659" s="125">
        <v>0</v>
      </c>
      <c r="W659" s="124">
        <v>0</v>
      </c>
      <c r="X659" s="126">
        <v>1</v>
      </c>
      <c r="Y659" s="126">
        <v>0</v>
      </c>
      <c r="Z659" s="126">
        <v>0</v>
      </c>
      <c r="AC659" s="125">
        <v>0</v>
      </c>
      <c r="AD659" s="124">
        <v>0</v>
      </c>
    </row>
    <row r="660" spans="1:30">
      <c r="A660" s="127" t="s">
        <v>1103</v>
      </c>
      <c r="B660" s="127" t="s">
        <v>1630</v>
      </c>
      <c r="C660" s="127" t="s">
        <v>1104</v>
      </c>
      <c r="D660" s="127" t="s">
        <v>1572</v>
      </c>
      <c r="E660" s="127" t="s">
        <v>1623</v>
      </c>
      <c r="F660" s="127" t="s">
        <v>1630</v>
      </c>
      <c r="M660" s="127" t="s">
        <v>1583</v>
      </c>
      <c r="N660" s="127" t="s">
        <v>1406</v>
      </c>
      <c r="O660" s="123">
        <v>44442</v>
      </c>
      <c r="P660" s="123">
        <v>44442</v>
      </c>
      <c r="Q660" s="123">
        <v>44438</v>
      </c>
      <c r="R660" s="123">
        <v>44444</v>
      </c>
      <c r="S660" s="124">
        <v>35</v>
      </c>
      <c r="T660" s="124">
        <v>35</v>
      </c>
      <c r="U660" s="124">
        <v>1</v>
      </c>
      <c r="V660" s="125">
        <v>0</v>
      </c>
      <c r="W660" s="124">
        <v>0</v>
      </c>
      <c r="X660" s="126">
        <v>1</v>
      </c>
      <c r="Y660" s="126">
        <v>0</v>
      </c>
      <c r="Z660" s="126">
        <v>0</v>
      </c>
      <c r="AC660" s="125">
        <v>0</v>
      </c>
      <c r="AD660" s="124">
        <v>0</v>
      </c>
    </row>
    <row r="661" spans="1:30">
      <c r="A661" s="127" t="s">
        <v>1103</v>
      </c>
      <c r="B661" s="127" t="s">
        <v>1631</v>
      </c>
      <c r="C661" s="127" t="s">
        <v>1104</v>
      </c>
      <c r="D661" s="127" t="s">
        <v>1572</v>
      </c>
      <c r="E661" s="127" t="s">
        <v>1623</v>
      </c>
      <c r="F661" s="127" t="s">
        <v>1631</v>
      </c>
      <c r="M661" s="127" t="s">
        <v>1584</v>
      </c>
      <c r="N661" s="127" t="s">
        <v>1406</v>
      </c>
      <c r="O661" s="123">
        <v>44443</v>
      </c>
      <c r="P661" s="123">
        <v>44443</v>
      </c>
      <c r="Q661" s="123">
        <v>44438</v>
      </c>
      <c r="R661" s="123">
        <v>44444</v>
      </c>
      <c r="S661" s="124">
        <v>35</v>
      </c>
      <c r="T661" s="124">
        <v>35</v>
      </c>
      <c r="U661" s="124">
        <v>0</v>
      </c>
      <c r="V661" s="125">
        <v>0</v>
      </c>
      <c r="W661" s="124">
        <v>0</v>
      </c>
      <c r="X661" s="126">
        <v>1</v>
      </c>
      <c r="Y661" s="126">
        <v>0</v>
      </c>
      <c r="Z661" s="126">
        <v>0</v>
      </c>
      <c r="AC661" s="125">
        <v>0</v>
      </c>
      <c r="AD661" s="124">
        <v>0</v>
      </c>
    </row>
    <row r="662" spans="1:30">
      <c r="A662" s="127" t="s">
        <v>1102</v>
      </c>
      <c r="B662" s="127" t="s">
        <v>1544</v>
      </c>
      <c r="C662" s="127" t="s">
        <v>1104</v>
      </c>
      <c r="D662" s="127" t="s">
        <v>1573</v>
      </c>
      <c r="E662" s="127" t="s">
        <v>1544</v>
      </c>
      <c r="M662" s="127" t="s">
        <v>1545</v>
      </c>
      <c r="N662" s="127" t="s">
        <v>1406</v>
      </c>
      <c r="O662" s="123">
        <v>44424</v>
      </c>
      <c r="P662" s="123">
        <v>44428</v>
      </c>
      <c r="Q662" s="123">
        <v>44424</v>
      </c>
      <c r="R662" s="123">
        <v>44430</v>
      </c>
      <c r="S662" s="124">
        <v>33</v>
      </c>
      <c r="T662" s="124">
        <v>33</v>
      </c>
      <c r="U662" s="124">
        <v>5</v>
      </c>
      <c r="V662" s="125">
        <v>0</v>
      </c>
      <c r="W662" s="124">
        <v>0</v>
      </c>
      <c r="X662" s="126">
        <v>1</v>
      </c>
      <c r="Y662" s="126">
        <v>0</v>
      </c>
      <c r="Z662" s="126">
        <v>0</v>
      </c>
      <c r="AC662" s="125">
        <v>0</v>
      </c>
      <c r="AD662" s="124">
        <v>0</v>
      </c>
    </row>
    <row r="663" spans="1:30">
      <c r="A663" s="127" t="s">
        <v>1102</v>
      </c>
      <c r="B663" s="127" t="s">
        <v>1546</v>
      </c>
      <c r="C663" s="127" t="s">
        <v>1104</v>
      </c>
      <c r="D663" s="127" t="s">
        <v>1573</v>
      </c>
      <c r="E663" s="127" t="s">
        <v>1546</v>
      </c>
      <c r="M663" s="127" t="s">
        <v>1547</v>
      </c>
      <c r="N663" s="127" t="s">
        <v>1406</v>
      </c>
      <c r="O663" s="123">
        <v>44431</v>
      </c>
      <c r="P663" s="123">
        <v>44435</v>
      </c>
      <c r="Q663" s="123">
        <v>44431</v>
      </c>
      <c r="R663" s="123">
        <v>44437</v>
      </c>
      <c r="S663" s="124">
        <v>34</v>
      </c>
      <c r="T663" s="124">
        <v>34</v>
      </c>
      <c r="U663" s="124">
        <v>5</v>
      </c>
      <c r="V663" s="125">
        <v>0</v>
      </c>
      <c r="W663" s="124">
        <v>0</v>
      </c>
      <c r="X663" s="126">
        <v>1</v>
      </c>
      <c r="Y663" s="126">
        <v>0</v>
      </c>
      <c r="Z663" s="126">
        <v>0</v>
      </c>
      <c r="AC663" s="125">
        <v>0</v>
      </c>
      <c r="AD663" s="124">
        <v>0</v>
      </c>
    </row>
  </sheetData>
  <phoneticPr fontId="2"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35</vt:i4>
      </vt:variant>
    </vt:vector>
  </HeadingPairs>
  <TitlesOfParts>
    <vt:vector size="42"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Schedule!Print_Titles</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SeoDong Kwon</cp:lastModifiedBy>
  <cp:lastPrinted>2021-01-26T07:52:24Z</cp:lastPrinted>
  <dcterms:created xsi:type="dcterms:W3CDTF">2018-02-18T09:45:14Z</dcterms:created>
  <dcterms:modified xsi:type="dcterms:W3CDTF">2021-02-10T03:00:59Z</dcterms:modified>
</cp:coreProperties>
</file>